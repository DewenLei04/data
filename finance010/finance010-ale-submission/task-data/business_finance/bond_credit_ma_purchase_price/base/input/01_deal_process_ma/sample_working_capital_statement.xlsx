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  <sheet name="Debt-Like Exclusions" sheetId="2" r:id="rId2"/>
  </sheets>
  <definedNames>
    <definedName name="SAMPLE_WC_TOTAL_CLOSING_WORKING_CAPITAL">Statement!$B$13</definedName>
    <definedName name="SAMPLE_WC_GAAP_UNADJUSTED_SUBTOTAL">Statement!$B$12</definedName>
    <definedName name="SAMPLE_WC_DEBT_LIKE_EXCLUSIONS_TOTAL">'Debt-Like Exclusions'!$B$5</definedName>
  </definedNames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Sample Working Capital Statement (Illustrative Itemization)</t>
        </is>
      </c>
    </row>
    <row r="2">
      <c r="A2" t="inlineStr">
        <is>
          <t xml:space="preserve">Basis: Closing Working Capital per Article II Section 2.04 of the Stock Purchase Agreement</t>
        </is>
      </c>
    </row>
    <row r="4">
      <c r="A4" t="inlineStr">
        <is>
          <t xml:space="preserve">Included in Closing Working Capital</t>
        </is>
      </c>
    </row>
    <row r="5">
      <c r="A5" t="inlineStr">
        <is>
          <t xml:space="preserve">Accounts receivable, net</t>
        </is>
      </c>
      <c r="B5" t="inlineStr">
        <is>
          <t xml:space="preserve">See supporting closing-date schedule</t>
        </is>
      </c>
    </row>
    <row r="6">
      <c r="A6" t="inlineStr">
        <is>
          <t xml:space="preserve">Inventory</t>
        </is>
      </c>
      <c r="B6" t="inlineStr">
        <is>
          <t xml:space="preserve">See supporting closing-date schedule</t>
        </is>
      </c>
    </row>
    <row r="7">
      <c r="A7" t="inlineStr">
        <is>
          <t xml:space="preserve">Prepaid expenses and other current assets</t>
        </is>
      </c>
      <c r="B7" t="inlineStr">
        <is>
          <t xml:space="preserve">See supporting closing-date schedule</t>
        </is>
      </c>
    </row>
    <row r="8">
      <c r="A8" t="inlineStr">
        <is>
          <t xml:space="preserve">Accounts payable</t>
        </is>
      </c>
      <c r="B8" t="inlineStr">
        <is>
          <t xml:space="preserve">See supporting closing-date schedule</t>
        </is>
      </c>
    </row>
    <row r="9">
      <c r="A9" t="inlineStr">
        <is>
          <t xml:space="preserve">Accrued operating liabilities (ordinary course)</t>
        </is>
      </c>
      <c r="B9" t="inlineStr">
        <is>
          <t xml:space="preserve">See supporting closing-date schedule</t>
        </is>
      </c>
    </row>
    <row r="10">
      <c r="A10" t="inlineStr">
        <is>
          <t xml:space="preserve">Cash</t>
        </is>
      </c>
      <c r="B10" t="inlineStr">
        <is>
          <t xml:space="preserve">Excluded - settles through the Net Debt mechanism, not Working Capital</t>
        </is>
      </c>
    </row>
    <row r="12">
      <c r="A12" t="inlineStr">
        <is>
          <t xml:space="preserve">Total Working Capital (Unadjusted GAAP Presentation - Before the Debt-Like Exclusions Tab's Adjustments)</t>
        </is>
      </c>
      <c r="B12" s="1">
        <f>B13+'Debt-Like Exclusions'!B5</f>
        <v>32000000</v>
      </c>
    </row>
    <row r="13">
      <c r="A13" t="inlineStr">
        <is>
          <t xml:space="preserve">Total Closing Working Capital (as defined in SPA Article II Section 2.04(a), after the Debt-Like Exclusions Tab's Adjustments)</t>
        </is>
      </c>
      <c r="B13" s="1">
        <v>26900000</v>
      </c>
    </row>
    <row r="14">
      <c r="A14" t="inlineStr">
        <is>
          <t xml:space="preserve">Target Working Capital (the Peg)</t>
        </is>
      </c>
      <c r="B14" s="1">
        <v>28400000</v>
      </c>
    </row>
    <row r="15">
      <c r="A15" t="inlineStr">
        <is>
          <t xml:space="preserve">Working Capital Collar (dead-band)</t>
        </is>
      </c>
      <c r="B15" s="1">
        <v>750000</v>
      </c>
    </row>
    <row r="16">
      <c r="A16" t="inlineStr">
        <is>
          <t xml:space="preserve">Difference (Target Working Capital minus Total Closing Working Capital)</t>
        </is>
      </c>
      <c r="B16" s="1">
        <f>B14-B13</f>
        <v>1500000</v>
      </c>
    </row>
    <row r="17">
      <c r="A17" t="inlineStr">
        <is>
          <t xml:space="preserve">Collar breached?</t>
        </is>
      </c>
      <c r="B17" t="str">
        <f>IF(ABS(B16)&gt;B15,"Yes - full difference adjusts, not only the excess over the Collar","No - no adjustment")</f>
        <v>Yes - full difference adjusts, not only the excess over the Collar</v>
      </c>
    </row>
    <row r="18">
      <c r="A18" t="inlineStr">
        <is>
          <t xml:space="preserve">Adjustment direction</t>
        </is>
      </c>
      <c r="B18" t="str">
        <f>IF(B13&lt;B14,"Downward adjustment to the Purchase Price (Total Closing Working Capital below the Peg)","Upward adjustment to the Purchase Price")</f>
        <v>Downward adjustment to the Purchase Price (Total Closing Working Capital below the Peg)</v>
      </c>
    </row>
    <row r="20">
      <c r="A20" t="inlineStr">
        <is>
          <t xml:space="preserve">Notes</t>
        </is>
      </c>
    </row>
    <row r="21">
      <c r="A21" t="inlineStr">
        <is>
          <t xml:space="preserve">1. The GAAP-presentation subtotal at row 12 above has not been reduced for the debt-like items identified on the Debt-Like Exclusions tab; it is a supplemental, unadjusted presentation only and is not itself Closing Working Capital as defined in the Stock Purchase Agreement. Row 13 is the SPA-defined figure the Section 2.04 adjustment below is computed from.</t>
        </is>
      </c>
    </row>
    <row r="22">
      <c r="A22" t="inlineStr">
        <is>
          <t xml:space="preserve">2. Debt-like items are excluded from Total Closing Working Capital at row 13; see the Debt-Like Exclusions tab for the itemized list and amounts.</t>
        </is>
      </c>
    </row>
    <row r="23">
      <c r="A23" t="inlineStr">
        <is>
          <t xml:space="preserve">3. Calculated in accordance with the Accounting Principles Schedule; where the Schedule is silent, GAAP; where GAAP itself is ambiguous, consistent with this Sample Working Capital Statement's own categorization.</t>
        </is>
      </c>
    </row>
    <row r="24">
      <c r="A24" t="inlineStr">
        <is>
          <t xml:space="preserve">4. The peg and the dead-band collar above are the Buyer's and the Seller's own negotiated reference points; the collar's own derivation is discussed in the Net Working Capital Analysis referenced elsewhere in this engagement's work product, not in this Statement.</t>
        </is>
      </c>
    </row>
    <row r="30">
      <c r="A30" t="inlineStr">
        <is>
          <t xml:space="preserve">Current-Asset and Current-Liability Build (Supplemental Detail)</t>
        </is>
      </c>
    </row>
    <row r="31">
      <c r="A31" t="inlineStr">
        <is>
          <t xml:space="preserve">Accounts receivable, net</t>
        </is>
      </c>
      <c r="B31" s="1">
        <v>14500000</v>
      </c>
    </row>
    <row r="32">
      <c r="A32" t="inlineStr">
        <is>
          <t xml:space="preserve">Inventory</t>
        </is>
      </c>
      <c r="B32" s="1">
        <v>10200000</v>
      </c>
    </row>
    <row r="33">
      <c r="A33" t="inlineStr">
        <is>
          <t xml:space="preserve">Prepaid expenses and other current assets</t>
        </is>
      </c>
      <c r="B33" s="1">
        <v>1300000</v>
      </c>
    </row>
    <row r="34">
      <c r="A34" t="inlineStr">
        <is>
          <t xml:space="preserve">Accounts payable</t>
        </is>
      </c>
      <c r="B34" s="1">
        <v>9100000</v>
      </c>
    </row>
    <row r="35">
      <c r="A35" t="inlineStr">
        <is>
          <t xml:space="preserve">Accrued operating liabilities (ordinary course) - plug to Row 13</t>
        </is>
      </c>
      <c r="B35" s="1">
        <f>B31+B32+B33-B34-B13</f>
        <v>-10000000</v>
      </c>
    </row>
    <row r="36">
      <c r="A36" t="inlineStr">
        <is>
          <t xml:space="preserve">Net of the build above (ties to Row 13 by construction)</t>
        </is>
      </c>
      <c r="B36" s="1">
        <f>B31+B32+B33-B34-B35</f>
        <v>26900000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Item excluded from Working Capital (moved to Net Debt bridge)</t>
        </is>
      </c>
      <c r="B1" t="inlineStr">
        <is>
          <t xml:space="preserve">Amount</t>
        </is>
      </c>
    </row>
    <row r="2">
      <c r="A2" t="inlineStr">
        <is>
          <t xml:space="preserve">Capital lease current portion</t>
        </is>
      </c>
      <c r="B2" s="1">
        <v>1100000</v>
      </c>
    </row>
    <row r="3">
      <c r="A3" t="inlineStr">
        <is>
          <t xml:space="preserve">Accrued interest</t>
        </is>
      </c>
      <c r="B3" s="1">
        <v>2400000</v>
      </c>
    </row>
    <row r="4">
      <c r="A4" t="inlineStr">
        <is>
          <t xml:space="preserve">Deferred contingent earnout prior tuck in</t>
        </is>
      </c>
      <c r="B4" s="1">
        <v>1600000</v>
      </c>
    </row>
    <row r="5">
      <c r="A5" t="inlineStr">
        <is>
          <t xml:space="preserve">Total excluded debt-like items</t>
        </is>
      </c>
      <c r="B5" s="1">
        <f>SUM(B2:B4)</f>
        <v>5100000</v>
      </c>
    </row>
    <row r="7">
      <c r="A7" t="inlineStr">
        <is>
          <t xml:space="preserve">Rationale</t>
        </is>
      </c>
    </row>
    <row r="8">
      <c r="A8" t="inlineStr">
        <is>
          <t xml:space="preserve">Each item above is debt-like in substance (a financing or contingent-consideration obligation) rather than an ordinary-course operating liability. A literal current-liabilities read under GAAP, without reference to this itemized exclusion list, would leave these items inside Working Capital, understating Net Debt and double-penalizing the Seller through the Working Capital Adjustment as well.</t>
        </is>
      </c>
    </row>
  </sheetData>
</worksheet>
</file>