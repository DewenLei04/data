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ier Mechanics" sheetId="1" r:id="rId1"/>
    <sheet name="Scenario Tree" sheetId="2" r:id="rId2"/>
    <sheet name="Quick Reference" sheetId="3" r:id="rId3"/>
    <sheet name="Timing and Discounting" sheetId="4" r:id="rId4"/>
  </sheets>
  <definedNames>
    <definedName name="EARNOUT_THRESHOLD_1_CELL">'Tier Mechanics'!$B$2</definedName>
    <definedName name="EARNOUT_AGGREGATE_CAP_CELL">'Tier Mechanics'!$B$7</definedName>
    <definedName name="SCENARIO_TABLE_ORIGIN">'Scenario Tree'!$A$2</definedName>
  </definedNames>
</workbook>
</file>

<file path=xl/styles.xml><?xml version="1.0" encoding="utf-8"?>
<styleSheet xmlns="http://schemas.openxmlformats.org/spreadsheetml/2006/main">
  <numFmts count="2">
    <numFmt numFmtId="164" formatCode="#,##0;(#,##0)"/>
    <numFmt numFmtId="165" formatCode="#,##0.00;(#,##0.00)"/>
  </numFmts>
  <fonts count="1">
    <font>
      <sz val="8"/>
      <name val="Arial"/>
    </font>
  </fonts>
  <fills count="1">
    <fill>
      <patternFill patternType="none"/>
    </fill>
  </fills>
  <borders count="1">
    <border>
      <left/>
      <right/>
      <top/>
      <bottom/>
      <diagonal/>
    </border>
  </borders>
  <cellStyleXfs count="1">
    <xf numFmtId="0" fontId="0" fillId="0" borderId="0"/>
  </cellStyleXfs>
  <cellXfs count="3">
    <xf numFmtId="0" fontId="0" fillId="0" borderId="0"/>
    <xf numFmtId="164" fontId="0" fillId="0" borderId="0" applyNumberFormat="1"/>
    <xf numFmtId="165" fontId="0" fillId="0" border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sheetData>
    <row r="1">
      <c r="A1" t="inlineStr">
        <is>
          <t xml:space="preserve">Clause</t>
        </is>
      </c>
      <c r="B1" t="inlineStr">
        <is>
          <t xml:space="preserve">Rule</t>
        </is>
      </c>
    </row>
    <row r="2">
      <c r="A2" t="inlineStr">
        <is>
          <t xml:space="preserve">(i)</t>
        </is>
      </c>
      <c r="B2" t="inlineStr">
        <is>
          <t xml:space="preserve">Below Threshold 1 (48,000,000.00), no payout for the Earn-out Period.</t>
        </is>
      </c>
    </row>
    <row r="3">
      <c r="A3" t="inlineStr">
        <is>
          <t xml:space="preserve">(ii)</t>
        </is>
      </c>
      <c r="B3" t="inlineStr">
        <is>
          <t xml:space="preserve">Between Threshold 1 and Threshold 2 (54,000,000.00), the payout is 40.00% of the increment above Threshold 1.</t>
        </is>
      </c>
    </row>
    <row r="4">
      <c r="A4" t="inlineStr">
        <is>
          <t xml:space="preserve">(iii)</t>
        </is>
      </c>
      <c r="B4" t="inlineStr">
        <is>
          <t xml:space="preserve">At or above Threshold 2, the payout is the catch-up rate of 45.00% applied to the FULL increment above Threshold 1 (replacing, not adding to, the clause (ii) tier-1 payout) - the SPA's own Section 2.06(b) text; a computation that applies the catch-up rate only to the marginal slice above Threshold 2 does not implement this clause.</t>
        </is>
      </c>
    </row>
    <row r="5">
      <c r="A5" t="inlineStr">
        <is>
          <t xml:space="preserve">(iv)</t>
        </is>
      </c>
      <c r="B5" t="inlineStr">
        <is>
          <t xml:space="preserve">Cumulative Revenue for the Earn-out Period must also equal or exceed 265,000,000.00; clearing the EBITDA thresholds alone does not entitle Sellers to a payout.</t>
        </is>
      </c>
    </row>
    <row r="6">
      <c r="A6" t="inlineStr">
        <is>
          <t xml:space="preserve">(v)</t>
        </is>
      </c>
      <c r="B6" t="inlineStr">
        <is>
          <t xml:space="preserve">This tier mechanic is applied scenario by scenario and then weighted by each scenario's probability - applying the tier mechanic to a single probability-weighted EBITDA figure, rather than to each scenario separately, is not the method this Section provides for.</t>
        </is>
      </c>
    </row>
    <row r="7">
      <c r="A7" t="inlineStr">
        <is>
          <t xml:space="preserve">Aggregate Cap</t>
        </is>
      </c>
      <c r="B7" t="inlineStr">
        <is>
          <t xml:space="preserve">12,000,000.00 across all Earn-out Periods - the aggregate cap applies notwithstanding clauses (ii) and (iii) above, and is not reset or increased by a shortfall in an earlier Earn-out Period.</t>
        </is>
      </c>
    </row>
    <row r="8">
      <c r="A8" t="inlineStr">
        <is>
          <t xml:space="preserve">(vi)</t>
        </is>
      </c>
      <c r="B8" t="inlineStr">
        <is>
          <t xml:space="preserve">The aggregate cap in the row above binds across all three cumulative Earn-out Periods taken together, not on a period-by-period basis; a computation that tests the aggregate cap separately against each Earn-out Period's own scenario payout, rather than against the cumulative total paid across all Earn-out Periods to date, does not implement this Tier Mechanics tab correctly.</t>
        </is>
      </c>
    </row>
    <row r="10">
      <c r="A10" t="inlineStr">
        <is>
          <t xml:space="preserve">Key Inputs (clean restatement of clauses (i)-(vi) above)</t>
        </is>
      </c>
    </row>
    <row r="11">
      <c r="A11" t="inlineStr">
        <is>
          <t xml:space="preserve">Threshold 1</t>
        </is>
      </c>
      <c r="B11" t="inlineStr">
        <is>
          <t xml:space="preserve">48,000,000.00</t>
        </is>
      </c>
    </row>
    <row r="12">
      <c r="A12" t="inlineStr">
        <is>
          <t xml:space="preserve">Threshold 2</t>
        </is>
      </c>
      <c r="B12" t="inlineStr">
        <is>
          <t xml:space="preserve">54,000,000.00</t>
        </is>
      </c>
    </row>
    <row r="13">
      <c r="A13" t="inlineStr">
        <is>
          <t xml:space="preserve">Tier 1 participation rate</t>
        </is>
      </c>
      <c r="B13" t="inlineStr">
        <is>
          <t xml:space="preserve">0.40</t>
        </is>
      </c>
    </row>
    <row r="14">
      <c r="A14" t="inlineStr">
        <is>
          <t xml:space="preserve">Catch-up participation rate</t>
        </is>
      </c>
      <c r="B14" t="inlineStr">
        <is>
          <t xml:space="preserve">0.45</t>
        </is>
      </c>
    </row>
    <row r="15">
      <c r="A15" t="inlineStr">
        <is>
          <t xml:space="preserve">Aggregate Earn-Out Cap</t>
        </is>
      </c>
      <c r="B15" t="inlineStr">
        <is>
          <t xml:space="preserve">12,000,000.00</t>
        </is>
      </c>
    </row>
    <row r="16">
      <c r="A16" t="inlineStr">
        <is>
          <t xml:space="preserve">Revenue Gate</t>
        </is>
      </c>
      <c r="B16" t="inlineStr">
        <is>
          <t xml:space="preserve">265,000,000.00</t>
        </is>
      </c>
    </row>
  </sheetData>
</worksheet>
</file>

<file path=xl/worksheets/sheet2.xml><?xml version="1.0" encoding="utf-8"?>
<worksheet xmlns="http://schemas.openxmlformats.org/spreadsheetml/2006/main">
  <sheetData>
    <row r="1">
      <c r="A1" t="inlineStr">
        <is>
          <t xml:space="preserve">Scenario</t>
        </is>
      </c>
      <c r="B1" t="inlineStr">
        <is>
          <t xml:space="preserve">EBITDA</t>
        </is>
      </c>
      <c r="C1" t="inlineStr">
        <is>
          <t xml:space="preserve">Revenue</t>
        </is>
      </c>
      <c r="D1" t="inlineStr">
        <is>
          <t xml:space="preserve">Probability</t>
        </is>
      </c>
      <c r="E1" t="inlineStr">
        <is>
          <t xml:space="preserve">Tier-1 Payout (per clause (ii))</t>
        </is>
      </c>
      <c r="F1" t="inlineStr">
        <is>
          <t xml:space="preserve">Catch-up Payout (per clause (iii))</t>
        </is>
      </c>
      <c r="G1" t="inlineStr">
        <is>
          <t xml:space="preserve">Scenario Payout</t>
        </is>
      </c>
    </row>
    <row r="2">
      <c r="A2" t="inlineStr">
        <is>
          <t xml:space="preserve">downside</t>
        </is>
      </c>
      <c r="B2" s="1">
        <v>46000000</v>
      </c>
      <c r="C2" s="1">
        <v>258000000</v>
      </c>
      <c r="D2" s="2">
        <v>0.30</v>
      </c>
      <c r="E2">
        <f>MAX(MIN(B2,54000000)-48000000,0)*0.40</f>
        <v>0</v>
      </c>
      <c r="F2">
        <f>IF(B2&gt;=54000000,(B2-48000000)*0.45,0)</f>
        <v>0</v>
      </c>
      <c r="G2" s="1">
        <f>IF(B2&gt;=54000000,F2,E2)</f>
        <v>0</v>
      </c>
    </row>
    <row r="3">
      <c r="A3" t="inlineStr">
        <is>
          <t xml:space="preserve">base</t>
        </is>
      </c>
      <c r="B3" s="1">
        <v>52000000</v>
      </c>
      <c r="C3" s="1">
        <v>271000000</v>
      </c>
      <c r="D3" s="2">
        <v>0.45</v>
      </c>
      <c r="E3">
        <f>MAX(MIN(B3,54000000)-48000000,0)*0.40</f>
        <v>1600000</v>
      </c>
      <c r="F3">
        <f>IF(B3&gt;=54000000,(B3-48000000)*0.45,0)</f>
        <v>0</v>
      </c>
      <c r="G3" s="1">
        <f>IF(B3&gt;=54000000,F3,E3)</f>
        <v>1600000</v>
      </c>
    </row>
    <row r="4">
      <c r="A4" t="inlineStr">
        <is>
          <t xml:space="preserve">upside</t>
        </is>
      </c>
      <c r="B4" s="1">
        <v>58000000</v>
      </c>
      <c r="C4" s="1">
        <v>286000000</v>
      </c>
      <c r="D4" s="2">
        <v>0.25</v>
      </c>
      <c r="E4">
        <f>MAX(MIN(B4,54000000)-48000000,0)*0.40</f>
        <v>2400000</v>
      </c>
      <c r="F4">
        <f>IF(B4&gt;=54000000,(B4-48000000)*0.45,0)</f>
        <v>4500000</v>
      </c>
      <c r="G4" s="1">
        <f>IF(B4&gt;=54000000,F4,E4)</f>
        <v>4500000</v>
      </c>
    </row>
    <row r="5">
      <c r="A5" t="inlineStr">
        <is>
          <t xml:space="preserve">Weighted (per clause (v): scenario-by-scenario, then weighted)</t>
        </is>
      </c>
      <c r="D5" s="2">
        <f>SUM(D2:D4)</f>
        <v>1</v>
      </c>
    </row>
  </sheetData>
</worksheet>
</file>

<file path=xl/worksheets/sheet3.xml><?xml version="1.0" encoding="utf-8"?>
<worksheet xmlns="http://schemas.openxmlformats.org/spreadsheetml/2006/main">
  <sheetData>
    <row r="1">
      <c r="A1" t="inlineStr">
        <is>
          <t xml:space="preserve">Item</t>
        </is>
      </c>
      <c r="B1" t="inlineStr">
        <is>
          <t xml:space="preserve">Value</t>
        </is>
      </c>
    </row>
    <row r="2">
      <c r="A2" t="inlineStr">
        <is>
          <t xml:space="preserve">Achievement EBITDA (probability-weighted, informal summary only)</t>
        </is>
      </c>
      <c r="B2" s="1">
        <f>SUMPRODUCT('Scenario Tree'!B2:B4,'Scenario Tree'!D2:D4)</f>
        <v>51700000</v>
      </c>
    </row>
    <row r="3">
      <c r="A3" t="inlineStr">
        <is>
          <t xml:space="preserve">Applicable earn-out rate once the Catch-Up EBITDA Amount is reached</t>
        </is>
      </c>
      <c r="B3" t="inlineStr">
        <is>
          <t xml:space="preserve">450000000.00% (informal summary; see Tier Mechanics clause (iii) for the governing marginal-band construction)</t>
        </is>
      </c>
    </row>
    <row r="4">
      <c r="A4" t="inlineStr">
        <is>
          <t xml:space="preserve">This tab is an informal summary for internal reference only. It is never an alternate computation method to the Tier Mechanics tab, and applying the tier mechanic to the single Achievement EBITDA figure in B2, rather than to each scenario separately per Tier Mechanics clause (v), is not the method Section 2.06 provides for.</t>
        </is>
      </c>
    </row>
  </sheetData>
</worksheet>
</file>

<file path=xl/worksheets/sheet4.xml><?xml version="1.0" encoding="utf-8"?>
<worksheet xmlns="http://schemas.openxmlformats.org/spreadsheetml/2006/main">
  <sheetData>
    <row r="1">
      <c r="A1" t="inlineStr">
        <is>
          <t xml:space="preserve">Item</t>
        </is>
      </c>
      <c r="B1" t="inlineStr">
        <is>
          <t xml:space="preserve">Value</t>
        </is>
      </c>
    </row>
    <row r="2">
      <c r="A2" t="inlineStr">
        <is>
          <t xml:space="preserve">Note 1: Period 1 start rule (SPA S2.06(a))</t>
        </is>
      </c>
      <c r="B2" t="inlineStr">
        <is>
          <t xml:space="preserve">First day of Buyer's next fiscal month following the Closing Date, per the Buyer 4-4-5 fiscal-calendar convention (SPA Exhibit E) - not the Closing Date itself.</t>
        </is>
      </c>
    </row>
    <row r="3">
      <c r="A3" t="inlineStr">
        <is>
          <t xml:space="preserve">Note 2: Period 1 commencement date resolved under that rule</t>
        </is>
      </c>
      <c r="B3" t="inlineStr">
        <is>
          <t xml:space="preserve">2026-10-26</t>
        </is>
      </c>
    </row>
    <row r="4">
      <c r="A4" t="inlineStr">
        <is>
          <t xml:space="preserve">Operational discount rate (pre-Achievement)</t>
        </is>
      </c>
      <c r="B4" s="2">
        <v>0.14</v>
      </c>
    </row>
    <row r="5">
      <c r="A5" t="inlineStr">
        <is>
          <t xml:space="preserve">Buyer-credit discount rate (post-Achievement, payment fixed and due)</t>
        </is>
      </c>
      <c r="B5" s="2">
        <v>0.065</v>
      </c>
    </row>
    <row r="6">
      <c r="A6" t="inlineStr">
        <is>
          <t xml:space="preserve">Number of Earn-Out Periods</t>
        </is>
      </c>
      <c r="B6">
        <v>3</v>
      </c>
    </row>
    <row r="7">
      <c r="A7" t="inlineStr">
        <is>
          <t xml:space="preserve">First day of Buyer's next fiscal month following the Closing Date, determined under Buyer's 4-4-5 fiscal calendar (restates Note 2 above in the row-labelled form used elsewhere on this tab)</t>
        </is>
      </c>
      <c r="B7" t="inlineStr">
        <is>
          <t xml:space="preserve">2026-10-26</t>
        </is>
      </c>
    </row>
  </sheetData>
</worksheet>
</file>