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Debt Schedule" sheetId="2" r:id="rId2"/>
    <sheet name="Covenant" sheetId="3" r:id="rId3"/>
    <sheet name="Returns" sheetId="4" r:id="rId4"/>
    <sheet name="Calc" sheetId="5" r:id="rId5"/>
    <sheet name="RelativeValue" sheetId="6" r:id="rId6"/>
  </sheets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yyyy-mm-dd"/>
  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164" fontId="0" fillId="0" borderId="0" applyNumberFormat="1"/>
    <xf numFmtId="165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Input</t>
        </is>
      </c>
      <c r="B1" t="inlineStr">
        <is>
          <t xml:space="preserve">Value</t>
        </is>
      </c>
      <c r="C1" t="inlineStr">
        <is>
          <t xml:space="preserve">Note</t>
        </is>
      </c>
    </row>
    <row r="2">
      <c r="A2" t="inlineStr">
        <is>
          <t xml:space="preserve">Notes principal</t>
        </is>
      </c>
      <c r="B2" s="1">
        <v>175000000</v>
      </c>
    </row>
    <row r="3">
      <c r="A3" t="inlineStr">
        <is>
          <t xml:space="preserve">Notes coupon rate</t>
        </is>
      </c>
      <c r="B3">
        <v>0.07750</v>
      </c>
    </row>
    <row r="4">
      <c r="A4" t="inlineStr">
        <is>
          <t xml:space="preserve">Make-whole discount rate (hard-coded, prior-quarter template)</t>
        </is>
      </c>
      <c r="B4">
        <v>0.03914191780821918</v>
      </c>
      <c r="C4" t="inlineStr">
        <is>
          <t xml:space="preserve">STALE: hard-coded from a prior-quarter template; does not reference '../04_market_data_treasury_fred_fed/treasury_daily_par_yield_curve_extract.csv'. Propagates to a make-whole amount due of approximately 200,148,004.07.</t>
        </is>
      </c>
    </row>
    <row r="5">
      <c r="A5" t="inlineStr">
        <is>
          <t xml:space="preserve">Day-count constant (hard-coded, shared model convention)</t>
        </is>
      </c>
      <c r="B5" t="inlineStr">
        <is>
          <t xml:space="preserve">Actual/Actual ICMA</t>
        </is>
      </c>
      <c r="C5" t="inlineStr">
        <is>
          <t xml:space="preserve">HARD-CODED: the note's own governing convention (senior_notes_indenture.pdf Sec2.01) is 30/360, not Actual/Actual ICMA.</t>
        </is>
      </c>
    </row>
    <row r="6">
      <c r="A6" t="inlineStr">
        <is>
          <t xml:space="preserve">Working-capital collar adjustment basis</t>
        </is>
      </c>
      <c r="B6" t="inlineStr">
        <is>
          <t xml:space="preserve">excess-over-collar only</t>
        </is>
      </c>
      <c r="C6" t="inlineStr">
        <is>
          <t xml:space="preserve">HARD-CODED: should adjust by the full difference once the dead-band is breached.</t>
        </is>
      </c>
    </row>
    <row r="7">
      <c r="A7" t="inlineStr">
        <is>
          <t xml:space="preserve">Notes par call date</t>
        </is>
      </c>
      <c r="B7" s="2">
        <v>47649</v>
      </c>
    </row>
    <row r="8">
      <c r="A8" t="inlineStr">
        <is>
          <t xml:space="preserve">Notes legal maturity date</t>
        </is>
      </c>
      <c r="B8" s="2">
        <v>48014</v>
      </c>
    </row>
    <row r="9">
      <c r="A9" t="inlineStr">
        <is>
          <t xml:space="preserve">Prior coupon date</t>
        </is>
      </c>
      <c r="B9" s="2">
        <v>46188</v>
      </c>
    </row>
    <row r="10">
      <c r="A10" t="inlineStr">
        <is>
          <t xml:space="preserve">Next coupon date</t>
        </is>
      </c>
      <c r="B10" s="2">
        <v>46371</v>
      </c>
    </row>
    <row r="11">
      <c r="A11" t="inlineStr">
        <is>
          <t xml:space="preserve">Redemption / settlement date (Closing)</t>
        </is>
      </c>
      <c r="B11" s="2">
        <v>46295</v>
      </c>
    </row>
    <row r="12">
      <c r="A12" t="inlineStr">
        <is>
          <t xml:space="preserve">Make-whole spread (bps)</t>
        </is>
      </c>
      <c r="B12">
        <v>50</v>
      </c>
    </row>
    <row r="13">
      <c r="A13" t="inlineStr">
        <is>
          <t xml:space="preserve">3 Yr Treasury (2026-06-30 curve)</t>
        </is>
      </c>
      <c r="B13">
        <v>0.0415</v>
      </c>
    </row>
    <row r="14">
      <c r="A14" t="inlineStr">
        <is>
          <t xml:space="preserve">5 Yr Treasury (2026-06-30 curve)</t>
        </is>
      </c>
      <c r="B14">
        <v>0.0419</v>
      </c>
    </row>
    <row r="15">
      <c r="A15" t="inlineStr">
        <is>
          <t xml:space="preserve">Remaining term to par call (years, Act/365)</t>
        </is>
      </c>
      <c r="B15">
        <f>(B7-B11)/365</f>
        <v>3.70958904109589</v>
      </c>
    </row>
    <row r="16">
      <c r="A16" t="inlineStr">
        <is>
          <t xml:space="preserve">Live interpolated Treasury rate (3Yr-5Yr)</t>
        </is>
      </c>
      <c r="B16">
        <f>B13+(B15-3)/(5-3)*(B14-B13)</f>
        <v>0.0416419178082192</v>
      </c>
    </row>
    <row r="17">
      <c r="A17" t="inlineStr">
        <is>
          <t xml:space="preserve">Live all-in discount rate (interpolated + spread)</t>
        </is>
      </c>
      <c r="B17">
        <f>B16+B12/10000</f>
        <v>0.0466419178082192</v>
      </c>
    </row>
    <row r="18">
      <c r="A18" t="inlineStr">
        <is>
          <t xml:space="preserve">Nearest-tenor Treasury rate (superseded fallback)</t>
        </is>
      </c>
      <c r="B18">
        <f>IF(ABS(B15-3)&lt;=ABS(B15-5),B13,B14)</f>
        <v>0.0415</v>
      </c>
    </row>
    <row r="19">
      <c r="A19" t="inlineStr">
        <is>
          <t xml:space="preserve">Nearest-tenor all-in discount rate</t>
        </is>
      </c>
      <c r="B19">
        <f>B18+B12/10000</f>
        <v>0.0465</v>
      </c>
    </row>
    <row r="20">
      <c r="A20" t="inlineStr">
        <is>
          <t xml:space="preserve">Stale all-in discount rate (hard-coded curve + spread)</t>
        </is>
      </c>
      <c r="B20">
        <f>B4+B12/10000</f>
        <v>0.0441419178082192</v>
      </c>
    </row>
    <row r="21">
      <c r="A21" t="inlineStr">
        <is>
          <t xml:space="preserve">Change-of-control put price (% of par)</t>
        </is>
      </c>
      <c r="B21">
        <v>1.01</v>
      </c>
    </row>
    <row r="22">
      <c r="A22" t="inlineStr">
        <is>
          <t xml:space="preserve">Revolver commitment</t>
        </is>
      </c>
      <c r="B22" s="1">
        <v>60000000</v>
      </c>
    </row>
    <row r="23">
      <c r="A23" t="inlineStr">
        <is>
          <t xml:space="preserve">Revolver drawn at close</t>
        </is>
      </c>
      <c r="B23" s="1">
        <v>12000000</v>
      </c>
    </row>
    <row r="24">
      <c r="A24" t="inlineStr">
        <is>
          <t xml:space="preserve">Legacy assumed revolver all-in rate (stale committee assumption)</t>
        </is>
      </c>
      <c r="B24">
        <v>0.0825</v>
      </c>
    </row>
    <row r="25">
      <c r="A25" t="inlineStr">
        <is>
          <t xml:space="preserve">Industrial Revenue Bonds outstanding par</t>
        </is>
      </c>
      <c r="B25" s="1">
        <v>24500000</v>
      </c>
    </row>
    <row r="26">
      <c r="A26" t="inlineStr">
        <is>
          <t xml:space="preserve">Industrial Revenue Bonds assumed rate</t>
        </is>
      </c>
      <c r="B26">
        <v>0.04250</v>
      </c>
    </row>
    <row r="27">
      <c r="A27" t="inlineStr">
        <is>
          <t xml:space="preserve">Maximum Total Net Leverage covenant (Credit Agreement)</t>
        </is>
      </c>
      <c r="B27">
        <v>5.25</v>
      </c>
    </row>
    <row r="28">
      <c r="A28" t="inlineStr">
        <is>
          <t xml:space="preserve">Minimum Fixed Charge Coverage Ratio covenant (Credit Agreement)</t>
        </is>
      </c>
      <c r="B28">
        <v>1.25</v>
      </c>
    </row>
    <row r="29">
      <c r="A29" t="inlineStr">
        <is>
          <t xml:space="preserve">Internal credit policy maximum pro forma leverage</t>
        </is>
      </c>
      <c r="B29">
        <v>5.50</v>
      </c>
    </row>
    <row r="30">
      <c r="A30" t="inlineStr">
        <is>
          <t xml:space="preserve">LTM EBITDA (GAAP base, legacy/stale)</t>
        </is>
      </c>
      <c r="B30" s="1">
        <v>38500000</v>
      </c>
    </row>
    <row r="31">
      <c r="A31" t="inlineStr">
        <is>
          <t xml:space="preserve">LTM Consolidated Interest Expense</t>
        </is>
      </c>
      <c r="B31" s="1">
        <v>15700000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Instrument</t>
        </is>
      </c>
      <c r="B1" t="inlineStr">
        <is>
          <t xml:space="preserve">Opening Balance</t>
        </is>
      </c>
      <c r="C1" t="inlineStr">
        <is>
          <t xml:space="preserve">Drawdown</t>
        </is>
      </c>
      <c r="D1" t="inlineStr">
        <is>
          <t xml:space="preserve">Repayment</t>
        </is>
      </c>
      <c r="E1" t="inlineStr">
        <is>
          <t xml:space="preserve">Interest (period)</t>
        </is>
      </c>
      <c r="F1" t="inlineStr">
        <is>
          <t xml:space="preserve">Closing Balance</t>
        </is>
      </c>
    </row>
    <row r="2">
      <c r="A2" t="inlineStr">
        <is>
          <t xml:space="preserve">Revolving Credit Facility</t>
        </is>
      </c>
      <c r="B2" s="1">
        <f>Inputs!B23</f>
        <v>12000000</v>
      </c>
      <c r="C2" s="1">
        <v>0</v>
      </c>
      <c r="D2" s="1">
        <v>0</v>
      </c>
      <c r="E2" s="1">
        <f>B2*Inputs!B24</f>
        <v>990000</v>
      </c>
      <c r="F2" s="1">
        <f>B2+C2-D2</f>
        <v>12000000</v>
      </c>
    </row>
    <row r="3">
      <c r="A3" t="inlineStr">
        <is>
          <t xml:space="preserve">Senior Notes (Assumed Outstanding)</t>
        </is>
      </c>
      <c r="B3" s="1">
        <f>Inputs!B2</f>
        <v>175000000</v>
      </c>
      <c r="C3" s="1">
        <v>0</v>
      </c>
      <c r="D3" s="1">
        <v>0</v>
      </c>
      <c r="E3" s="1">
        <f>B3*Inputs!B3</f>
        <v>13562500</v>
      </c>
      <c r="F3" s="1">
        <f>B3+C3-D3</f>
        <v>175000000</v>
      </c>
    </row>
    <row r="4">
      <c r="A4" t="inlineStr">
        <is>
          <t xml:space="preserve">Industrial Revenue Bonds (Assumed at Closing)</t>
        </is>
      </c>
      <c r="B4" s="1">
        <f>Inputs!B25</f>
        <v>24500000</v>
      </c>
      <c r="C4" s="1">
        <v>0</v>
      </c>
      <c r="D4" s="1">
        <v>0</v>
      </c>
      <c r="E4" s="1">
        <f>B4*Inputs!B26</f>
        <v>1041250</v>
      </c>
      <c r="F4" s="1">
        <f>B4+C4-D4</f>
        <v>24500000</v>
      </c>
    </row>
    <row r="5">
      <c r="A5" t="inlineStr">
        <is>
          <t xml:space="preserve">Total</t>
        </is>
      </c>
      <c r="B5" s="1">
        <f>SUM(B2:B4)</f>
        <v>211500000</v>
      </c>
      <c r="C5" s="1">
        <f>SUM(C2:C4)</f>
        <v>0</v>
      </c>
      <c r="D5" s="1">
        <f>SUM(D2:D4)</f>
        <v>0</v>
      </c>
      <c r="E5" s="1">
        <f>SUM(E2:E4)</f>
        <v>15593750</v>
      </c>
      <c r="F5" s="1">
        <f>SUM(F2:F4)</f>
        <v>211500000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Threshold</t>
        </is>
      </c>
      <c r="D1" t="inlineStr">
        <is>
          <t xml:space="preserve">Pass/Fail</t>
        </is>
      </c>
    </row>
    <row r="2">
      <c r="A2" t="inlineStr">
        <is>
          <t xml:space="preserve">Total Net Leverage (Total Debt / LTM EBITDA)</t>
        </is>
      </c>
      <c r="B2">
        <f>'Debt Schedule'!F5/Inputs!B30</f>
        <v>5.49350649350649</v>
      </c>
      <c r="C2">
        <f>Inputs!B27</f>
        <v>5.25</v>
      </c>
      <c r="D2" t="str">
        <f>IF(B2&lt;=C2,"Compliant","Breach")</f>
        <v>Breach</v>
      </c>
    </row>
    <row r="3">
      <c r="A3" t="inlineStr">
        <is>
          <t xml:space="preserve">Fixed Charge Coverage (LTM EBITDA / Total Interest)</t>
        </is>
      </c>
      <c r="B3">
        <f>Inputs!B30/'Debt Schedule'!E5</f>
        <v>2.4689378757515</v>
      </c>
      <c r="C3">
        <f>Inputs!B28</f>
        <v>1.25</v>
      </c>
      <c r="D3" t="str">
        <f>IF(B3&gt;=C3,"Compliant","Breach")</f>
        <v>Compliant</v>
      </c>
    </row>
    <row r="4">
      <c r="A4" t="inlineStr">
        <is>
          <t xml:space="preserve">Internal Credit Policy Pro Forma Leverage</t>
        </is>
      </c>
      <c r="B4">
        <f>B2</f>
        <v>5.49350649350649</v>
      </c>
      <c r="C4">
        <f>Inputs!B29</f>
        <v>5.5</v>
      </c>
      <c r="D4" t="str">
        <f>IF(B4&lt;=C4,"Compliant","Breach")</f>
        <v>Compliant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Entry Enterprise Value</t>
        </is>
      </c>
      <c r="B2" s="1">
        <v>352000000</v>
      </c>
    </row>
    <row r="3">
      <c r="A3" t="inlineStr">
        <is>
          <t xml:space="preserve">Entry EBITDA multiple (EV/EBITDA)</t>
        </is>
      </c>
      <c r="B3">
        <v>8.0</v>
      </c>
    </row>
    <row r="4">
      <c r="A4" t="inlineStr">
        <is>
          <t xml:space="preserve">Entry Net Debt (Debt Schedule total, legacy)</t>
        </is>
      </c>
      <c r="B4" s="1">
        <f>'Debt Schedule'!F5</f>
        <v>211500000</v>
      </c>
    </row>
    <row r="5">
      <c r="A5" t="inlineStr">
        <is>
          <t xml:space="preserve">Implied Sponsor Equity Check (EV - Net Debt)</t>
        </is>
      </c>
      <c r="B5" s="1">
        <f>B2-B4</f>
        <v>140500000</v>
      </c>
    </row>
    <row r="6">
      <c r="A6" t="inlineStr">
        <is>
          <t xml:space="preserve">Legacy assumed annual EBITDA growth (hold period)</t>
        </is>
      </c>
      <c r="B6">
        <v>0.04</v>
      </c>
    </row>
    <row r="7">
      <c r="A7" t="inlineStr">
        <is>
          <t xml:space="preserve">Legacy assumed hold period (years)</t>
        </is>
      </c>
      <c r="B7">
        <v>3</v>
      </c>
    </row>
    <row r="8">
      <c r="A8" t="inlineStr">
        <is>
          <t xml:space="preserve">Assumed Exit EBITDA</t>
        </is>
      </c>
      <c r="B8" s="1">
        <f>Inputs!B30*(1+B6)^B7</f>
        <v>43307264</v>
      </c>
    </row>
    <row r="9">
      <c r="A9" t="inlineStr">
        <is>
          <t xml:space="preserve">Assumed Exit Multiple (flat to entry)</t>
        </is>
      </c>
      <c r="B9">
        <f>B3</f>
        <v>8</v>
      </c>
    </row>
    <row r="10">
      <c r="A10" t="inlineStr">
        <is>
          <t xml:space="preserve">Assumed Exit Enterprise Value</t>
        </is>
      </c>
      <c r="B10" s="1">
        <f>B8*B9</f>
        <v>346458112</v>
      </c>
    </row>
    <row r="11">
      <c r="A11" t="inlineStr">
        <is>
          <t xml:space="preserve">Assumed Exit Net Debt (flat, no scheduled paydown modelled)</t>
        </is>
      </c>
      <c r="B11" s="1">
        <f>B4</f>
        <v>211500000</v>
      </c>
    </row>
    <row r="12">
      <c r="A12" t="inlineStr">
        <is>
          <t xml:space="preserve">Assumed Exit Equity Value</t>
        </is>
      </c>
      <c r="B12" s="1">
        <f>B10-B11</f>
        <v>134958112</v>
      </c>
    </row>
    <row r="13">
      <c r="A13" t="inlineStr">
        <is>
          <t xml:space="preserve">Assumed MOIC (Exit Equity / Entry Equity)</t>
        </is>
      </c>
      <c r="B13">
        <f>B12/B5</f>
        <v>0.960555957295374</v>
      </c>
    </row>
    <row r="14">
      <c r="A14" t="inlineStr">
        <is>
          <t xml:space="preserve">Assumed IRR (approx, MOIC^(1/hold)-1)</t>
        </is>
      </c>
      <c r="B14">
        <f>B13^(1/B7)-1</f>
        <v>-0.0133247752678139</v>
      </c>
    </row>
    <row r="15">
      <c r="A15" t="inlineStr">
        <is>
          <t xml:space="preserve">Working capital peg (SPA Article II)</t>
        </is>
      </c>
      <c r="B15" s="1">
        <v>28400000</v>
      </c>
    </row>
    <row r="16">
      <c r="A16" t="inlineStr">
        <is>
          <t xml:space="preserve">Working capital at closing (completion accounts)</t>
        </is>
      </c>
      <c r="B16" s="1">
        <v>26900000</v>
      </c>
    </row>
    <row r="17">
      <c r="A17" t="inlineStr">
        <is>
          <t xml:space="preserve">Working capital collar / dead-band</t>
        </is>
      </c>
      <c r="B17" s="1">
        <v>750000</v>
      </c>
    </row>
    <row r="18">
      <c r="A18" t="inlineStr">
        <is>
          <t xml:space="preserve">Working capital adjustment (per Inputs basis: excess-over-collar only)</t>
        </is>
      </c>
      <c r="B18" s="1">
        <f>SIGN(B16-B15)*(ABS(B16-B15)-B17)</f>
        <v>-750000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CORPORATE DEVELOPMENT - INTERNAL MODEL</t>
        </is>
      </c>
      <c r="B1" t="inlineStr">
        <is>
          <t xml:space="preserve">PRIOR-QUARTER TEMPLATE - NOT RE-TIED TO EXECUTED DOCS</t>
        </is>
      </c>
    </row>
    <row r="2">
      <c r="A2" t="inlineStr">
        <is>
          <t xml:space="preserve">Notes principal</t>
        </is>
      </c>
      <c r="B2" t="inlineStr">
        <is>
          <t xml:space="preserve">175,000,000.00</t>
        </is>
      </c>
    </row>
    <row r="3">
      <c r="A3" t="inlineStr">
        <is>
          <t xml:space="preserve">Notes coupon rate</t>
        </is>
      </c>
      <c r="B3" t="inlineStr">
        <is>
          <t xml:space="preserve">7.750%</t>
        </is>
      </c>
    </row>
    <row r="4">
      <c r="A4" t="inlineStr">
        <is>
          <t xml:space="preserve">Make-whole discount rate (hard-coded, prior-quarter template)</t>
        </is>
      </c>
      <c r="B4" t="inlineStr">
        <is>
          <t xml:space="preserve">3.914192%</t>
        </is>
      </c>
    </row>
    <row r="5">
      <c r="A5" t="inlineStr">
        <is>
          <t xml:space="preserve">Make-whole spread (bps)</t>
        </is>
      </c>
      <c r="B5" t="inlineStr">
        <is>
          <t xml:space="preserve">50</t>
        </is>
      </c>
    </row>
    <row r="6">
      <c r="A6" t="inlineStr">
        <is>
          <t xml:space="preserve">Day-count constant (hard-coded, shared model convention)</t>
        </is>
      </c>
      <c r="B6" t="inlineStr">
        <is>
          <t xml:space="preserve">Actual/Actual ICMA</t>
        </is>
      </c>
    </row>
    <row r="7">
      <c r="A7" t="inlineStr">
        <is>
          <t xml:space="preserve">Make-whole present value of remaining payments (this page's hard-coded discount rate)</t>
        </is>
      </c>
      <c r="B7" t="inlineStr">
        <is>
          <t xml:space="preserve">196,192,274.90</t>
        </is>
      </c>
    </row>
    <row r="8">
      <c r="A8" t="inlineStr">
        <is>
          <t xml:space="preserve">Accrued and unpaid interest (30/360)</t>
        </is>
      </c>
      <c r="B8" t="inlineStr">
        <is>
          <t xml:space="preserve">3,955,729.17</t>
        </is>
      </c>
    </row>
    <row r="9">
      <c r="A9" t="inlineStr">
        <is>
          <t xml:space="preserve">Make-whole present value (discounted through legal maturity)</t>
        </is>
      </c>
      <c r="B9" t="inlineStr">
        <is>
          <t xml:space="preserve">discounted to legal maturity (2031-06-15) instead of the par call date (2030-06-15)</t>
        </is>
      </c>
    </row>
    <row r="10">
      <c r="A10" t="inlineStr">
        <is>
          <t xml:space="preserve">Make-whole amount due (accrued placement basis)</t>
        </is>
      </c>
      <c r="B10" t="inlineStr">
        <is>
          <t xml:space="preserve">accrued interest folded inside the discounted stream instead of added after the par floor</t>
        </is>
      </c>
    </row>
    <row r="11">
      <c r="A11" t="inlineStr">
        <is>
          <t xml:space="preserve">Make-whole amount due (hard-coded prior-quarter discount rate)</t>
        </is>
      </c>
      <c r="B11" t="inlineStr">
        <is>
          <t xml:space="preserve">200,148,004.07</t>
        </is>
      </c>
    </row>
    <row r="12">
      <c r="A12" t="inlineStr">
        <is>
          <t xml:space="preserve">Make-whole amount due (nearest-tenor Treasury fallback)</t>
        </is>
      </c>
      <c r="B12" t="inlineStr">
        <is>
          <t xml:space="preserve">198,550,667.30</t>
        </is>
      </c>
    </row>
    <row r="13">
      <c r="A13" t="inlineStr">
        <is>
          <t xml:space="preserve">Change-of-control put price (101% of par, clean)</t>
        </is>
      </c>
      <c r="B13" t="inlineStr">
        <is>
          <t xml:space="preserve">176,750,000.00</t>
        </is>
      </c>
    </row>
    <row r="14">
      <c r="A14" t="inlineStr">
        <is>
          <t xml:space="preserve">Accrued interest (Actual/Actual ICMA, hard-coded shared constant)</t>
        </is>
      </c>
      <c r="B14" t="inlineStr">
        <is>
          <t xml:space="preserve">3,964,993.17</t>
        </is>
      </c>
    </row>
    <row r="15">
      <c r="A15" t="inlineStr">
        <is>
          <t xml:space="preserve">Change-of-control put amount due (hard-coded shared constant)</t>
        </is>
      </c>
      <c r="B15" t="inlineStr">
        <is>
          <t xml:space="preserve">180,714,993.17</t>
        </is>
      </c>
    </row>
    <row r="16">
      <c r="A16" t="inlineStr">
        <is>
          <t xml:space="preserve">Working-capital collar adjustment basis</t>
        </is>
      </c>
      <c r="B16" t="inlineStr">
        <is>
          <t xml:space="preserve">excess-over-collar only</t>
        </is>
      </c>
    </row>
    <row r="17">
      <c r="A17" t="inlineStr">
        <is>
          <t xml:space="preserve">Prepared by</t>
        </is>
      </c>
      <c r="B17" t="inlineStr">
        <is>
          <t xml:space="preserve">Corporate Development - carried forward from the prior-quarter template.</t>
        </is>
      </c>
    </row>
    <row r="18">
      <c r="A18" t="inlineStr">
        <is>
          <t xml:space="preserve">Note</t>
        </is>
      </c>
      <c r="B18" t="inlineStr">
        <is>
          <t xml:space="preserve">Figures on this page were rolled forward from the prior quarter's model and have not been re-tied to the executed transaction documents.</t>
        </is>
      </c>
    </row>
    <row r="20">
      <c r="A20" t="inlineStr">
        <is>
          <t xml:space="preserve">Period</t>
        </is>
      </c>
      <c r="B20" t="inlineStr">
        <is>
          <t xml:space="preserve">Cash Flow</t>
        </is>
      </c>
      <c r="C20" t="inlineStr">
        <is>
          <t xml:space="preserve">Live PV Factor</t>
        </is>
      </c>
      <c r="D20" t="inlineStr">
        <is>
          <t xml:space="preserve">Live PV</t>
        </is>
      </c>
      <c r="E20" t="inlineStr">
        <is>
          <t xml:space="preserve">Stale PV Factor</t>
        </is>
      </c>
      <c r="F20" t="inlineStr">
        <is>
          <t xml:space="preserve">Stale PV</t>
        </is>
      </c>
      <c r="G20" t="inlineStr">
        <is>
          <t xml:space="preserve">Nearest PV Factor</t>
        </is>
      </c>
      <c r="H20" t="inlineStr">
        <is>
          <t xml:space="preserve">Nearest PV</t>
        </is>
      </c>
    </row>
    <row r="21">
      <c r="A21">
        <v>1</v>
      </c>
      <c r="B21" s="1">
        <f>Inputs!$B$2*Inputs!$B$3/2</f>
        <v>6781250</v>
      </c>
      <c r="C21">
        <f>POWER(1+Inputs!$B$17/2,A21)</f>
        <v>1.02332095890411</v>
      </c>
      <c r="D21" s="1">
        <f>B21/C21</f>
        <v>6626708.79648761</v>
      </c>
      <c r="E21">
        <f>POWER(1+Inputs!$B$20/2,A21)</f>
        <v>1.02207095890411</v>
      </c>
      <c r="F21" s="1">
        <f>B21/E21</f>
        <v>6634813.30813961</v>
      </c>
      <c r="G21">
        <f>POWER(1+Inputs!$B$19/2,A21)</f>
        <v>1.02325</v>
      </c>
      <c r="H21" s="1">
        <f>B21/G21</f>
        <v>6627168.33618373</v>
      </c>
    </row>
    <row r="22">
      <c r="A22">
        <v>2</v>
      </c>
      <c r="B22" s="1">
        <f>Inputs!$B$2*Inputs!$B$3/2</f>
        <v>6781250</v>
      </c>
      <c r="C22">
        <f>POWER(1+Inputs!$B$17/2,A22)</f>
        <v>1.04718578493243</v>
      </c>
      <c r="D22" s="1">
        <f>B22/C22</f>
        <v>6475689.50760498</v>
      </c>
      <c r="E22">
        <f>POWER(1+Inputs!$B$20/2,A22)</f>
        <v>1.04462904503517</v>
      </c>
      <c r="F22" s="1">
        <f>B22/E22</f>
        <v>6491538.821584</v>
      </c>
      <c r="G22">
        <f>POWER(1+Inputs!$B$19/2,A22)</f>
        <v>1.0470405625</v>
      </c>
      <c r="H22" s="1">
        <f>B22/G22</f>
        <v>6476587.67279133</v>
      </c>
    </row>
    <row r="23">
      <c r="A23">
        <v>3</v>
      </c>
      <c r="B23" s="1">
        <f>Inputs!$B$2*Inputs!$B$3/2</f>
        <v>6781250</v>
      </c>
      <c r="C23">
        <f>POWER(1+Inputs!$B$17/2,A23)</f>
        <v>1.0716071615878</v>
      </c>
      <c r="D23" s="1">
        <f>B23/C23</f>
        <v>6328111.87072714</v>
      </c>
      <c r="E23">
        <f>POWER(1+Inputs!$B$20/2,A23)</f>
        <v>1.06768500975818</v>
      </c>
      <c r="F23" s="1">
        <f>B23/E23</f>
        <v>6351358.25456228</v>
      </c>
      <c r="G23">
        <f>POWER(1+Inputs!$B$19/2,A23)</f>
        <v>1.07138425557813</v>
      </c>
      <c r="H23" s="1">
        <f>B23/G23</f>
        <v>6329428.46107142</v>
      </c>
    </row>
    <row r="24">
      <c r="A24">
        <v>4</v>
      </c>
      <c r="B24" s="1">
        <f>Inputs!$B$2*Inputs!$B$3/2</f>
        <v>6781250</v>
      </c>
      <c r="C24">
        <f>POWER(1+Inputs!$B$17/2,A24)</f>
        <v>1.09659806816454</v>
      </c>
      <c r="D24" s="1">
        <f>B24/C24</f>
        <v>6183897.45237312</v>
      </c>
      <c r="E24">
        <f>POWER(1+Inputs!$B$20/2,A24)</f>
        <v>1.09124984173108</v>
      </c>
      <c r="F24" s="1">
        <f>B24/E24</f>
        <v>6214204.79589046</v>
      </c>
      <c r="G24">
        <f>POWER(1+Inputs!$B$19/2,A24)</f>
        <v>1.09629393952032</v>
      </c>
      <c r="H24" s="1">
        <f>B24/G24</f>
        <v>6185612.95975707</v>
      </c>
    </row>
    <row r="25">
      <c r="A25">
        <v>5</v>
      </c>
      <c r="B25" s="1">
        <f>Inputs!$B$2*Inputs!$B$3/2</f>
        <v>6781250</v>
      </c>
      <c r="C25">
        <f>POWER(1+Inputs!$B$17/2,A25)</f>
        <v>1.12217178664653</v>
      </c>
      <c r="D25" s="1">
        <f>B25/C25</f>
        <v>6042969.60652067</v>
      </c>
      <c r="E25">
        <f>POWER(1+Inputs!$B$20/2,A25)</f>
        <v>1.11533477214205</v>
      </c>
      <c r="F25" s="1">
        <f>B25/E25</f>
        <v>6080013.07712871</v>
      </c>
      <c r="G25">
        <f>POWER(1+Inputs!$B$19/2,A25)</f>
        <v>1.12178277361416</v>
      </c>
      <c r="H25" s="1">
        <f>B25/G25</f>
        <v>6045065.19399665</v>
      </c>
    </row>
    <row r="26">
      <c r="A26">
        <v>6</v>
      </c>
      <c r="B26" s="1">
        <f>Inputs!$B$2*Inputs!$B$3/2</f>
        <v>6781250</v>
      </c>
      <c r="C26">
        <f>POWER(1+Inputs!$B$17/2,A26)</f>
        <v>1.14834190876627</v>
      </c>
      <c r="D26" s="1">
        <f>B26/C26</f>
        <v>5905253.43387101</v>
      </c>
      <c r="E26">
        <f>POWER(1+Inputs!$B$20/2,A26)</f>
        <v>1.13995128006232</v>
      </c>
      <c r="F26" s="1">
        <f>B26/E26</f>
        <v>5948719.1414262</v>
      </c>
      <c r="G26">
        <f>POWER(1+Inputs!$B$19/2,A26)</f>
        <v>1.14786422310069</v>
      </c>
      <c r="H26" s="1">
        <f>B26/G26</f>
        <v>5907710.91521783</v>
      </c>
    </row>
    <row r="27">
      <c r="A27">
        <v>7</v>
      </c>
      <c r="B27" s="1">
        <f>Inputs!$B$2*Inputs!$B$3/2</f>
        <v>6781250</v>
      </c>
      <c r="C27">
        <f>POWER(1+Inputs!$B$17/2,A27)</f>
        <v>1.17512234322847</v>
      </c>
      <c r="D27" s="1">
        <f>B27/C27</f>
        <v>5770675.74204191</v>
      </c>
      <c r="E27">
        <f>POWER(1+Inputs!$B$20/2,A27)</f>
        <v>1.16511109791726</v>
      </c>
      <c r="F27" s="1">
        <f>B27/E27</f>
        <v>5820260.4130388</v>
      </c>
      <c r="G27">
        <f>POWER(1+Inputs!$B$19/2,A27)</f>
        <v>1.17455206628778</v>
      </c>
      <c r="H27" s="1">
        <f>B27/G27</f>
        <v>5773477.56190357</v>
      </c>
    </row>
    <row r="28">
      <c r="A28">
        <v>8</v>
      </c>
      <c r="B28" s="1">
        <f>Inputs!$B$2*Inputs!$B$3/2+Inputs!$B$2</f>
        <v>181781250</v>
      </c>
      <c r="C28">
        <f>POWER(1+Inputs!$B$17/2,A28)</f>
        <v>1.20252732310221</v>
      </c>
      <c r="D28" s="1">
        <f>B28/C28</f>
        <v>151166003.888421</v>
      </c>
      <c r="E28">
        <f>POWER(1+Inputs!$B$20/2,A28)</f>
        <v>1.19082621707811</v>
      </c>
      <c r="F28" s="1">
        <f>B28/E28</f>
        <v>152651367.086988</v>
      </c>
      <c r="G28">
        <f>POWER(1+Inputs!$B$19/2,A28)</f>
        <v>1.20186040182898</v>
      </c>
      <c r="H28" s="1">
        <f>B28/G28</f>
        <v>151249887.027951</v>
      </c>
    </row>
    <row r="29">
      <c r="A29" t="inlineStr">
        <is>
          <t xml:space="preserve">Total</t>
        </is>
      </c>
      <c r="B29" s="1">
        <f>SUM(B21:B28)</f>
        <v>229250000</v>
      </c>
      <c r="D29" s="1">
        <f>SUM(D21:D28)</f>
        <v>194499310.298047</v>
      </c>
      <c r="F29" s="1">
        <f>SUM(F21:F28)</f>
        <v>196192274.898758</v>
      </c>
      <c r="H29" s="1">
        <f>SUM(H21:H28)</f>
        <v>194594938.128872</v>
      </c>
    </row>
    <row r="31">
      <c r="A31" t="inlineStr">
        <is>
          <t xml:space="preserve">Accrued interest (30/360, live formula)</t>
        </is>
      </c>
      <c r="B31" s="1">
        <f>(Inputs!$B$2*Inputs!$B$3/2)*DAYS360(Inputs!$B$9,Inputs!$B$11)/180</f>
        <v>3955729.16666667</v>
      </c>
    </row>
    <row r="32">
      <c r="A32" t="inlineStr">
        <is>
          <t xml:space="preserve">Accrued interest (Actual/Actual ICMA, live formula)</t>
        </is>
      </c>
      <c r="B32" s="1">
        <f>(Inputs!$B$2*Inputs!$B$3/2)*(Inputs!$B$11-Inputs!$B$9)/(Inputs!$B$10-Inputs!$B$9)</f>
        <v>3964993.16939891</v>
      </c>
    </row>
    <row r="33">
      <c r="A33" t="inlineStr">
        <is>
          <t xml:space="preserve">Make-whole amount due (live, correct: par floor then accrued added after)</t>
        </is>
      </c>
      <c r="B33" s="1">
        <f>MAX(Inputs!$B$2,D29)+B31</f>
        <v>198455039.464714</v>
      </c>
    </row>
    <row r="34">
      <c r="A34" t="inlineStr">
        <is>
          <t xml:space="preserve">Make-whole amount due (live, accrued folded inside the discounted stream)</t>
        </is>
      </c>
      <c r="B34" s="1">
        <f>MAX(Inputs!$B$2,D29+B31)</f>
        <v>198455039.464714</v>
      </c>
    </row>
    <row r="35">
      <c r="A35" t="inlineStr">
        <is>
          <t xml:space="preserve">Change-of-control put amount due (live, correct 30/360)</t>
        </is>
      </c>
      <c r="B35" s="1">
        <f>Inputs!$B$21*Inputs!$B$2+B31</f>
        <v>180705729.166667</v>
      </c>
    </row>
    <row r="36">
      <c r="A36" t="inlineStr">
        <is>
          <t xml:space="preserve">Change-of-control put amount due (live, hard-coded Act/Act ICMA)</t>
        </is>
      </c>
      <c r="B36" s="1">
        <f>Inputs!$B$21*Inputs!$B$2+B32</f>
        <v>180714993.169399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Corporate note yield to worst (call-schedule search only)</t>
        </is>
      </c>
      <c r="B1">
        <v>8.268014341592788696289062500</v>
      </c>
      <c r="C1" t="inlineStr">
        <is>
          <t xml:space="preserve">Minimum yield across the step-down call schedule.</t>
        </is>
      </c>
    </row>
    <row r="2">
      <c r="A2" t="inlineStr">
        <is>
          <t xml:space="preserve">Municipal IRB market yield (comparison basis)</t>
        </is>
      </c>
      <c r="B2">
        <v>0.04250</v>
      </c>
    </row>
    <row r="3">
      <c r="A3" t="inlineStr">
        <is>
          <t xml:space="preserve">Acquirer federal corporate tax rate</t>
        </is>
      </c>
      <c r="B3">
        <v>0.21</v>
      </c>
    </row>
    <row r="4">
      <c r="A4" t="inlineStr">
        <is>
          <t xml:space="preserve">Acquirer state corporate tax rate</t>
        </is>
      </c>
      <c r="B4">
        <v>0.0575</v>
      </c>
    </row>
    <row r="5">
      <c r="A5" t="inlineStr">
        <is>
          <t xml:space="preserve">Combined marginal tax rate (netted)</t>
        </is>
      </c>
      <c r="B5">
        <f>B3+B4*(1-B3)</f>
        <v>0.255425</v>
      </c>
    </row>
    <row r="6">
      <c r="A6" t="inlineStr">
        <is>
          <t xml:space="preserve">Municipal IRB tax-equivalent yield (comparison basis)</t>
        </is>
      </c>
      <c r="B6">
        <f>B2/(1-B5)</f>
        <v>0.0570795420206158</v>
      </c>
    </row>
    <row r="7">
      <c r="A7" t="inlineStr">
        <is>
          <t xml:space="preserve">Note</t>
        </is>
      </c>
      <c r="B7" t="inlineStr">
        <is>
          <t xml:space="preserve">Grossed up at the firm's out-of-state marginal rate assumption.</t>
        </is>
      </c>
    </row>
    <row r="8">
      <c r="A8" t="inlineStr">
        <is>
          <t xml:space="preserve">Prepared by</t>
        </is>
      </c>
      <c r="B8" t="inlineStr">
        <is>
          <t xml:space="preserve">Corporate Development - carried forward from the prior quarter's comparables model.</t>
        </is>
      </c>
    </row>
    <row r="9">
      <c r="A9" t="inlineStr">
        <is>
          <t xml:space="preserve">Note</t>
        </is>
      </c>
      <c r="B9" t="inlineStr">
        <is>
          <t xml:space="preserve">Figures on this tab were rolled forward from the prior quarter's comparables model and have not been re-tied to the executed transaction documents.</t>
        </is>
      </c>
    </row>
  </sheetData>
</worksheet>
</file>