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BITDA Bridge" sheetId="1" r:id="rId1"/>
  </sheets>
  <definedNames>
    <definedName name="AdjustedEBITDA">'EBITDA Bridge'!$B$4</definedName>
    <definedName name="ReportedEBITDA">'EBITDA Bridge'!$B$12</definedName>
    <definedName name="NamedAddbacksSubtotal">'EBITDA Bridge'!$B$18</definedName>
    <definedName name="SubtotalAfterNamedAddbacks">'EBITDA Bridge'!$B$19</definedName>
  </definedNames>
</workbook>
</file>

<file path=xl/styles.xml><?xml version="1.0" encoding="utf-8"?>
<styleSheet xmlns="http://schemas.openxmlformats.org/spreadsheetml/2006/main">
  <numFmts count="1">
    <numFmt numFmtId="164" formatCode="#,##0;(#,##0)"/>
  </numFmts>
  <fonts count="1">
    <font>
      <sz val="8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64" fontId="0" fillId="0" border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ADJUSTED EBITDA BRIDGE</t>
        </is>
      </c>
    </row>
    <row r="3">
      <c r="A3" t="inlineStr">
        <is>
          <t xml:space="preserve">Headline reference (front-of-bridge memorandum; NOT derived from this bridge's own GAAP build-up below - the four competing EBITDA definitions in this corpus are never conflated, per the collision map)</t>
        </is>
      </c>
    </row>
    <row r="4">
      <c r="A4" t="inlineStr">
        <is>
          <t xml:space="preserve">QofE Adjusted EBITDA (Tier-1 + Tier-2), per qofe_adjusted_ebitda_analysis.pdf</t>
        </is>
      </c>
      <c r="B4" s="1">
        <v>44000000</v>
      </c>
    </row>
    <row r="5">
      <c r="A5" t="inlineStr">
        <is>
          <t xml:space="preserve">Management-presentation Adjusted EBITDA (investor-facing; uncapped synergies; never contractually operative for the covenant or the earn-out)</t>
        </is>
      </c>
      <c r="B5" s="1">
        <v>47500000</v>
      </c>
    </row>
    <row r="7">
      <c r="A7" t="inlineStr">
        <is>
          <t xml:space="preserve">Reported EBITDA build-up (GAAP basis)</t>
        </is>
      </c>
    </row>
    <row r="8">
      <c r="A8" t="inlineStr">
        <is>
          <t xml:space="preserve">Consolidated Net Income</t>
        </is>
      </c>
      <c r="B8" s="1">
        <v>9400000</v>
      </c>
    </row>
    <row r="9">
      <c r="A9" t="inlineStr">
        <is>
          <t xml:space="preserve">Add: provision for income taxes</t>
        </is>
      </c>
      <c r="B9" s="1">
        <v>3100000</v>
      </c>
    </row>
    <row r="10">
      <c r="A10" t="inlineStr">
        <is>
          <t xml:space="preserve">Add: Consolidated Interest Expense</t>
        </is>
      </c>
      <c r="B10" s="1">
        <v>15700000</v>
      </c>
    </row>
    <row r="11">
      <c r="A11" t="inlineStr">
        <is>
          <t xml:space="preserve">Add: depreciation and amortization expense</t>
        </is>
      </c>
      <c r="B11" s="1">
        <v>10300000</v>
      </c>
    </row>
    <row r="12">
      <c r="A12" t="inlineStr">
        <is>
          <t xml:space="preserve">Reported EBITDA (GAAP basis)</t>
        </is>
      </c>
      <c r="B12" s="1">
        <f>B8+B9+B10+B11</f>
        <v>38500000</v>
      </c>
    </row>
    <row r="14">
      <c r="A14" t="inlineStr">
        <is>
          <t xml:space="preserve">Adjustments recognized under the Credit Agreement's Consolidated EBITDA definition (see Note 16 of the audited financial statements) and the QofE's own Tier-2 judgmental adjustments - the same three dollar figures feed both:</t>
        </is>
      </c>
    </row>
    <row r="15">
      <c r="A15" t="inlineStr">
        <is>
          <t xml:space="preserve">Stock-based compensation expense (non-cash)</t>
        </is>
      </c>
      <c r="B15" s="1">
        <v>2100000</v>
      </c>
      <c r="C15" t="inlineStr">
        <is>
          <t xml:space="preserve">Basis: Credit Agreement Sec. 1 (Definitions), Consolidated EBITDA addback for stock compensation expense; the same figure is a QofE Tier-2 judgmental adjustment</t>
        </is>
      </c>
    </row>
    <row r="16">
      <c r="A16" t="inlineStr">
        <is>
          <t xml:space="preserve">Restructuring and severance costs</t>
        </is>
      </c>
      <c r="B16" s="1">
        <v>1400000</v>
      </c>
      <c r="C16" t="inlineStr">
        <is>
          <t xml:space="preserve">Basis: Credit Agreement Sec. 1 addback for extraordinary/nonrecurring restructuring items; QofE Tier-2 judgmental adjustment</t>
        </is>
      </c>
    </row>
    <row r="17">
      <c r="A17" t="inlineStr">
        <is>
          <t xml:space="preserve">Transaction and integration costs</t>
        </is>
      </c>
      <c r="B17" s="1">
        <v>3200000</v>
      </c>
      <c r="C17" t="inlineStr">
        <is>
          <t xml:space="preserve">Basis: Credit Agreement Sec. 1 addback for permitted-acquisition transaction and integration costs; QofE Tier-2 judgmental adjustment</t>
        </is>
      </c>
    </row>
    <row r="18">
      <c r="A18" t="inlineStr">
        <is>
          <t xml:space="preserve">Subtotal: named addbacks above</t>
        </is>
      </c>
      <c r="B18" s="1">
        <f>B15+B16+B17</f>
        <v>6700000</v>
      </c>
    </row>
    <row r="19">
      <c r="A19" t="inlineStr">
        <is>
          <t xml:space="preserve">Subtotal: Reported EBITDA plus named addbacks</t>
        </is>
      </c>
      <c r="B19" s="1">
        <f>B12+B18</f>
        <v>45200000</v>
      </c>
    </row>
    <row r="21">
      <c r="A21" t="inlineStr">
        <is>
          <t xml:space="preserve">Reconciling difference versus the QofE Adjusted EBITDA headline above (unitemized QofE Tier-1 factual adjustments and other differences; this bridge itemizes only the addbacks it shares with the Credit Agreement and does not restate the QofE's full Tier-1 workpaper)</t>
        </is>
      </c>
      <c r="B21" s="1">
        <f>B4-B19</f>
        <v>-1200000</v>
      </c>
    </row>
  </sheetData>
</worksheet>
</file>