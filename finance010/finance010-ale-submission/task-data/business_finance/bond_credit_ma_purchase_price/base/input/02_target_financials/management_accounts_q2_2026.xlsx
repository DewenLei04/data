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Balance Sheet (Current)" sheetId="1" r:id="rId1"/>
    <sheet name="Income Statement (LTM Build)" sheetId="2" r:id="rId2"/>
    <sheet name="Working Capital Roll (Quarter)" sheetId="3" r:id="rId3"/>
  </sheets>
  <definedNames>
    <definedName name="MGMT_ACCTS_TOTAL_CURRENT_LIABILITIES_JUN26">'Balance Sheet (Current)'!$D$13</definedName>
    <definedName name="MGMT_ACCTS_GAAP_LTM_EBITDA_BASE">'Income Statement (LTM Build)'!$B$8</definedName>
    <definedName name="MGMT_ACCTS_NWC_GAAP_BASIS_JUN26">'Working Capital Roll (Quarter)'!$D$7</definedName>
  </definedNames>
</workbook>
</file>

<file path=xl/styles.xml><?xml version="1.0" encoding="utf-8"?>
<styleSheet xmlns="http://schemas.openxmlformats.org/spreadsheetml/2006/main">
  <numFmts count="1">
    <numFmt numFmtId="164" formatCode="#,##0;(#,##0)"/>
  </numFmts>
  <fonts count="1">
    <font>
      <sz val="8"/>
      <name val="Arial"/>
    </font>
  </fonts>
  <fills count="1">
    <fill>
      <patternFill patternType="none"/>
    </fill>
  </fills>
  <borders count="1">
    <border>
      <left/>
      <right/>
      <top/>
      <bottom/>
      <diagonal/>
    </border>
  </borders>
  <cellStyleXfs count="1">
    <xf numFmtId="0" fontId="0" fillId="0" borderId="0"/>
  </cellStyleXfs>
  <cellXfs count="2">
    <xf numFmtId="0" fontId="0" fillId="0" borderId="0"/>
    <xf numFmtId="164" fontId="0" fillId="0" border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sheetData>
    <row r="1">
      <c r="A1" t="inlineStr">
        <is>
          <t xml:space="preserve">Management Accounts - Current Assets and Current Liabilities (unaudited)</t>
        </is>
      </c>
    </row>
    <row r="3">
      <c r="A3" t="inlineStr">
        <is>
          <t xml:space="preserve">Line</t>
        </is>
      </c>
      <c r="B3" t="inlineStr">
        <is>
          <t xml:space="preserve">April 2026</t>
        </is>
      </c>
      <c r="C3" t="inlineStr">
        <is>
          <t xml:space="preserve">May 2026</t>
        </is>
      </c>
      <c r="D3" t="inlineStr">
        <is>
          <t xml:space="preserve">June 2026</t>
        </is>
      </c>
    </row>
    <row r="5">
      <c r="A5" t="inlineStr">
        <is>
          <t xml:space="preserve">Current assets, other than cash (receivables, inventory, prepaids)</t>
        </is>
      </c>
      <c r="B5" s="1">
        <v>40200000</v>
      </c>
      <c r="C5" s="1">
        <v>40950000</v>
      </c>
      <c r="D5" s="1">
        <v>41700000</v>
      </c>
    </row>
    <row r="6">
      <c r="A6" t="inlineStr">
        <is>
          <t xml:space="preserve">Cash and cash equivalents</t>
        </is>
      </c>
      <c r="B6" s="1">
        <v>8900000</v>
      </c>
      <c r="C6" s="1">
        <v>9200000</v>
      </c>
      <c r="D6" s="1">
        <v>9600000</v>
      </c>
    </row>
    <row r="7">
      <c r="A7" t="inlineStr">
        <is>
          <t xml:space="preserve">Total current assets</t>
        </is>
      </c>
      <c r="B7" s="1">
        <f>B5+B6</f>
        <v>49100000</v>
      </c>
      <c r="C7" s="1">
        <f>C5+C6</f>
        <v>50150000</v>
      </c>
      <c r="D7" s="1">
        <f>D5+D6</f>
        <v>51300000</v>
      </c>
    </row>
    <row r="9">
      <c r="A9" t="inlineStr">
        <is>
          <t xml:space="preserve">Accounts payable and accrued liabilities (trade)</t>
        </is>
      </c>
      <c r="B9" s="1">
        <v>14800000</v>
      </c>
      <c r="C9" s="1">
        <v>14800000</v>
      </c>
      <c r="D9" s="1">
        <v>14800000</v>
      </c>
    </row>
    <row r="10">
      <c r="A10" t="inlineStr">
        <is>
          <t xml:space="preserve">Capital lease obligations, current portion</t>
        </is>
      </c>
      <c r="B10" s="1">
        <v>1100000</v>
      </c>
      <c r="C10" s="1">
        <v>1100000</v>
      </c>
      <c r="D10" s="1">
        <v>1100000</v>
      </c>
    </row>
    <row r="11">
      <c r="A11" t="inlineStr">
        <is>
          <t xml:space="preserve">Accrued interest</t>
        </is>
      </c>
      <c r="B11" s="1">
        <v>2400000</v>
      </c>
      <c r="C11" s="1">
        <v>2400000</v>
      </c>
      <c r="D11" s="1">
        <v>2400000</v>
      </c>
    </row>
    <row r="12">
      <c r="A12" t="inlineStr">
        <is>
          <t xml:space="preserve">Deferred contingent earn-out, prior tuck-in acquisition</t>
        </is>
      </c>
      <c r="B12" s="1">
        <v>1600000</v>
      </c>
      <c r="C12" s="1">
        <v>1600000</v>
      </c>
      <c r="D12" s="1">
        <v>1600000</v>
      </c>
    </row>
    <row r="13">
      <c r="A13" t="inlineStr">
        <is>
          <t xml:space="preserve">Total current liabilities</t>
        </is>
      </c>
      <c r="B13" s="1">
        <f>SUM(B9:B12)</f>
        <v>19900000</v>
      </c>
      <c r="C13" s="1">
        <f>SUM(C9:C12)</f>
        <v>19900000</v>
      </c>
      <c r="D13" s="1">
        <f>SUM(D9:D12)</f>
        <v>19900000</v>
      </c>
    </row>
    <row r="15">
      <c r="A15" t="inlineStr">
        <is>
          <t xml:space="preserve">Presentation note: total current liabilities above is presented on a literal GAAP current-liabilities basis and has not been adjusted for any debt-like-item exclusion; any itemized exclusion list governing a purchase-price working capital calculation is maintained in a separate schedule outside this workbook.</t>
        </is>
      </c>
    </row>
    <row r="16">
      <c r="A16" t="inlineStr">
        <is>
          <t xml:space="preserve">Capital lease obligations, accrued interest, and the deferred contingent earn-out are held constant across the quarter above, consistent with the underlying lease and note schedules; cash and other current assets and liabilities fluctuate month to month with ordinary collections and disbursements activity.</t>
        </is>
      </c>
    </row>
  </sheetData>
</worksheet>
</file>

<file path=xl/worksheets/sheet2.xml><?xml version="1.0" encoding="utf-8"?>
<worksheet xmlns="http://schemas.openxmlformats.org/spreadsheetml/2006/main">
  <sheetData>
    <row r="1">
      <c r="A1" t="inlineStr">
        <is>
          <t xml:space="preserve">Trailing-Twelve-Month EBITDA Build, Period Ended June 30, 2026 (unaudited)</t>
        </is>
      </c>
    </row>
    <row r="3">
      <c r="A3" t="inlineStr">
        <is>
          <t xml:space="preserve">Line</t>
        </is>
      </c>
      <c r="B3" t="inlineStr">
        <is>
          <t xml:space="preserve">Amount</t>
        </is>
      </c>
    </row>
    <row r="4">
      <c r="A4" t="inlineStr">
        <is>
          <t xml:space="preserve">Consolidated Net Income (LTM)</t>
        </is>
      </c>
      <c r="B4" s="1">
        <v>9400000</v>
      </c>
    </row>
    <row r="5">
      <c r="A5" t="inlineStr">
        <is>
          <t xml:space="preserve">Plus: Provision for Taxes</t>
        </is>
      </c>
      <c r="B5" s="1">
        <v>3100000</v>
      </c>
    </row>
    <row r="6">
      <c r="A6" t="inlineStr">
        <is>
          <t xml:space="preserve">Plus: Consolidated Interest Expense</t>
        </is>
      </c>
      <c r="B6" s="1">
        <v>15700000</v>
      </c>
    </row>
    <row r="7">
      <c r="A7" t="inlineStr">
        <is>
          <t xml:space="preserve">Plus: Depreciation and Amortization</t>
        </is>
      </c>
      <c r="B7" s="1">
        <v>10300000</v>
      </c>
    </row>
    <row r="8">
      <c r="A8" t="inlineStr">
        <is>
          <t xml:space="preserve">GAAP LTM EBITDA base</t>
        </is>
      </c>
      <c r="B8" s="1">
        <f>SUM(B4:B7)</f>
        <v>38500000</v>
      </c>
    </row>
    <row r="10">
      <c r="A10" t="inlineStr">
        <is>
          <t xml:space="preserve">Reconciliation note: the trailing-twelve-month figures above roll forward the most recently completed fiscal year's audited results with the interim quarters presented in management accounts, including the quarter presented on the Balance Sheet (Current) sheet of this workbook. Management accounts for interim periods are unaudited and may legitimately differ from the corresponding audited figures because of accrual-cutoff timing, estimates later refined during the annual audit, and reclassifications booked at audit that are not reflected in the interim general ledger. Any such differences are reconciled as part of the annual audit process and are not, by themselves, errors in either set of records.</t>
        </is>
      </c>
    </row>
  </sheetData>
</worksheet>
</file>

<file path=xl/worksheets/sheet3.xml><?xml version="1.0" encoding="utf-8"?>
<worksheet xmlns="http://schemas.openxmlformats.org/spreadsheetml/2006/main">
  <sheetData>
    <row r="1">
      <c r="A1" t="inlineStr">
        <is>
          <t xml:space="preserve">Q2 2026 Working Capital Roll-Forward, GAAP Current-Liabilities Basis (unaudited)</t>
        </is>
      </c>
    </row>
    <row r="3">
      <c r="A3" t="inlineStr">
        <is>
          <t xml:space="preserve">Line</t>
        </is>
      </c>
      <c r="B3" t="inlineStr">
        <is>
          <t xml:space="preserve">April 2026</t>
        </is>
      </c>
      <c r="C3" t="inlineStr">
        <is>
          <t xml:space="preserve">May 2026</t>
        </is>
      </c>
      <c r="D3" t="inlineStr">
        <is>
          <t xml:space="preserve">June 2026</t>
        </is>
      </c>
    </row>
    <row r="5">
      <c r="A5" t="inlineStr">
        <is>
          <t xml:space="preserve">Total current assets (from Balance Sheet (Current) sheet)</t>
        </is>
      </c>
      <c r="B5" s="1">
        <f>'Balance Sheet (Current)'!B7</f>
        <v>49100000</v>
      </c>
      <c r="C5" s="1">
        <f>'Balance Sheet (Current)'!C7</f>
        <v>50150000</v>
      </c>
      <c r="D5" s="1">
        <f>'Balance Sheet (Current)'!D7</f>
        <v>51300000</v>
      </c>
    </row>
    <row r="6">
      <c r="A6" t="inlineStr">
        <is>
          <t xml:space="preserve">Total current liabilities (from Balance Sheet (Current) sheet)</t>
        </is>
      </c>
      <c r="B6" s="1">
        <f>'Balance Sheet (Current)'!B13</f>
        <v>19900000</v>
      </c>
      <c r="C6" s="1">
        <f>'Balance Sheet (Current)'!C13</f>
        <v>19900000</v>
      </c>
      <c r="D6" s="1">
        <f>'Balance Sheet (Current)'!D13</f>
        <v>19900000</v>
      </c>
    </row>
    <row r="7">
      <c r="A7" t="inlineStr">
        <is>
          <t xml:space="preserve">Net working capital, GAAP current-liabilities basis</t>
        </is>
      </c>
      <c r="B7" s="1">
        <f>B5-B6</f>
        <v>29200000</v>
      </c>
      <c r="C7" s="1">
        <f>C5-C6</f>
        <v>30250000</v>
      </c>
      <c r="D7" s="1">
        <f>D5-D6</f>
        <v>31400000</v>
      </c>
    </row>
    <row r="9">
      <c r="A9" t="inlineStr">
        <is>
          <t xml:space="preserve">This roll-forward carries the Balance Sheet (Current) sheet's own literal GAAP current-liabilities total forward without adjusting it for the itemized debt-like-item exclusion list maintained in the Sample Working Capital Statement referenced elsewhere in this engagement's work product; see the presentation note on that sheet.</t>
        </is>
      </c>
    </row>
  </sheetData>
</worksheet>
</file>