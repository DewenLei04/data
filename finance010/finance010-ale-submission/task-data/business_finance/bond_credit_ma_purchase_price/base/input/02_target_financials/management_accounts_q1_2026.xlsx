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&amp;L (Management Basis)" sheetId="1" r:id="rId1"/>
    <sheet name="Balance Sheet (Management Basis)" sheetId="2" r:id="rId2"/>
    <sheet name="Working Capital Roll (Management Basis)" sheetId="3" r:id="rId3"/>
  </sheets>
  <definedNames>
    <definedName name="Q1EBITDA">'P&amp;L (Management Basis)'!$B$11</definedName>
    <definedName name="WCDeadBandUpper">'Working Capital Roll (Management Basis)'!$B$6</definedName>
    <definedName name="WCDeadBandLower">'Working Capital Roll (Management Basis)'!$B$7</definedName>
  </definedNames>
</workbook>
</file>

<file path=xl/styles.xml><?xml version="1.0" encoding="utf-8"?>
<styleSheet xmlns="http://schemas.openxmlformats.org/spreadsheetml/2006/main">
  <numFmts count="1">
    <numFmt numFmtId="164" formatCode="#,##0;(#,##0)"/>
  </numFmts>
  <fonts count="1">
    <font>
      <sz val="8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Q1 2026 MANAGEMENT ACCOUNTS - PROFIT AND LOSS (INTERNAL, UNAUDITED)</t>
        </is>
      </c>
    </row>
    <row r="3">
      <c r="A3" t="inlineStr">
        <is>
          <t xml:space="preserve">Annual reference: Consolidated Net Income (FY2025 audited basis)</t>
        </is>
      </c>
      <c r="B3" s="1">
        <v>9400000</v>
      </c>
    </row>
    <row r="4">
      <c r="A4" t="inlineStr">
        <is>
          <t xml:space="preserve">Quarterly allocation (one fiscal quarter of the annual basis above)</t>
        </is>
      </c>
      <c r="B4" s="1">
        <f>B3*0.25</f>
        <v>2350000</v>
      </c>
    </row>
    <row r="5">
      <c r="A5" t="inlineStr">
        <is>
          <t xml:space="preserve">Annual reference: provision for income taxes (FY2025 audited basis)</t>
        </is>
      </c>
      <c r="B5" s="1">
        <v>3100000</v>
      </c>
    </row>
    <row r="6">
      <c r="A6" t="inlineStr">
        <is>
          <t xml:space="preserve">Quarterly allocation</t>
        </is>
      </c>
      <c r="B6" s="1">
        <f>B5*0.25</f>
        <v>775000</v>
      </c>
    </row>
    <row r="7">
      <c r="A7" t="inlineStr">
        <is>
          <t xml:space="preserve">Annual reference: Consolidated Interest Expense (FY2025 audited basis)</t>
        </is>
      </c>
      <c r="B7" s="1">
        <v>15700000</v>
      </c>
    </row>
    <row r="8">
      <c r="A8" t="inlineStr">
        <is>
          <t xml:space="preserve">Quarterly allocation</t>
        </is>
      </c>
      <c r="B8" s="1">
        <f>B7*0.25</f>
        <v>3925000</v>
      </c>
    </row>
    <row r="9">
      <c r="A9" t="inlineStr">
        <is>
          <t xml:space="preserve">Annual reference: depreciation and amortization expense (FY2025 audited basis)</t>
        </is>
      </c>
      <c r="B9" s="1">
        <v>10300000</v>
      </c>
    </row>
    <row r="10">
      <c r="A10" t="inlineStr">
        <is>
          <t xml:space="preserve">Quarterly allocation</t>
        </is>
      </c>
      <c r="B10" s="1">
        <f>B9*0.25</f>
        <v>2575000</v>
      </c>
    </row>
    <row r="11">
      <c r="A11" t="inlineStr">
        <is>
          <t xml:space="preserve">Q1 2026 EBITDA (management basis, quarterly allocation)</t>
        </is>
      </c>
      <c r="B11" s="1">
        <f>B4+B6+B8+B10</f>
        <v>9625000</v>
      </c>
    </row>
    <row r="13">
      <c r="A13" t="inlineStr">
        <is>
          <t xml:space="preserve">These quarterly figures are a management-basis, straight-line quarterly allocation of the FY2025 audited annual figures, presented for internal trend-monitoring purposes only; they are not a substitute for, and are not derived from, a discrete quarterly close, and are not separately audited or reviewed.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Q1 2026 MANAGEMENT ACCOUNTS - BALANCE SHEET (INTERNAL, UNAUDITED)</t>
        </is>
      </c>
    </row>
    <row r="3">
      <c r="A3" t="inlineStr">
        <is>
          <t xml:space="preserve">Senior Notes principal</t>
        </is>
      </c>
      <c r="B3" s="1">
        <v>175000000</v>
      </c>
    </row>
    <row r="4">
      <c r="A4" t="inlineStr">
        <is>
          <t xml:space="preserve">Revolving credit facility - committed</t>
        </is>
      </c>
      <c r="B4" s="1">
        <v>60000000</v>
      </c>
    </row>
    <row r="5">
      <c r="A5" t="inlineStr">
        <is>
          <t xml:space="preserve">Revolving credit facility - drawn</t>
        </is>
      </c>
      <c r="B5" s="1">
        <v>12000000</v>
      </c>
    </row>
    <row r="6">
      <c r="A6" t="inlineStr">
        <is>
          <t xml:space="preserve">Industrial Revenue Bonds outstanding par</t>
        </is>
      </c>
      <c r="B6" s="1">
        <v>24500000</v>
      </c>
    </row>
    <row r="7">
      <c r="A7" t="inlineStr">
        <is>
          <t xml:space="preserve">Total outstanding indebtedness (drawn revolver basis)</t>
        </is>
      </c>
      <c r="B7" s="1">
        <f>B3+B5+B6</f>
        <v>211500000</v>
      </c>
    </row>
    <row r="9">
      <c r="A9" t="inlineStr">
        <is>
          <t xml:space="preserve">Cash and cash equivalents, trade accounts receivable, inventory, and other balance sheet line items are tracked in the Company's internal accounting system and are not reproduced in this management summary; see the Working Capital Roll sheet for the Company's Working-Capital-basis current asset and liability trend.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Q1 2026 MANAGEMENT ACCOUNTS - WORKING CAPITAL ROLL (INTERNAL, UNAUDITED)</t>
        </is>
      </c>
    </row>
    <row r="3">
      <c r="A3" t="inlineStr">
        <is>
          <t xml:space="preserve">Target Working Capital (the Peg), per the SPA</t>
        </is>
      </c>
      <c r="B3" s="1">
        <v>28400000</v>
      </c>
    </row>
    <row r="4">
      <c r="A4" t="inlineStr">
        <is>
          <t xml:space="preserve">Working Capital Collar (Dead-Band)</t>
        </is>
      </c>
      <c r="B4" s="1">
        <v>750000</v>
      </c>
    </row>
    <row r="6">
      <c r="A6" t="inlineStr">
        <is>
          <t xml:space="preserve">Upper bound of the dead-band (Peg plus Collar)</t>
        </is>
      </c>
      <c r="B6" s="1">
        <f>B3+B4</f>
        <v>29150000</v>
      </c>
    </row>
    <row r="7">
      <c r="A7" t="inlineStr">
        <is>
          <t xml:space="preserve">Lower bound of the dead-band (Peg less Collar)</t>
        </is>
      </c>
      <c r="B7" s="1">
        <f>B3-B4</f>
        <v>27650000</v>
      </c>
    </row>
    <row r="9">
      <c r="A9" t="inlineStr">
        <is>
          <t xml:space="preserve">The Company's Q1 2026 internal working-capital trend is monitored against the Peg and Collar established in the SPA for reference; the completion-accounts Closing Working Capital figure against which the Purchase Price is actually adjusted is presented in working_capital_true_up_schedule.xlsx, not in this internal management summary.</t>
        </is>
      </c>
    </row>
  </sheetData>
</worksheet>
</file>