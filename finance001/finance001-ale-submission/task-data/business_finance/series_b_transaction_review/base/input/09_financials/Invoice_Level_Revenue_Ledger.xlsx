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5Q1 Invoices" sheetId="1" state="visible" r:id="rId1"/>
    <sheet xmlns:r="http://schemas.openxmlformats.org/officeDocument/2006/relationships" name="FY25Q2 Invoices" sheetId="2" state="visible" r:id="rId2"/>
    <sheet xmlns:r="http://schemas.openxmlformats.org/officeDocument/2006/relationships" name="FY25Q3 Invoices" sheetId="3" state="visible" r:id="rId3"/>
    <sheet xmlns:r="http://schemas.openxmlformats.org/officeDocument/2006/relationships" name="FY25Q4 Invoices" sheetId="4" state="visible" r:id="rId4"/>
    <sheet xmlns:r="http://schemas.openxmlformats.org/officeDocument/2006/relationships" name="FY26Q1 Invoices" sheetId="5" state="visible" r:id="rId5"/>
    <sheet xmlns:r="http://schemas.openxmlformats.org/officeDocument/2006/relationships" name="FY26Q2 Invoi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invoice_date</t>
        </is>
      </c>
      <c r="C1" s="1" t="inlineStr">
        <is>
          <t>customer</t>
        </is>
      </c>
      <c r="D1" s="1" t="inlineStr">
        <is>
          <t>contract_ref</t>
        </is>
      </c>
      <c r="E1" s="1" t="inlineStr">
        <is>
          <t>line_description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extended_amount</t>
        </is>
      </c>
      <c r="I1" s="1" t="inlineStr">
        <is>
          <t>tax_rate</t>
        </is>
      </c>
      <c r="J1" s="1" t="inlineStr">
        <is>
          <t>tax_amount</t>
        </is>
      </c>
      <c r="K1" s="1" t="inlineStr">
        <is>
          <t>revenue_recognition_period</t>
        </is>
      </c>
      <c r="L1" s="1" t="inlineStr">
        <is>
          <t>deferred_portion</t>
        </is>
      </c>
      <c r="M1" s="1" t="inlineStr">
        <is>
          <t>gl_account</t>
        </is>
      </c>
      <c r="N1" s="1" t="inlineStr">
        <is>
          <t>status</t>
        </is>
      </c>
      <c r="O1" s="1" t="inlineStr">
        <is>
          <t>po_reference</t>
        </is>
      </c>
    </row>
    <row r="2">
      <c r="A2" s="1" t="inlineStr">
        <is>
          <t>INV-2025-10001</t>
        </is>
      </c>
      <c r="B2" s="2" t="n">
        <v>45714</v>
      </c>
      <c r="C2" s="1" t="inlineStr">
        <is>
          <t>Elmsworth Publishing</t>
        </is>
      </c>
      <c r="D2" s="1" t="inlineStr">
        <is>
          <t>EWP-MSA-2025-69</t>
        </is>
      </c>
      <c r="E2" s="1" t="inlineStr">
        <is>
          <t>Autonomous mobile robot, 220 kg payload</t>
        </is>
      </c>
      <c r="F2" s="1" t="n">
        <v>3</v>
      </c>
      <c r="G2" s="1" t="n">
        <v>40100</v>
      </c>
      <c r="H2" s="1">
        <f>F2*G2</f>
        <v/>
      </c>
      <c r="I2" s="1" t="n">
        <v>0.07000000000000001</v>
      </c>
      <c r="J2" s="1">
        <f>ROUND(H2*I2,2)</f>
        <v/>
      </c>
      <c r="K2" s="1" t="inlineStr">
        <is>
          <t>2025-03</t>
        </is>
      </c>
      <c r="L2" s="1" t="n">
        <v>0</v>
      </c>
      <c r="M2" s="1" t="inlineStr">
        <is>
          <t>4010</t>
        </is>
      </c>
      <c r="N2" s="1" t="inlineStr">
        <is>
          <t>Paid</t>
        </is>
      </c>
      <c r="O2" s="1" t="inlineStr">
        <is>
          <t>PO-EWP-6095</t>
        </is>
      </c>
    </row>
    <row r="3">
      <c r="A3" s="1" t="inlineStr">
        <is>
          <t>INV-2025-10002</t>
        </is>
      </c>
      <c r="B3" s="2" t="n">
        <v>45716</v>
      </c>
      <c r="C3" s="1" t="inlineStr">
        <is>
          <t>Vantage Robotics Supply</t>
        </is>
      </c>
      <c r="D3" s="1" t="inlineStr">
        <is>
          <t>VRS-MSA-2022-42</t>
        </is>
      </c>
      <c r="E3" s="1" t="inlineStr">
        <is>
          <t>Safety scanner retrofit kit</t>
        </is>
      </c>
      <c r="F3" s="1" t="n">
        <v>1</v>
      </c>
      <c r="G3" s="1" t="n">
        <v>7000</v>
      </c>
      <c r="H3" s="1">
        <f>F3*G3</f>
        <v/>
      </c>
      <c r="I3" s="1" t="n">
        <v>0.0825</v>
      </c>
      <c r="J3" s="1">
        <f>ROUND(H3*I3,2)</f>
        <v/>
      </c>
      <c r="K3" s="1" t="inlineStr">
        <is>
          <t>2025-03</t>
        </is>
      </c>
      <c r="L3" s="1" t="n">
        <v>0</v>
      </c>
      <c r="M3" s="1" t="inlineStr">
        <is>
          <t>4010</t>
        </is>
      </c>
      <c r="N3" s="1" t="inlineStr">
        <is>
          <t>Open</t>
        </is>
      </c>
      <c r="O3" s="1" t="inlineStr">
        <is>
          <t>PO-VRS-7822</t>
        </is>
      </c>
    </row>
    <row r="4">
      <c r="A4" s="1" t="inlineStr">
        <is>
          <t>INV-2025-10003</t>
        </is>
      </c>
      <c r="B4" s="2" t="n">
        <v>45686</v>
      </c>
      <c r="C4" s="1" t="inlineStr">
        <is>
          <t>Vantage Robotics Supply</t>
        </is>
      </c>
      <c r="D4" s="1" t="inlineStr">
        <is>
          <t>VRS-MSA-2022-57</t>
        </is>
      </c>
      <c r="E4" s="1" t="inlineStr">
        <is>
          <t>Operator training programme</t>
        </is>
      </c>
      <c r="F4" s="1" t="n">
        <v>3</v>
      </c>
      <c r="G4" s="1" t="n">
        <v>4200</v>
      </c>
      <c r="H4" s="1">
        <f>F4*G4</f>
        <v/>
      </c>
      <c r="I4" s="1" t="n">
        <v>0.07000000000000001</v>
      </c>
      <c r="J4" s="1">
        <f>ROUND(H4*I4,2)</f>
        <v/>
      </c>
      <c r="K4" s="1" t="inlineStr">
        <is>
          <t>2025-02</t>
        </is>
      </c>
      <c r="L4" s="1" t="n">
        <v>2394</v>
      </c>
      <c r="M4" s="1" t="inlineStr">
        <is>
          <t>4030</t>
        </is>
      </c>
      <c r="N4" s="1" t="inlineStr">
        <is>
          <t>Partially paid</t>
        </is>
      </c>
      <c r="O4" s="1" t="inlineStr">
        <is>
          <t>PO-VRS-2577</t>
        </is>
      </c>
    </row>
    <row r="5">
      <c r="A5" s="1" t="inlineStr">
        <is>
          <t>INV-2025-10004</t>
        </is>
      </c>
      <c r="B5" s="2" t="n">
        <v>45700</v>
      </c>
      <c r="C5" s="1" t="inlineStr">
        <is>
          <t>Westlake Chemical Depot</t>
        </is>
      </c>
      <c r="D5" s="1" t="inlineStr">
        <is>
          <t>WCD-MSA-2022-70</t>
        </is>
      </c>
      <c r="E5" s="1" t="inlineStr">
        <is>
          <t>Autonomous mobile robot, 220 kg payload</t>
        </is>
      </c>
      <c r="F5" s="1" t="n">
        <v>3</v>
      </c>
      <c r="G5" s="1" t="n">
        <v>39300</v>
      </c>
      <c r="H5" s="1">
        <f>F5*G5</f>
        <v/>
      </c>
      <c r="I5" s="1" t="n">
        <v>0.065</v>
      </c>
      <c r="J5" s="1">
        <f>ROUND(H5*I5,2)</f>
        <v/>
      </c>
      <c r="K5" s="1" t="inlineStr">
        <is>
          <t>2025-03</t>
        </is>
      </c>
      <c r="L5" s="1" t="n">
        <v>0</v>
      </c>
      <c r="M5" s="1" t="inlineStr">
        <is>
          <t>4010</t>
        </is>
      </c>
      <c r="N5" s="1" t="inlineStr">
        <is>
          <t>Paid</t>
        </is>
      </c>
      <c r="O5" s="1" t="inlineStr">
        <is>
          <t>PO-WCD-4782</t>
        </is>
      </c>
    </row>
    <row r="6">
      <c r="A6" s="1" t="inlineStr">
        <is>
          <t>INV-2025-10005</t>
        </is>
      </c>
      <c r="B6" s="2" t="n">
        <v>45729</v>
      </c>
      <c r="C6" s="1" t="inlineStr">
        <is>
          <t>Zephyr Air Cargo</t>
        </is>
      </c>
      <c r="D6" s="1" t="inlineStr">
        <is>
          <t>ZAC-MSA-2023-71</t>
        </is>
      </c>
      <c r="E6" s="1" t="inlineStr">
        <is>
          <t>Operator training programme</t>
        </is>
      </c>
      <c r="F6" s="1" t="n">
        <v>1</v>
      </c>
      <c r="G6" s="1" t="n">
        <v>4200</v>
      </c>
      <c r="H6" s="1">
        <f>F6*G6</f>
        <v/>
      </c>
      <c r="I6" s="1" t="n">
        <v>0.07000000000000001</v>
      </c>
      <c r="J6" s="1">
        <f>ROUND(H6*I6,2)</f>
        <v/>
      </c>
      <c r="K6" s="1" t="inlineStr">
        <is>
          <t>2025-04</t>
        </is>
      </c>
      <c r="L6" s="1" t="n">
        <v>126</v>
      </c>
      <c r="M6" s="1" t="inlineStr">
        <is>
          <t>4030</t>
        </is>
      </c>
      <c r="N6" s="1" t="inlineStr">
        <is>
          <t>Open</t>
        </is>
      </c>
      <c r="O6" s="1" t="inlineStr">
        <is>
          <t>PO-ZAC-5987</t>
        </is>
      </c>
    </row>
    <row r="7">
      <c r="A7" s="1" t="inlineStr">
        <is>
          <t>INV-2025-10006</t>
        </is>
      </c>
      <c r="B7" s="2" t="n">
        <v>45687</v>
      </c>
      <c r="C7" s="1" t="inlineStr">
        <is>
          <t>Ironvale Grocery Group</t>
        </is>
      </c>
      <c r="D7" s="1" t="inlineStr">
        <is>
          <t>IVG-MSA-2025-34</t>
        </is>
      </c>
      <c r="E7" s="1" t="inlineStr">
        <is>
          <t>Remote operations desk coverage</t>
        </is>
      </c>
      <c r="F7" s="1" t="n">
        <v>4</v>
      </c>
      <c r="G7" s="1" t="n">
        <v>11200</v>
      </c>
      <c r="H7" s="1">
        <f>F7*G7</f>
        <v/>
      </c>
      <c r="I7" s="1" t="n">
        <v>0</v>
      </c>
      <c r="J7" s="1">
        <f>ROUND(H7*I7,2)</f>
        <v/>
      </c>
      <c r="K7" s="1" t="inlineStr">
        <is>
          <t>2025-02</t>
        </is>
      </c>
      <c r="L7" s="1" t="n">
        <v>31808</v>
      </c>
      <c r="M7" s="1" t="inlineStr">
        <is>
          <t>4020</t>
        </is>
      </c>
      <c r="N7" s="1" t="inlineStr">
        <is>
          <t>Partially paid</t>
        </is>
      </c>
      <c r="O7" s="1" t="inlineStr">
        <is>
          <t>PO-IVG-2310</t>
        </is>
      </c>
    </row>
    <row r="8">
      <c r="A8" s="1" t="inlineStr">
        <is>
          <t>INV-2025-10007</t>
        </is>
      </c>
      <c r="B8" s="2" t="n">
        <v>45695</v>
      </c>
      <c r="C8" s="1" t="inlineStr">
        <is>
          <t>Orchard Grove Foods</t>
        </is>
      </c>
      <c r="D8" s="1" t="inlineStr">
        <is>
          <t>OGF-MSA-2022-31</t>
        </is>
      </c>
      <c r="E8" s="1" t="inlineStr">
        <is>
          <t>Opportunity charging dock</t>
        </is>
      </c>
      <c r="F8" s="1" t="n">
        <v>8</v>
      </c>
      <c r="G8" s="1" t="n">
        <v>10900</v>
      </c>
      <c r="H8" s="1">
        <f>F8*G8</f>
        <v/>
      </c>
      <c r="I8" s="1" t="n">
        <v>0.0825</v>
      </c>
      <c r="J8" s="1">
        <f>ROUND(H8*I8,2)</f>
        <v/>
      </c>
      <c r="K8" s="1" t="inlineStr">
        <is>
          <t>2025-03</t>
        </is>
      </c>
      <c r="L8" s="1" t="n">
        <v>0</v>
      </c>
      <c r="M8" s="1" t="inlineStr">
        <is>
          <t>4010</t>
        </is>
      </c>
      <c r="N8" s="1" t="inlineStr">
        <is>
          <t>Open</t>
        </is>
      </c>
      <c r="O8" s="1" t="inlineStr">
        <is>
          <t>PO-OGF-1194</t>
        </is>
      </c>
    </row>
    <row r="9">
      <c r="A9" s="1" t="inlineStr">
        <is>
          <t>INV-2025-10008</t>
        </is>
      </c>
      <c r="B9" s="2" t="n">
        <v>45744</v>
      </c>
      <c r="C9" s="1" t="inlineStr">
        <is>
          <t>Juniper Health Supply</t>
        </is>
      </c>
      <c r="D9" s="1" t="inlineStr">
        <is>
          <t>JHS-MSA-2023-57</t>
        </is>
      </c>
      <c r="E9" s="1" t="inlineStr">
        <is>
          <t>Telemetry retention tier, extended</t>
        </is>
      </c>
      <c r="F9" s="1" t="n">
        <v>3</v>
      </c>
      <c r="G9" s="1" t="n">
        <v>24500</v>
      </c>
      <c r="H9" s="1">
        <f>F9*G9</f>
        <v/>
      </c>
      <c r="I9" s="1" t="n">
        <v>0.0825</v>
      </c>
      <c r="J9" s="1">
        <f>ROUND(H9*I9,2)</f>
        <v/>
      </c>
      <c r="K9" s="1" t="inlineStr">
        <is>
          <t>2025-04</t>
        </is>
      </c>
      <c r="L9" s="1" t="n">
        <v>55125</v>
      </c>
      <c r="M9" s="1" t="inlineStr">
        <is>
          <t>4020</t>
        </is>
      </c>
      <c r="N9" s="1" t="inlineStr">
        <is>
          <t>Disputed</t>
        </is>
      </c>
      <c r="O9" s="1" t="inlineStr">
        <is>
          <t>PO-JHS-1328</t>
        </is>
      </c>
    </row>
    <row r="10">
      <c r="A10" s="1" t="inlineStr">
        <is>
          <t>INV-2025-10009</t>
        </is>
      </c>
      <c r="B10" s="2" t="n">
        <v>45687</v>
      </c>
      <c r="C10" s="1" t="inlineStr">
        <is>
          <t>Larkspur Apparel</t>
        </is>
      </c>
      <c r="D10" s="1" t="inlineStr">
        <is>
          <t>LKA-MSA-2024-39</t>
        </is>
      </c>
      <c r="E10" s="1" t="inlineStr">
        <is>
          <t>Autonomous mobile robot, 220 kg payload</t>
        </is>
      </c>
      <c r="F10" s="1" t="n">
        <v>3</v>
      </c>
      <c r="G10" s="1" t="n">
        <v>41250</v>
      </c>
      <c r="H10" s="1">
        <f>F10*G10</f>
        <v/>
      </c>
      <c r="I10" s="1" t="n">
        <v>0</v>
      </c>
      <c r="J10" s="1">
        <f>ROUND(H10*I10,2)</f>
        <v/>
      </c>
      <c r="K10" s="1" t="inlineStr">
        <is>
          <t>2025-02</t>
        </is>
      </c>
      <c r="L10" s="1" t="n">
        <v>0</v>
      </c>
      <c r="M10" s="1" t="inlineStr">
        <is>
          <t>4010</t>
        </is>
      </c>
      <c r="N10" s="1" t="inlineStr">
        <is>
          <t>Paid</t>
        </is>
      </c>
      <c r="O10" s="1" t="inlineStr">
        <is>
          <t>PO-LKA-5362</t>
        </is>
      </c>
    </row>
    <row r="11">
      <c r="A11" s="1" t="inlineStr">
        <is>
          <t>INV-2025-10010</t>
        </is>
      </c>
      <c r="B11" s="2" t="n">
        <v>45715</v>
      </c>
      <c r="C11" s="1" t="inlineStr">
        <is>
          <t>Asterion Logistics</t>
        </is>
      </c>
      <c r="D11" s="1" t="inlineStr">
        <is>
          <t>AST-MSA-2023-72</t>
        </is>
      </c>
      <c r="E11" s="1" t="inlineStr">
        <is>
          <t>Opportunity charging dock</t>
        </is>
      </c>
      <c r="F11" s="1" t="n">
        <v>13</v>
      </c>
      <c r="G11" s="1" t="n">
        <v>11550</v>
      </c>
      <c r="H11" s="1">
        <f>F11*G11</f>
        <v/>
      </c>
      <c r="I11" s="1" t="n">
        <v>0.06</v>
      </c>
      <c r="J11" s="1">
        <f>ROUND(H11*I11,2)</f>
        <v/>
      </c>
      <c r="K11" s="1" t="inlineStr">
        <is>
          <t>2025-03</t>
        </is>
      </c>
      <c r="L11" s="1" t="n">
        <v>0</v>
      </c>
      <c r="M11" s="1" t="inlineStr">
        <is>
          <t>4010</t>
        </is>
      </c>
      <c r="N11" s="1" t="inlineStr">
        <is>
          <t>Partially paid</t>
        </is>
      </c>
      <c r="O11" s="1" t="inlineStr">
        <is>
          <t>PO-AST-5881</t>
        </is>
      </c>
    </row>
    <row r="12">
      <c r="A12" s="1" t="inlineStr">
        <is>
          <t>INV-2025-10011</t>
        </is>
      </c>
      <c r="B12" s="2" t="n">
        <v>45747</v>
      </c>
      <c r="C12" s="1" t="inlineStr">
        <is>
          <t>Dorsey Grain Cooperative</t>
        </is>
      </c>
      <c r="D12" s="1" t="inlineStr">
        <is>
          <t>DGC-MSA-2025-31</t>
        </is>
      </c>
      <c r="E12" s="1" t="inlineStr">
        <is>
          <t>Premium support and spares pool</t>
        </is>
      </c>
      <c r="F12" s="1" t="n">
        <v>4</v>
      </c>
      <c r="G12" s="1" t="n">
        <v>57300</v>
      </c>
      <c r="H12" s="1">
        <f>F12*G12</f>
        <v/>
      </c>
      <c r="I12" s="1" t="n">
        <v>0.09</v>
      </c>
      <c r="J12" s="1">
        <f>ROUND(H12*I12,2)</f>
        <v/>
      </c>
      <c r="K12" s="1" t="inlineStr">
        <is>
          <t>2025-04</t>
        </is>
      </c>
      <c r="L12" s="1" t="n">
        <v>132936</v>
      </c>
      <c r="M12" s="1" t="inlineStr">
        <is>
          <t>4020</t>
        </is>
      </c>
      <c r="N12" s="1" t="inlineStr">
        <is>
          <t>Open</t>
        </is>
      </c>
      <c r="O12" s="1" t="inlineStr">
        <is>
          <t>PO-DGC-4430</t>
        </is>
      </c>
    </row>
    <row r="13">
      <c r="A13" s="1" t="inlineStr">
        <is>
          <t>INV-2025-10012</t>
        </is>
      </c>
      <c r="B13" s="2" t="n">
        <v>45687</v>
      </c>
      <c r="C13" s="1" t="inlineStr">
        <is>
          <t>Ironvale Grocery Group</t>
        </is>
      </c>
      <c r="D13" s="1" t="inlineStr">
        <is>
          <t>IVG-MSA-2025-82</t>
        </is>
      </c>
      <c r="E13" s="1" t="inlineStr">
        <is>
          <t>Telemetry retention tier, extended</t>
        </is>
      </c>
      <c r="F13" s="1" t="n">
        <v>3</v>
      </c>
      <c r="G13" s="1" t="n">
        <v>23100</v>
      </c>
      <c r="H13" s="1">
        <f>F13*G13</f>
        <v/>
      </c>
      <c r="I13" s="1" t="n">
        <v>0.0475</v>
      </c>
      <c r="J13" s="1">
        <f>ROUND(H13*I13,2)</f>
        <v/>
      </c>
      <c r="K13" s="1" t="inlineStr">
        <is>
          <t>2025-02</t>
        </is>
      </c>
      <c r="L13" s="1" t="n">
        <v>42273</v>
      </c>
      <c r="M13" s="1" t="inlineStr">
        <is>
          <t>4020</t>
        </is>
      </c>
      <c r="N13" s="1" t="inlineStr">
        <is>
          <t>Open</t>
        </is>
      </c>
      <c r="O13" s="1" t="inlineStr">
        <is>
          <t>PO-IVG-8707</t>
        </is>
      </c>
    </row>
    <row r="14">
      <c r="A14" s="1" t="inlineStr">
        <is>
          <t>INV-2025-10013</t>
        </is>
      </c>
      <c r="B14" s="2" t="n">
        <v>45716</v>
      </c>
      <c r="C14" s="1" t="inlineStr">
        <is>
          <t>Redwood Optics</t>
        </is>
      </c>
      <c r="D14" s="1" t="inlineStr">
        <is>
          <t>RWO-MSA-2024-62</t>
        </is>
      </c>
      <c r="E14" s="1" t="inlineStr">
        <is>
          <t>Autonomous mobile robot, 450 kg payload</t>
        </is>
      </c>
      <c r="F14" s="1" t="n">
        <v>2</v>
      </c>
      <c r="G14" s="1" t="n">
        <v>66200</v>
      </c>
      <c r="H14" s="1">
        <f>F14*G14</f>
        <v/>
      </c>
      <c r="I14" s="1" t="n">
        <v>0</v>
      </c>
      <c r="J14" s="1">
        <f>ROUND(H14*I14,2)</f>
        <v/>
      </c>
      <c r="K14" s="1" t="inlineStr">
        <is>
          <t>2025-03</t>
        </is>
      </c>
      <c r="L14" s="1" t="n">
        <v>0</v>
      </c>
      <c r="M14" s="1" t="inlineStr">
        <is>
          <t>4010</t>
        </is>
      </c>
      <c r="N14" s="1" t="inlineStr">
        <is>
          <t>Open</t>
        </is>
      </c>
      <c r="O14" s="1" t="inlineStr">
        <is>
          <t>PO-RWO-6254</t>
        </is>
      </c>
    </row>
    <row r="15">
      <c r="A15" s="1" t="inlineStr">
        <is>
          <t>INV-2025-10014</t>
        </is>
      </c>
      <c r="B15" s="2" t="n">
        <v>45737</v>
      </c>
      <c r="C15" s="1" t="inlineStr">
        <is>
          <t>Meridian Dynamics</t>
        </is>
      </c>
      <c r="D15" s="1" t="inlineStr">
        <is>
          <t>MDY-MSA-2024-82</t>
        </is>
      </c>
      <c r="E15" s="1" t="inlineStr">
        <is>
          <t>Warehouse management system connector</t>
        </is>
      </c>
      <c r="F15" s="1" t="n">
        <v>1</v>
      </c>
      <c r="G15" s="1" t="n">
        <v>38650</v>
      </c>
      <c r="H15" s="1">
        <f>F15*G15</f>
        <v/>
      </c>
      <c r="I15" s="1" t="n">
        <v>0.065</v>
      </c>
      <c r="J15" s="1">
        <f>ROUND(H15*I15,2)</f>
        <v/>
      </c>
      <c r="K15" s="1" t="inlineStr">
        <is>
          <t>2025-04</t>
        </is>
      </c>
      <c r="L15" s="1" t="n">
        <v>1932.5</v>
      </c>
      <c r="M15" s="1" t="inlineStr">
        <is>
          <t>4030</t>
        </is>
      </c>
      <c r="N15" s="1" t="inlineStr">
        <is>
          <t>Paid</t>
        </is>
      </c>
      <c r="O15" s="1" t="inlineStr">
        <is>
          <t>PO-MDY-5264</t>
        </is>
      </c>
    </row>
    <row r="16">
      <c r="A16" s="1" t="inlineStr">
        <is>
          <t>INV-2025-10015</t>
        </is>
      </c>
      <c r="B16" s="2" t="n">
        <v>45667</v>
      </c>
      <c r="C16" s="1" t="inlineStr">
        <is>
          <t>Asterion Logistics</t>
        </is>
      </c>
      <c r="D16" s="1" t="inlineStr">
        <is>
          <t>AST-MSA-2025-32</t>
        </is>
      </c>
      <c r="E16" s="1" t="inlineStr">
        <is>
          <t>Safety scanner retrofit kit</t>
        </is>
      </c>
      <c r="F16" s="1" t="n">
        <v>3</v>
      </c>
      <c r="G16" s="1" t="n">
        <v>5850</v>
      </c>
      <c r="H16" s="1">
        <f>F16*G16</f>
        <v/>
      </c>
      <c r="I16" s="1" t="n">
        <v>0.06</v>
      </c>
      <c r="J16" s="1">
        <f>ROUND(H16*I16,2)</f>
        <v/>
      </c>
      <c r="K16" s="1" t="inlineStr">
        <is>
          <t>2025-02</t>
        </is>
      </c>
      <c r="L16" s="1" t="n">
        <v>0</v>
      </c>
      <c r="M16" s="1" t="inlineStr">
        <is>
          <t>4010</t>
        </is>
      </c>
      <c r="N16" s="1" t="inlineStr">
        <is>
          <t>Disputed</t>
        </is>
      </c>
      <c r="O16" s="1" t="inlineStr">
        <is>
          <t>PO-AST-8013</t>
        </is>
      </c>
    </row>
    <row r="17">
      <c r="A17" s="1" t="inlineStr">
        <is>
          <t>INV-2025-10016</t>
        </is>
      </c>
      <c r="B17" s="2" t="n">
        <v>45714</v>
      </c>
      <c r="C17" s="1" t="inlineStr">
        <is>
          <t>Pioneer Freight Union</t>
        </is>
      </c>
      <c r="D17" s="1" t="inlineStr">
        <is>
          <t>PFU-MSA-2022-18</t>
        </is>
      </c>
      <c r="E17" s="1" t="inlineStr">
        <is>
          <t>Remote operations desk coverage</t>
        </is>
      </c>
      <c r="F17" s="1" t="n">
        <v>1</v>
      </c>
      <c r="G17" s="1" t="n">
        <v>10400</v>
      </c>
      <c r="H17" s="1">
        <f>F17*G17</f>
        <v/>
      </c>
      <c r="I17" s="1" t="n">
        <v>0.06</v>
      </c>
      <c r="J17" s="1">
        <f>ROUND(H17*I17,2)</f>
        <v/>
      </c>
      <c r="K17" s="1" t="inlineStr">
        <is>
          <t>2025-03</t>
        </is>
      </c>
      <c r="L17" s="1" t="n">
        <v>7280</v>
      </c>
      <c r="M17" s="1" t="inlineStr">
        <is>
          <t>4020</t>
        </is>
      </c>
      <c r="N17" s="1" t="inlineStr">
        <is>
          <t>Paid</t>
        </is>
      </c>
      <c r="O17" s="1" t="inlineStr">
        <is>
          <t>PO-PFU-2767</t>
        </is>
      </c>
    </row>
    <row r="18">
      <c r="A18" s="1" t="inlineStr">
        <is>
          <t>INV-2025-10017</t>
        </is>
      </c>
      <c r="B18" s="2" t="n">
        <v>45720</v>
      </c>
      <c r="C18" s="1" t="inlineStr">
        <is>
          <t>Elmsworth Publishing</t>
        </is>
      </c>
      <c r="D18" s="1" t="inlineStr">
        <is>
          <t>EWP-MSA-2024-85</t>
        </is>
      </c>
      <c r="E18" s="1" t="inlineStr">
        <is>
          <t>Deployment and commissioning services</t>
        </is>
      </c>
      <c r="F18" s="1" t="n">
        <v>24</v>
      </c>
      <c r="G18" s="1" t="n">
        <v>1850</v>
      </c>
      <c r="H18" s="1">
        <f>F18*G18</f>
        <v/>
      </c>
      <c r="I18" s="1" t="n">
        <v>0.06</v>
      </c>
      <c r="J18" s="1">
        <f>ROUND(H18*I18,2)</f>
        <v/>
      </c>
      <c r="K18" s="1" t="inlineStr">
        <is>
          <t>2025-04</t>
        </is>
      </c>
      <c r="L18" s="1" t="n">
        <v>3108</v>
      </c>
      <c r="M18" s="1" t="inlineStr">
        <is>
          <t>4030</t>
        </is>
      </c>
      <c r="N18" s="1" t="inlineStr">
        <is>
          <t>Paid</t>
        </is>
      </c>
      <c r="O18" s="1" t="inlineStr">
        <is>
          <t>PO-EWP-3981</t>
        </is>
      </c>
    </row>
    <row r="19">
      <c r="A19" s="1" t="inlineStr">
        <is>
          <t>INV-2025-10018</t>
        </is>
      </c>
      <c r="B19" s="2" t="n">
        <v>45686</v>
      </c>
      <c r="C19" s="1" t="inlineStr">
        <is>
          <t>Vantage Robotics Supply</t>
        </is>
      </c>
      <c r="D19" s="1" t="inlineStr">
        <is>
          <t>VRS-MSA-2023-39</t>
        </is>
      </c>
      <c r="E19" s="1" t="inlineStr">
        <is>
          <t>Premium support and spares pool</t>
        </is>
      </c>
      <c r="F19" s="1" t="n">
        <v>4</v>
      </c>
      <c r="G19" s="1" t="n">
        <v>55100</v>
      </c>
      <c r="H19" s="1">
        <f>F19*G19</f>
        <v/>
      </c>
      <c r="I19" s="1" t="n">
        <v>0.06</v>
      </c>
      <c r="J19" s="1">
        <f>ROUND(H19*I19,2)</f>
        <v/>
      </c>
      <c r="K19" s="1" t="inlineStr">
        <is>
          <t>2025-02</t>
        </is>
      </c>
      <c r="L19" s="1" t="n">
        <v>152076</v>
      </c>
      <c r="M19" s="1" t="inlineStr">
        <is>
          <t>4020</t>
        </is>
      </c>
      <c r="N19" s="1" t="inlineStr">
        <is>
          <t>Credit issued</t>
        </is>
      </c>
      <c r="O19" s="1" t="inlineStr">
        <is>
          <t>PO-VRS-4766</t>
        </is>
      </c>
    </row>
    <row r="20">
      <c r="A20" s="1" t="inlineStr">
        <is>
          <t>INV-2025-10019</t>
        </is>
      </c>
      <c r="B20" s="2" t="n">
        <v>45715</v>
      </c>
      <c r="C20" s="1" t="inlineStr">
        <is>
          <t>Summit Ridge Retail</t>
        </is>
      </c>
      <c r="D20" s="1" t="inlineStr">
        <is>
          <t>SRR-MSA-2022-77</t>
        </is>
      </c>
      <c r="E20" s="1" t="inlineStr">
        <is>
          <t>Operator training programme</t>
        </is>
      </c>
      <c r="F20" s="1" t="n">
        <v>3</v>
      </c>
      <c r="G20" s="1" t="n">
        <v>2604</v>
      </c>
      <c r="H20" s="1">
        <f>F20*G20</f>
        <v/>
      </c>
      <c r="I20" s="1" t="n">
        <v>0.065</v>
      </c>
      <c r="J20" s="1">
        <f>ROUND(H20*I20,2)</f>
        <v/>
      </c>
      <c r="K20" s="1" t="inlineStr">
        <is>
          <t>2025-03</t>
        </is>
      </c>
      <c r="L20" s="1" t="n">
        <v>781.2</v>
      </c>
      <c r="M20" s="1" t="inlineStr">
        <is>
          <t>4030</t>
        </is>
      </c>
      <c r="N20" s="1" t="inlineStr">
        <is>
          <t>Paid</t>
        </is>
      </c>
      <c r="O20" s="1" t="inlineStr">
        <is>
          <t>PO-SRR-7835</t>
        </is>
      </c>
    </row>
    <row r="21">
      <c r="A21" s="1" t="inlineStr">
        <is>
          <t>INV-2025-10020</t>
        </is>
      </c>
      <c r="B21" s="2" t="n">
        <v>45747</v>
      </c>
      <c r="C21" s="1" t="inlineStr">
        <is>
          <t>Orchard Grove Foods</t>
        </is>
      </c>
      <c r="D21" s="1" t="inlineStr">
        <is>
          <t>OGF-MSA-2024-14</t>
        </is>
      </c>
      <c r="E21" s="1" t="inlineStr">
        <is>
          <t>Fleet orchestration expansion pack, per robot</t>
        </is>
      </c>
      <c r="F21" s="1" t="n">
        <v>98</v>
      </c>
      <c r="G21" s="1" t="n">
        <v>3150</v>
      </c>
      <c r="H21" s="1">
        <f>F21*G21</f>
        <v/>
      </c>
      <c r="I21" s="1" t="n">
        <v>0.0475</v>
      </c>
      <c r="J21" s="1">
        <f>ROUND(H21*I21,2)</f>
        <v/>
      </c>
      <c r="K21" s="1" t="inlineStr">
        <is>
          <t>2025-04</t>
        </is>
      </c>
      <c r="L21" s="1" t="n">
        <v>200655</v>
      </c>
      <c r="M21" s="1" t="inlineStr">
        <is>
          <t>4020</t>
        </is>
      </c>
      <c r="N21" s="1" t="inlineStr">
        <is>
          <t>Partially paid</t>
        </is>
      </c>
      <c r="O21" s="1" t="inlineStr">
        <is>
          <t>PO-OGF-6717</t>
        </is>
      </c>
    </row>
    <row r="22">
      <c r="A22" s="1" t="inlineStr">
        <is>
          <t>INV-2025-10021</t>
        </is>
      </c>
      <c r="B22" s="2" t="n">
        <v>45672</v>
      </c>
      <c r="C22" s="1" t="inlineStr">
        <is>
          <t>Redwood Optics</t>
        </is>
      </c>
      <c r="D22" s="1" t="inlineStr">
        <is>
          <t>RWO-MSA-2023-26</t>
        </is>
      </c>
      <c r="E22" s="1" t="inlineStr">
        <is>
          <t>Fleet orchestration platform, annual site licence</t>
        </is>
      </c>
      <c r="F22" s="1" t="n">
        <v>1</v>
      </c>
      <c r="G22" s="1" t="n">
        <v>96000</v>
      </c>
      <c r="H22" s="1">
        <f>F22*G22</f>
        <v/>
      </c>
      <c r="I22" s="1" t="n">
        <v>0</v>
      </c>
      <c r="J22" s="1">
        <f>ROUND(H22*I22,2)</f>
        <v/>
      </c>
      <c r="K22" s="1" t="inlineStr">
        <is>
          <t>2025-02</t>
        </is>
      </c>
      <c r="L22" s="1" t="n">
        <v>77760</v>
      </c>
      <c r="M22" s="1" t="inlineStr">
        <is>
          <t>4020</t>
        </is>
      </c>
      <c r="N22" s="1" t="inlineStr">
        <is>
          <t>Open</t>
        </is>
      </c>
      <c r="O22" s="1" t="inlineStr">
        <is>
          <t>PO-RWO-4421</t>
        </is>
      </c>
    </row>
    <row r="23">
      <c r="A23" s="1" t="inlineStr">
        <is>
          <t>INV-2025-10022</t>
        </is>
      </c>
      <c r="B23" s="2" t="n">
        <v>45701</v>
      </c>
      <c r="C23" s="1" t="inlineStr">
        <is>
          <t>Harborline Systems</t>
        </is>
      </c>
      <c r="D23" s="1" t="inlineStr">
        <is>
          <t>HLS-MSA-2023-24</t>
        </is>
      </c>
      <c r="E23" s="1" t="inlineStr">
        <is>
          <t>Premium support and spares pool</t>
        </is>
      </c>
      <c r="F23" s="1" t="n">
        <v>4</v>
      </c>
      <c r="G23" s="1" t="n">
        <v>56400</v>
      </c>
      <c r="H23" s="1">
        <f>F23*G23</f>
        <v/>
      </c>
      <c r="I23" s="1" t="n">
        <v>0</v>
      </c>
      <c r="J23" s="1">
        <f>ROUND(H23*I23,2)</f>
        <v/>
      </c>
      <c r="K23" s="1" t="inlineStr">
        <is>
          <t>2025-03</t>
        </is>
      </c>
      <c r="L23" s="1" t="n">
        <v>139872</v>
      </c>
      <c r="M23" s="1" t="inlineStr">
        <is>
          <t>4020</t>
        </is>
      </c>
      <c r="N23" s="1" t="inlineStr">
        <is>
          <t>Paid</t>
        </is>
      </c>
      <c r="O23" s="1" t="inlineStr">
        <is>
          <t>PO-HLS-1830</t>
        </is>
      </c>
    </row>
    <row r="24">
      <c r="A24" s="1" t="inlineStr">
        <is>
          <t>INV-2025-10023</t>
        </is>
      </c>
      <c r="B24" s="2" t="n">
        <v>45744</v>
      </c>
      <c r="C24" s="1" t="inlineStr">
        <is>
          <t>Redwood Optics</t>
        </is>
      </c>
      <c r="D24" s="1" t="inlineStr">
        <is>
          <t>RWO-MSA-2024-66</t>
        </is>
      </c>
      <c r="E24" s="1" t="inlineStr">
        <is>
          <t>Autonomous mobile robot, 450 kg payload</t>
        </is>
      </c>
      <c r="F24" s="1" t="n">
        <v>10</v>
      </c>
      <c r="G24" s="1" t="n">
        <v>67000</v>
      </c>
      <c r="H24" s="1">
        <f>F24*G24</f>
        <v/>
      </c>
      <c r="I24" s="1" t="n">
        <v>0.0475</v>
      </c>
      <c r="J24" s="1">
        <f>ROUND(H24*I24,2)</f>
        <v/>
      </c>
      <c r="K24" s="1" t="inlineStr">
        <is>
          <t>2025-04</t>
        </is>
      </c>
      <c r="L24" s="1" t="n">
        <v>0</v>
      </c>
      <c r="M24" s="1" t="inlineStr">
        <is>
          <t>4010</t>
        </is>
      </c>
      <c r="N24" s="1" t="inlineStr">
        <is>
          <t>Partially paid</t>
        </is>
      </c>
      <c r="O24" s="1" t="inlineStr">
        <is>
          <t>PO-RWO-4316</t>
        </is>
      </c>
    </row>
    <row r="25">
      <c r="A25" s="1" t="inlineStr">
        <is>
          <t>INV-2025-10024</t>
        </is>
      </c>
      <c r="B25" s="2" t="n">
        <v>45660</v>
      </c>
      <c r="C25" s="1" t="inlineStr">
        <is>
          <t>Union Vale Pharma</t>
        </is>
      </c>
      <c r="D25" s="1" t="inlineStr">
        <is>
          <t>UVP-MSA-2022-11</t>
        </is>
      </c>
      <c r="E25" s="1" t="inlineStr">
        <is>
          <t>Premium support and spares pool</t>
        </is>
      </c>
      <c r="F25" s="1" t="n">
        <v>2</v>
      </c>
      <c r="G25" s="1" t="n">
        <v>55900</v>
      </c>
      <c r="H25" s="1">
        <f>F25*G25</f>
        <v/>
      </c>
      <c r="I25" s="1" t="n">
        <v>0</v>
      </c>
      <c r="J25" s="1">
        <f>ROUND(H25*I25,2)</f>
        <v/>
      </c>
      <c r="K25" s="1" t="inlineStr">
        <is>
          <t>2025-02</t>
        </is>
      </c>
      <c r="L25" s="1" t="n">
        <v>87204</v>
      </c>
      <c r="M25" s="1" t="inlineStr">
        <is>
          <t>4020</t>
        </is>
      </c>
      <c r="N25" s="1" t="inlineStr">
        <is>
          <t>Disputed</t>
        </is>
      </c>
      <c r="O25" s="1" t="inlineStr">
        <is>
          <t>PO-UVP-8234</t>
        </is>
      </c>
    </row>
    <row r="26">
      <c r="A26" s="1" t="inlineStr">
        <is>
          <t>INV-2025-10025</t>
        </is>
      </c>
      <c r="B26" s="2" t="n">
        <v>45716</v>
      </c>
      <c r="C26" s="1" t="inlineStr">
        <is>
          <t>Elmsworth Publishing</t>
        </is>
      </c>
      <c r="D26" s="1" t="inlineStr">
        <is>
          <t>EWP-MSA-2023-49</t>
        </is>
      </c>
      <c r="E26" s="1" t="inlineStr">
        <is>
          <t>Deployment and commissioning services</t>
        </is>
      </c>
      <c r="F26" s="1" t="n">
        <v>3</v>
      </c>
      <c r="G26" s="1" t="n">
        <v>1350</v>
      </c>
      <c r="H26" s="1">
        <f>F26*G26</f>
        <v/>
      </c>
      <c r="I26" s="1" t="n">
        <v>0.06</v>
      </c>
      <c r="J26" s="1">
        <f>ROUND(H26*I26,2)</f>
        <v/>
      </c>
      <c r="K26" s="1" t="inlineStr">
        <is>
          <t>2025-03</t>
        </is>
      </c>
      <c r="L26" s="1" t="n">
        <v>931.5</v>
      </c>
      <c r="M26" s="1" t="inlineStr">
        <is>
          <t>4030</t>
        </is>
      </c>
      <c r="N26" s="1" t="inlineStr">
        <is>
          <t>Partially paid</t>
        </is>
      </c>
      <c r="O26" s="1" t="inlineStr">
        <is>
          <t>PO-EWP-9306</t>
        </is>
      </c>
    </row>
    <row r="27">
      <c r="A27" s="1" t="inlineStr">
        <is>
          <t>INV-2025-10026</t>
        </is>
      </c>
      <c r="B27" s="2" t="n">
        <v>45747</v>
      </c>
      <c r="C27" s="1" t="inlineStr">
        <is>
          <t>Bellweather Auto Group</t>
        </is>
      </c>
      <c r="D27" s="1" t="inlineStr">
        <is>
          <t>BWA-MSA-2022-62</t>
        </is>
      </c>
      <c r="E27" s="1" t="inlineStr">
        <is>
          <t>Telemetry retention tier, extended</t>
        </is>
      </c>
      <c r="F27" s="1" t="n">
        <v>4</v>
      </c>
      <c r="G27" s="1" t="n">
        <v>24500</v>
      </c>
      <c r="H27" s="1">
        <f>F27*G27</f>
        <v/>
      </c>
      <c r="I27" s="1" t="n">
        <v>0.0475</v>
      </c>
      <c r="J27" s="1">
        <f>ROUND(H27*I27,2)</f>
        <v/>
      </c>
      <c r="K27" s="1" t="inlineStr">
        <is>
          <t>2025-04</t>
        </is>
      </c>
      <c r="L27" s="1" t="n">
        <v>72520</v>
      </c>
      <c r="M27" s="1" t="inlineStr">
        <is>
          <t>4020</t>
        </is>
      </c>
      <c r="N27" s="1" t="inlineStr">
        <is>
          <t>Partially paid</t>
        </is>
      </c>
      <c r="O27" s="1" t="inlineStr">
        <is>
          <t>PO-BWA-4066</t>
        </is>
      </c>
    </row>
    <row r="28">
      <c r="A28" s="1" t="inlineStr">
        <is>
          <t>INV-2025-10027</t>
        </is>
      </c>
      <c r="B28" s="2" t="n">
        <v>45686</v>
      </c>
      <c r="C28" s="1" t="inlineStr">
        <is>
          <t>Vantage Robotics Supply</t>
        </is>
      </c>
      <c r="D28" s="1" t="inlineStr">
        <is>
          <t>VRS-MSA-2024-47</t>
        </is>
      </c>
      <c r="E28" s="1" t="inlineStr">
        <is>
          <t>Operator training programme</t>
        </is>
      </c>
      <c r="F28" s="1" t="n">
        <v>1</v>
      </c>
      <c r="G28" s="1" t="n">
        <v>3950</v>
      </c>
      <c r="H28" s="1">
        <f>F28*G28</f>
        <v/>
      </c>
      <c r="I28" s="1" t="n">
        <v>0.0475</v>
      </c>
      <c r="J28" s="1">
        <f>ROUND(H28*I28,2)</f>
        <v/>
      </c>
      <c r="K28" s="1" t="inlineStr">
        <is>
          <t>2025-02</t>
        </is>
      </c>
      <c r="L28" s="1" t="n">
        <v>711</v>
      </c>
      <c r="M28" s="1" t="inlineStr">
        <is>
          <t>4030</t>
        </is>
      </c>
      <c r="N28" s="1" t="inlineStr">
        <is>
          <t>Partially paid</t>
        </is>
      </c>
      <c r="O28" s="1" t="inlineStr">
        <is>
          <t>PO-VRS-7524</t>
        </is>
      </c>
    </row>
    <row r="29">
      <c r="A29" s="1" t="inlineStr">
        <is>
          <t>INV-2025-10028</t>
        </is>
      </c>
      <c r="B29" s="2" t="n">
        <v>45715</v>
      </c>
      <c r="C29" s="1" t="inlineStr">
        <is>
          <t>Summit Ridge Retail</t>
        </is>
      </c>
      <c r="D29" s="1" t="inlineStr">
        <is>
          <t>SRR-MSA-2022-37</t>
        </is>
      </c>
      <c r="E29" s="1" t="inlineStr">
        <is>
          <t>Remote operations desk coverage</t>
        </is>
      </c>
      <c r="F29" s="1" t="n">
        <v>4</v>
      </c>
      <c r="G29" s="1" t="n">
        <v>12350</v>
      </c>
      <c r="H29" s="1">
        <f>F29*G29</f>
        <v/>
      </c>
      <c r="I29" s="1" t="n">
        <v>0.06</v>
      </c>
      <c r="J29" s="1">
        <f>ROUND(H29*I29,2)</f>
        <v/>
      </c>
      <c r="K29" s="1" t="inlineStr">
        <is>
          <t>2025-03</t>
        </is>
      </c>
      <c r="L29" s="1" t="n">
        <v>32604</v>
      </c>
      <c r="M29" s="1" t="inlineStr">
        <is>
          <t>4020</t>
        </is>
      </c>
      <c r="N29" s="1" t="inlineStr">
        <is>
          <t>Disputed</t>
        </is>
      </c>
      <c r="O29" s="1" t="inlineStr">
        <is>
          <t>PO-SRR-1499</t>
        </is>
      </c>
    </row>
    <row r="30">
      <c r="A30" s="1" t="inlineStr">
        <is>
          <t>INV-2025-10029</t>
        </is>
      </c>
      <c r="B30" s="2" t="n">
        <v>45747</v>
      </c>
      <c r="C30" s="1" t="inlineStr">
        <is>
          <t>Crestline Fulfillment</t>
        </is>
      </c>
      <c r="D30" s="1" t="inlineStr">
        <is>
          <t>CFF-MSA-2025-33</t>
        </is>
      </c>
      <c r="E30" s="1" t="inlineStr">
        <is>
          <t>Operator training programme</t>
        </is>
      </c>
      <c r="F30" s="1" t="n">
        <v>4</v>
      </c>
      <c r="G30" s="1" t="n">
        <v>4200</v>
      </c>
      <c r="H30" s="1">
        <f>F30*G30</f>
        <v/>
      </c>
      <c r="I30" s="1" t="n">
        <v>0.0825</v>
      </c>
      <c r="J30" s="1">
        <f>ROUND(H30*I30,2)</f>
        <v/>
      </c>
      <c r="K30" s="1" t="inlineStr">
        <is>
          <t>2025-04</t>
        </is>
      </c>
      <c r="L30" s="1" t="n">
        <v>2688</v>
      </c>
      <c r="M30" s="1" t="inlineStr">
        <is>
          <t>4030</t>
        </is>
      </c>
      <c r="N30" s="1" t="inlineStr">
        <is>
          <t>Disputed</t>
        </is>
      </c>
      <c r="O30" s="1" t="inlineStr">
        <is>
          <t>PO-CFF-9863</t>
        </is>
      </c>
    </row>
    <row r="31">
      <c r="A31" s="1" t="inlineStr">
        <is>
          <t>INV-2025-10030</t>
        </is>
      </c>
      <c r="B31" s="2" t="n">
        <v>45686</v>
      </c>
      <c r="C31" s="1" t="inlineStr">
        <is>
          <t>Blue Mesa Components</t>
        </is>
      </c>
      <c r="D31" s="1" t="inlineStr">
        <is>
          <t>BMC-MSA-2025-86</t>
        </is>
      </c>
      <c r="E31" s="1" t="inlineStr">
        <is>
          <t>Operator training programme</t>
        </is>
      </c>
      <c r="F31" s="1" t="n">
        <v>1</v>
      </c>
      <c r="G31" s="1" t="n">
        <v>2800</v>
      </c>
      <c r="H31" s="1">
        <f>F31*G31</f>
        <v/>
      </c>
      <c r="I31" s="1" t="n">
        <v>0.0475</v>
      </c>
      <c r="J31" s="1">
        <f>ROUND(H31*I31,2)</f>
        <v/>
      </c>
      <c r="K31" s="1" t="inlineStr">
        <is>
          <t>2025-02</t>
        </is>
      </c>
      <c r="L31" s="1" t="n">
        <v>196</v>
      </c>
      <c r="M31" s="1" t="inlineStr">
        <is>
          <t>4030</t>
        </is>
      </c>
      <c r="N31" s="1" t="inlineStr">
        <is>
          <t>Disputed</t>
        </is>
      </c>
      <c r="O31" s="1" t="inlineStr">
        <is>
          <t>PO-BMC-3415</t>
        </is>
      </c>
    </row>
    <row r="32">
      <c r="A32" s="1" t="inlineStr">
        <is>
          <t>INV-2025-10031</t>
        </is>
      </c>
      <c r="B32" s="2" t="n">
        <v>45715</v>
      </c>
      <c r="C32" s="1" t="inlineStr">
        <is>
          <t>Evergreen Warehousing</t>
        </is>
      </c>
      <c r="D32" s="1" t="inlineStr">
        <is>
          <t>EVW-MSA-2023-20</t>
        </is>
      </c>
      <c r="E32" s="1" t="inlineStr">
        <is>
          <t>Safety scanner retrofit kit</t>
        </is>
      </c>
      <c r="F32" s="1" t="n">
        <v>1</v>
      </c>
      <c r="G32" s="1" t="n">
        <v>7000</v>
      </c>
      <c r="H32" s="1">
        <f>F32*G32</f>
        <v/>
      </c>
      <c r="I32" s="1" t="n">
        <v>0.0475</v>
      </c>
      <c r="J32" s="1">
        <f>ROUND(H32*I32,2)</f>
        <v/>
      </c>
      <c r="K32" s="1" t="inlineStr">
        <is>
          <t>2025-03</t>
        </is>
      </c>
      <c r="L32" s="1" t="n">
        <v>0</v>
      </c>
      <c r="M32" s="1" t="inlineStr">
        <is>
          <t>4010</t>
        </is>
      </c>
      <c r="N32" s="1" t="inlineStr">
        <is>
          <t>Open</t>
        </is>
      </c>
      <c r="O32" s="1" t="inlineStr">
        <is>
          <t>PO-EVW-5597</t>
        </is>
      </c>
    </row>
    <row r="33">
      <c r="A33" s="1" t="inlineStr">
        <is>
          <t>INV-2025-10032</t>
        </is>
      </c>
      <c r="B33" s="2" t="n">
        <v>45747</v>
      </c>
      <c r="C33" s="1" t="inlineStr">
        <is>
          <t>Orchard Grove Foods</t>
        </is>
      </c>
      <c r="D33" s="1" t="inlineStr">
        <is>
          <t>OGF-MSA-2024-45</t>
        </is>
      </c>
      <c r="E33" s="1" t="inlineStr">
        <is>
          <t>Autonomous mobile robot, 220 kg payload</t>
        </is>
      </c>
      <c r="F33" s="1" t="n">
        <v>13</v>
      </c>
      <c r="G33" s="1" t="n">
        <v>41500</v>
      </c>
      <c r="H33" s="1">
        <f>F33*G33</f>
        <v/>
      </c>
      <c r="I33" s="1" t="n">
        <v>0.06</v>
      </c>
      <c r="J33" s="1">
        <f>ROUND(H33*I33,2)</f>
        <v/>
      </c>
      <c r="K33" s="1" t="inlineStr">
        <is>
          <t>2025-04</t>
        </is>
      </c>
      <c r="L33" s="1" t="n">
        <v>0</v>
      </c>
      <c r="M33" s="1" t="inlineStr">
        <is>
          <t>4010</t>
        </is>
      </c>
      <c r="N33" s="1" t="inlineStr">
        <is>
          <t>Partially paid</t>
        </is>
      </c>
      <c r="O33" s="1" t="inlineStr">
        <is>
          <t>PO-OGF-2696</t>
        </is>
      </c>
    </row>
    <row r="34">
      <c r="A34" s="1" t="inlineStr">
        <is>
          <t>INV-2025-10033</t>
        </is>
      </c>
      <c r="B34" s="2" t="n">
        <v>45686</v>
      </c>
      <c r="C34" s="1" t="inlineStr">
        <is>
          <t>Meridian Dynamics</t>
        </is>
      </c>
      <c r="D34" s="1" t="inlineStr">
        <is>
          <t>MDY-MSA-2025-72</t>
        </is>
      </c>
      <c r="E34" s="1" t="inlineStr">
        <is>
          <t>Fleet orchestration expansion pack, per robot</t>
        </is>
      </c>
      <c r="F34" s="1" t="n">
        <v>138</v>
      </c>
      <c r="G34" s="1" t="n">
        <v>3150</v>
      </c>
      <c r="H34" s="1">
        <f>F34*G34</f>
        <v/>
      </c>
      <c r="I34" s="1" t="n">
        <v>0.06</v>
      </c>
      <c r="J34" s="1">
        <f>ROUND(H34*I34,2)</f>
        <v/>
      </c>
      <c r="K34" s="1" t="inlineStr">
        <is>
          <t>2025-02</t>
        </is>
      </c>
      <c r="L34" s="1" t="n">
        <v>295596</v>
      </c>
      <c r="M34" s="1" t="inlineStr">
        <is>
          <t>4020</t>
        </is>
      </c>
      <c r="N34" s="1" t="inlineStr">
        <is>
          <t>Paid</t>
        </is>
      </c>
      <c r="O34" s="1" t="inlineStr">
        <is>
          <t>PO-MDY-5790</t>
        </is>
      </c>
    </row>
    <row r="35">
      <c r="A35" s="1" t="inlineStr">
        <is>
          <t>INV-2025-10034</t>
        </is>
      </c>
      <c r="B35" s="2" t="n">
        <v>45715</v>
      </c>
      <c r="C35" s="1" t="inlineStr">
        <is>
          <t>Harborline Systems</t>
        </is>
      </c>
      <c r="D35" s="1" t="inlineStr">
        <is>
          <t>HLS-MSA-2024-70</t>
        </is>
      </c>
      <c r="E35" s="1" t="inlineStr">
        <is>
          <t>Premium support and spares pool</t>
        </is>
      </c>
      <c r="F35" s="1" t="n">
        <v>4</v>
      </c>
      <c r="G35" s="1" t="n">
        <v>57300</v>
      </c>
      <c r="H35" s="1">
        <f>F35*G35</f>
        <v/>
      </c>
      <c r="I35" s="1" t="n">
        <v>0</v>
      </c>
      <c r="J35" s="1">
        <f>ROUND(H35*I35,2)</f>
        <v/>
      </c>
      <c r="K35" s="1" t="inlineStr">
        <is>
          <t>2025-03</t>
        </is>
      </c>
      <c r="L35" s="1" t="n">
        <v>181068</v>
      </c>
      <c r="M35" s="1" t="inlineStr">
        <is>
          <t>4020</t>
        </is>
      </c>
      <c r="N35" s="1" t="inlineStr">
        <is>
          <t>Written off</t>
        </is>
      </c>
      <c r="O35" s="1" t="inlineStr">
        <is>
          <t>PO-HLS-7841</t>
        </is>
      </c>
    </row>
    <row r="36">
      <c r="A36" s="1" t="inlineStr">
        <is>
          <t>INV-2025-10035</t>
        </is>
      </c>
      <c r="B36" s="2" t="n">
        <v>45744</v>
      </c>
      <c r="C36" s="1" t="inlineStr">
        <is>
          <t>Harborline Systems</t>
        </is>
      </c>
      <c r="D36" s="1" t="inlineStr">
        <is>
          <t>HLS-MSA-2024-23</t>
        </is>
      </c>
      <c r="E36" s="1" t="inlineStr">
        <is>
          <t>Fleet orchestration expansion pack, per robot</t>
        </is>
      </c>
      <c r="F36" s="1" t="n">
        <v>96</v>
      </c>
      <c r="G36" s="1" t="n">
        <v>2900</v>
      </c>
      <c r="H36" s="1">
        <f>F36*G36</f>
        <v/>
      </c>
      <c r="I36" s="1" t="n">
        <v>0.0825</v>
      </c>
      <c r="J36" s="1">
        <f>ROUND(H36*I36,2)</f>
        <v/>
      </c>
      <c r="K36" s="1" t="inlineStr">
        <is>
          <t>2025-04</t>
        </is>
      </c>
      <c r="L36" s="1" t="n">
        <v>197664</v>
      </c>
      <c r="M36" s="1" t="inlineStr">
        <is>
          <t>4020</t>
        </is>
      </c>
      <c r="N36" s="1" t="inlineStr">
        <is>
          <t>Written off</t>
        </is>
      </c>
      <c r="O36" s="1" t="inlineStr">
        <is>
          <t>PO-HLS-9629</t>
        </is>
      </c>
    </row>
    <row r="37">
      <c r="A37" s="1" t="inlineStr">
        <is>
          <t>INV-2025-10036</t>
        </is>
      </c>
      <c r="B37" s="2" t="n">
        <v>45667</v>
      </c>
      <c r="C37" s="1" t="inlineStr">
        <is>
          <t>Larkspur Apparel</t>
        </is>
      </c>
      <c r="D37" s="1" t="inlineStr">
        <is>
          <t>LKA-MSA-2023-84</t>
        </is>
      </c>
      <c r="E37" s="1" t="inlineStr">
        <is>
          <t>Autonomous mobile robot, 220 kg payload</t>
        </is>
      </c>
      <c r="F37" s="1" t="n">
        <v>5</v>
      </c>
      <c r="G37" s="1" t="n">
        <v>39300</v>
      </c>
      <c r="H37" s="1">
        <f>F37*G37</f>
        <v/>
      </c>
      <c r="I37" s="1" t="n">
        <v>0.07000000000000001</v>
      </c>
      <c r="J37" s="1">
        <f>ROUND(H37*I37,2)</f>
        <v/>
      </c>
      <c r="K37" s="1" t="inlineStr">
        <is>
          <t>2025-02</t>
        </is>
      </c>
      <c r="L37" s="1" t="n">
        <v>0</v>
      </c>
      <c r="M37" s="1" t="inlineStr">
        <is>
          <t>4010</t>
        </is>
      </c>
      <c r="N37" s="1" t="inlineStr">
        <is>
          <t>Paid</t>
        </is>
      </c>
      <c r="O37" s="1" t="inlineStr">
        <is>
          <t>PO-LKA-5320</t>
        </is>
      </c>
    </row>
    <row r="38">
      <c r="A38" s="1" t="inlineStr">
        <is>
          <t>INV-2025-10037</t>
        </is>
      </c>
      <c r="B38" s="2" t="n">
        <v>45716</v>
      </c>
      <c r="C38" s="1" t="inlineStr">
        <is>
          <t>Vantage Robotics Supply</t>
        </is>
      </c>
      <c r="D38" s="1" t="inlineStr">
        <is>
          <t>VRS-MSA-2023-44</t>
        </is>
      </c>
      <c r="E38" s="1" t="inlineStr">
        <is>
          <t>Warehouse management system connector</t>
        </is>
      </c>
      <c r="F38" s="1" t="n">
        <v>2</v>
      </c>
      <c r="G38" s="1" t="n">
        <v>36700</v>
      </c>
      <c r="H38" s="1">
        <f>F38*G38</f>
        <v/>
      </c>
      <c r="I38" s="1" t="n">
        <v>0.0475</v>
      </c>
      <c r="J38" s="1">
        <f>ROUND(H38*I38,2)</f>
        <v/>
      </c>
      <c r="K38" s="1" t="inlineStr">
        <is>
          <t>2025-03</t>
        </is>
      </c>
      <c r="L38" s="1" t="n">
        <v>5138</v>
      </c>
      <c r="M38" s="1" t="inlineStr">
        <is>
          <t>4030</t>
        </is>
      </c>
      <c r="N38" s="1" t="inlineStr">
        <is>
          <t>Disputed</t>
        </is>
      </c>
      <c r="O38" s="1" t="inlineStr">
        <is>
          <t>PO-VRS-7583</t>
        </is>
      </c>
    </row>
    <row r="39">
      <c r="A39" s="1" t="inlineStr">
        <is>
          <t>INV-2025-10038</t>
        </is>
      </c>
      <c r="B39" s="2" t="n">
        <v>45747</v>
      </c>
      <c r="C39" s="1" t="inlineStr">
        <is>
          <t>Summit Ridge Retail</t>
        </is>
      </c>
      <c r="D39" s="1" t="inlineStr">
        <is>
          <t>SRR-MSA-2022-71</t>
        </is>
      </c>
      <c r="E39" s="1" t="inlineStr">
        <is>
          <t>Autonomous mobile robot, 220 kg payload</t>
        </is>
      </c>
      <c r="F39" s="1" t="n">
        <v>6</v>
      </c>
      <c r="G39" s="1" t="n">
        <v>41000</v>
      </c>
      <c r="H39" s="1">
        <f>F39*G39</f>
        <v/>
      </c>
      <c r="I39" s="1" t="n">
        <v>0.0825</v>
      </c>
      <c r="J39" s="1">
        <f>ROUND(H39*I39,2)</f>
        <v/>
      </c>
      <c r="K39" s="1" t="inlineStr">
        <is>
          <t>2025-04</t>
        </is>
      </c>
      <c r="L39" s="1" t="n">
        <v>0</v>
      </c>
      <c r="M39" s="1" t="inlineStr">
        <is>
          <t>4010</t>
        </is>
      </c>
      <c r="N39" s="1" t="inlineStr">
        <is>
          <t>Open</t>
        </is>
      </c>
      <c r="O39" s="1" t="inlineStr">
        <is>
          <t>PO-SRR-1718</t>
        </is>
      </c>
    </row>
    <row r="40">
      <c r="A40" s="1" t="inlineStr">
        <is>
          <t>INV-2025-10039</t>
        </is>
      </c>
      <c r="B40" s="2" t="n">
        <v>45672</v>
      </c>
      <c r="C40" s="1" t="inlineStr">
        <is>
          <t>Dorsey Grain Cooperative</t>
        </is>
      </c>
      <c r="D40" s="1" t="inlineStr">
        <is>
          <t>DGC-MSA-2024-11</t>
        </is>
      </c>
      <c r="E40" s="1" t="inlineStr">
        <is>
          <t>Warehouse management system connector</t>
        </is>
      </c>
      <c r="F40" s="1" t="n">
        <v>2</v>
      </c>
      <c r="G40" s="1" t="n">
        <v>38000</v>
      </c>
      <c r="H40" s="1">
        <f>F40*G40</f>
        <v/>
      </c>
      <c r="I40" s="1" t="n">
        <v>0.09</v>
      </c>
      <c r="J40" s="1">
        <f>ROUND(H40*I40,2)</f>
        <v/>
      </c>
      <c r="K40" s="1" t="inlineStr">
        <is>
          <t>2025-02</t>
        </is>
      </c>
      <c r="L40" s="1" t="n">
        <v>12160</v>
      </c>
      <c r="M40" s="1" t="inlineStr">
        <is>
          <t>4030</t>
        </is>
      </c>
      <c r="N40" s="1" t="inlineStr">
        <is>
          <t>Partially paid</t>
        </is>
      </c>
      <c r="O40" s="1" t="inlineStr">
        <is>
          <t>PO-DGC-4467</t>
        </is>
      </c>
    </row>
    <row r="41">
      <c r="A41" s="1" t="inlineStr">
        <is>
          <t>INV-2025-10040</t>
        </is>
      </c>
      <c r="B41" s="2" t="n">
        <v>45716</v>
      </c>
      <c r="C41" s="1" t="inlineStr">
        <is>
          <t>Dorsey Grain Cooperative</t>
        </is>
      </c>
      <c r="D41" s="1" t="inlineStr">
        <is>
          <t>DGC-MSA-2024-68</t>
        </is>
      </c>
      <c r="E41" s="1" t="inlineStr">
        <is>
          <t>Fleet orchestration expansion pack, per robot</t>
        </is>
      </c>
      <c r="F41" s="1" t="n">
        <v>18</v>
      </c>
      <c r="G41" s="1" t="n">
        <v>1953</v>
      </c>
      <c r="H41" s="1">
        <f>F41*G41</f>
        <v/>
      </c>
      <c r="I41" s="1" t="n">
        <v>0.0475</v>
      </c>
      <c r="J41" s="1">
        <f>ROUND(H41*I41,2)</f>
        <v/>
      </c>
      <c r="K41" s="1" t="inlineStr">
        <is>
          <t>2025-03</t>
        </is>
      </c>
      <c r="L41" s="1" t="n">
        <v>28474.74</v>
      </c>
      <c r="M41" s="1" t="inlineStr">
        <is>
          <t>4020</t>
        </is>
      </c>
      <c r="N41" s="1" t="inlineStr">
        <is>
          <t>Open</t>
        </is>
      </c>
      <c r="O41" s="1" t="inlineStr">
        <is>
          <t>PO-DGC-7296</t>
        </is>
      </c>
    </row>
    <row r="42">
      <c r="A42" s="1" t="inlineStr">
        <is>
          <t>INV-2025-10041</t>
        </is>
      </c>
      <c r="B42" s="2" t="n">
        <v>45747</v>
      </c>
      <c r="C42" s="1" t="inlineStr">
        <is>
          <t>Blue Mesa Components</t>
        </is>
      </c>
      <c r="D42" s="1" t="inlineStr">
        <is>
          <t>BMC-MSA-2023-22</t>
        </is>
      </c>
      <c r="E42" s="1" t="inlineStr">
        <is>
          <t>Operator training programme</t>
        </is>
      </c>
      <c r="F42" s="1" t="n">
        <v>1</v>
      </c>
      <c r="G42" s="1" t="n">
        <v>4200</v>
      </c>
      <c r="H42" s="1">
        <f>F42*G42</f>
        <v/>
      </c>
      <c r="I42" s="1" t="n">
        <v>0.065</v>
      </c>
      <c r="J42" s="1">
        <f>ROUND(H42*I42,2)</f>
        <v/>
      </c>
      <c r="K42" s="1" t="inlineStr">
        <is>
          <t>2025-04</t>
        </is>
      </c>
      <c r="L42" s="1" t="n">
        <v>336</v>
      </c>
      <c r="M42" s="1" t="inlineStr">
        <is>
          <t>4030</t>
        </is>
      </c>
      <c r="N42" s="1" t="inlineStr">
        <is>
          <t>Partially paid</t>
        </is>
      </c>
      <c r="O42" s="1" t="inlineStr">
        <is>
          <t>PO-BMC-5679</t>
        </is>
      </c>
    </row>
    <row r="43">
      <c r="A43" s="1" t="inlineStr">
        <is>
          <t>INV-2025-10042</t>
        </is>
      </c>
      <c r="B43" s="2" t="n">
        <v>45688</v>
      </c>
      <c r="C43" s="1" t="inlineStr">
        <is>
          <t>Larkspur Apparel</t>
        </is>
      </c>
      <c r="D43" s="1" t="inlineStr">
        <is>
          <t>LKA-MSA-2023-84</t>
        </is>
      </c>
      <c r="E43" s="1" t="inlineStr">
        <is>
          <t>Fleet orchestration platform, annual site licence</t>
        </is>
      </c>
      <c r="F43" s="1" t="n">
        <v>4</v>
      </c>
      <c r="G43" s="1" t="n">
        <v>96000</v>
      </c>
      <c r="H43" s="1">
        <f>F43*G43</f>
        <v/>
      </c>
      <c r="I43" s="1" t="n">
        <v>0</v>
      </c>
      <c r="J43" s="1">
        <f>ROUND(H43*I43,2)</f>
        <v/>
      </c>
      <c r="K43" s="1" t="inlineStr">
        <is>
          <t>2025-02</t>
        </is>
      </c>
      <c r="L43" s="1" t="n">
        <v>307200</v>
      </c>
      <c r="M43" s="1" t="inlineStr">
        <is>
          <t>4020</t>
        </is>
      </c>
      <c r="N43" s="1" t="inlineStr">
        <is>
          <t>Partially paid</t>
        </is>
      </c>
      <c r="O43" s="1" t="inlineStr">
        <is>
          <t>PO-LKA-6615</t>
        </is>
      </c>
    </row>
    <row r="44">
      <c r="A44" s="1" t="inlineStr">
        <is>
          <t>INV-2025-10043</t>
        </is>
      </c>
      <c r="B44" s="2" t="n">
        <v>45715</v>
      </c>
      <c r="C44" s="1" t="inlineStr">
        <is>
          <t>Yarrow Home Goods</t>
        </is>
      </c>
      <c r="D44" s="1" t="inlineStr">
        <is>
          <t>YHG-MSA-2022-83</t>
        </is>
      </c>
      <c r="E44" s="1" t="inlineStr">
        <is>
          <t>Fleet orchestration expansion pack, per robot</t>
        </is>
      </c>
      <c r="F44" s="1" t="n">
        <v>120</v>
      </c>
      <c r="G44" s="1" t="n">
        <v>2900</v>
      </c>
      <c r="H44" s="1">
        <f>F44*G44</f>
        <v/>
      </c>
      <c r="I44" s="1" t="n">
        <v>0.09</v>
      </c>
      <c r="J44" s="1">
        <f>ROUND(H44*I44,2)</f>
        <v/>
      </c>
      <c r="K44" s="1" t="inlineStr">
        <is>
          <t>2025-03</t>
        </is>
      </c>
      <c r="L44" s="1" t="n">
        <v>285360</v>
      </c>
      <c r="M44" s="1" t="inlineStr">
        <is>
          <t>4020</t>
        </is>
      </c>
      <c r="N44" s="1" t="inlineStr">
        <is>
          <t>Disputed</t>
        </is>
      </c>
      <c r="O44" s="1" t="inlineStr">
        <is>
          <t>PO-YHG-6548</t>
        </is>
      </c>
    </row>
    <row r="45">
      <c r="A45" s="1" t="inlineStr">
        <is>
          <t>INV-2025-10044</t>
        </is>
      </c>
      <c r="B45" s="2" t="n">
        <v>45736</v>
      </c>
      <c r="C45" s="1" t="inlineStr">
        <is>
          <t>Bellweather Auto Group</t>
        </is>
      </c>
      <c r="D45" s="1" t="inlineStr">
        <is>
          <t>BWA-MSA-2024-42</t>
        </is>
      </c>
      <c r="E45" s="1" t="inlineStr">
        <is>
          <t>Deployment and commissioning services</t>
        </is>
      </c>
      <c r="F45" s="1" t="n">
        <v>41</v>
      </c>
      <c r="G45" s="1" t="n">
        <v>1147</v>
      </c>
      <c r="H45" s="1">
        <f>F45*G45</f>
        <v/>
      </c>
      <c r="I45" s="1" t="n">
        <v>0.0825</v>
      </c>
      <c r="J45" s="1">
        <f>ROUND(H45*I45,2)</f>
        <v/>
      </c>
      <c r="K45" s="1" t="inlineStr">
        <is>
          <t>2025-04</t>
        </is>
      </c>
      <c r="L45" s="1" t="n">
        <v>1881.08</v>
      </c>
      <c r="M45" s="1" t="inlineStr">
        <is>
          <t>4030</t>
        </is>
      </c>
      <c r="N45" s="1" t="inlineStr">
        <is>
          <t>Disputed</t>
        </is>
      </c>
      <c r="O45" s="1" t="inlineStr">
        <is>
          <t>PO-BWA-3386</t>
        </is>
      </c>
    </row>
    <row r="46">
      <c r="A46" s="1" t="inlineStr">
        <is>
          <t>INV-2025-10045</t>
        </is>
      </c>
      <c r="B46" s="2" t="n">
        <v>45688</v>
      </c>
      <c r="C46" s="1" t="inlineStr">
        <is>
          <t>Alderbrook Textiles</t>
        </is>
      </c>
      <c r="D46" s="1" t="inlineStr">
        <is>
          <t>ABT-MSA-2024-33</t>
        </is>
      </c>
      <c r="E46" s="1" t="inlineStr">
        <is>
          <t>Autonomous mobile robot, 450 kg payload</t>
        </is>
      </c>
      <c r="F46" s="1" t="n">
        <v>2</v>
      </c>
      <c r="G46" s="1" t="n">
        <v>67000</v>
      </c>
      <c r="H46" s="1">
        <f>F46*G46</f>
        <v/>
      </c>
      <c r="I46" s="1" t="n">
        <v>0.09</v>
      </c>
      <c r="J46" s="1">
        <f>ROUND(H46*I46,2)</f>
        <v/>
      </c>
      <c r="K46" s="1" t="inlineStr">
        <is>
          <t>2025-02</t>
        </is>
      </c>
      <c r="L46" s="1" t="n">
        <v>0</v>
      </c>
      <c r="M46" s="1" t="inlineStr">
        <is>
          <t>4010</t>
        </is>
      </c>
      <c r="N46" s="1" t="inlineStr">
        <is>
          <t>Paid</t>
        </is>
      </c>
      <c r="O46" s="1" t="inlineStr">
        <is>
          <t>PO-ABT-5730</t>
        </is>
      </c>
    </row>
    <row r="47">
      <c r="A47" s="1" t="inlineStr">
        <is>
          <t>INV-2025-10046</t>
        </is>
      </c>
      <c r="B47" s="2" t="n">
        <v>45715</v>
      </c>
      <c r="C47" s="1" t="inlineStr">
        <is>
          <t>Dunbar Industrial</t>
        </is>
      </c>
      <c r="D47" s="1" t="inlineStr">
        <is>
          <t>DBI-MSA-2023-42</t>
        </is>
      </c>
      <c r="E47" s="1" t="inlineStr">
        <is>
          <t>Remote operations desk coverage</t>
        </is>
      </c>
      <c r="F47" s="1" t="n">
        <v>4</v>
      </c>
      <c r="G47" s="1" t="n">
        <v>12600</v>
      </c>
      <c r="H47" s="1">
        <f>F47*G47</f>
        <v/>
      </c>
      <c r="I47" s="1" t="n">
        <v>0</v>
      </c>
      <c r="J47" s="1">
        <f>ROUND(H47*I47,2)</f>
        <v/>
      </c>
      <c r="K47" s="1" t="inlineStr">
        <is>
          <t>2025-03</t>
        </is>
      </c>
      <c r="L47" s="1" t="n">
        <v>33264</v>
      </c>
      <c r="M47" s="1" t="inlineStr">
        <is>
          <t>4020</t>
        </is>
      </c>
      <c r="N47" s="1" t="inlineStr">
        <is>
          <t>Open</t>
        </is>
      </c>
      <c r="O47" s="1" t="inlineStr">
        <is>
          <t>PO-DBI-6424</t>
        </is>
      </c>
    </row>
    <row r="48">
      <c r="A48" s="1" t="inlineStr">
        <is>
          <t>INV-2025-10047</t>
        </is>
      </c>
      <c r="B48" s="2" t="n">
        <v>45736</v>
      </c>
      <c r="C48" s="1" t="inlineStr">
        <is>
          <t>Granite Peak Distribution</t>
        </is>
      </c>
      <c r="D48" s="1" t="inlineStr">
        <is>
          <t>GPD-MSA-2023-51</t>
        </is>
      </c>
      <c r="E48" s="1" t="inlineStr">
        <is>
          <t>Premium support and spares pool</t>
        </is>
      </c>
      <c r="F48" s="1" t="n">
        <v>4</v>
      </c>
      <c r="G48" s="1" t="n">
        <v>56800</v>
      </c>
      <c r="H48" s="1">
        <f>F48*G48</f>
        <v/>
      </c>
      <c r="I48" s="1" t="n">
        <v>0</v>
      </c>
      <c r="J48" s="1">
        <f>ROUND(H48*I48,2)</f>
        <v/>
      </c>
      <c r="K48" s="1" t="inlineStr">
        <is>
          <t>2025-04</t>
        </is>
      </c>
      <c r="L48" s="1" t="n">
        <v>174944</v>
      </c>
      <c r="M48" s="1" t="inlineStr">
        <is>
          <t>4020</t>
        </is>
      </c>
      <c r="N48" s="1" t="inlineStr">
        <is>
          <t>Written off</t>
        </is>
      </c>
      <c r="O48" s="1" t="inlineStr">
        <is>
          <t>PO-GPD-6680</t>
        </is>
      </c>
    </row>
    <row r="49">
      <c r="A49" s="1" t="inlineStr">
        <is>
          <t>INV-2025-10048</t>
        </is>
      </c>
      <c r="B49" s="2" t="n">
        <v>45686</v>
      </c>
      <c r="C49" s="1" t="inlineStr">
        <is>
          <t>Granite Peak Distribution</t>
        </is>
      </c>
      <c r="D49" s="1" t="inlineStr">
        <is>
          <t>GPD-MSA-2023-24</t>
        </is>
      </c>
      <c r="E49" s="1" t="inlineStr">
        <is>
          <t>Autonomous mobile robot, 450 kg payload</t>
        </is>
      </c>
      <c r="F49" s="1" t="n">
        <v>2</v>
      </c>
      <c r="G49" s="1" t="n">
        <v>67500</v>
      </c>
      <c r="H49" s="1">
        <f>F49*G49</f>
        <v/>
      </c>
      <c r="I49" s="1" t="n">
        <v>0.0475</v>
      </c>
      <c r="J49" s="1">
        <f>ROUND(H49*I49,2)</f>
        <v/>
      </c>
      <c r="K49" s="1" t="inlineStr">
        <is>
          <t>2025-02</t>
        </is>
      </c>
      <c r="L49" s="1" t="n">
        <v>0</v>
      </c>
      <c r="M49" s="1" t="inlineStr">
        <is>
          <t>4010</t>
        </is>
      </c>
      <c r="N49" s="1" t="inlineStr">
        <is>
          <t>Open</t>
        </is>
      </c>
      <c r="O49" s="1" t="inlineStr">
        <is>
          <t>PO-GPD-4063</t>
        </is>
      </c>
    </row>
    <row r="50">
      <c r="A50" s="1" t="inlineStr">
        <is>
          <t>INV-2025-10049</t>
        </is>
      </c>
      <c r="B50" s="2" t="n">
        <v>45715</v>
      </c>
      <c r="C50" s="1" t="inlineStr">
        <is>
          <t>Meridian Dynamics</t>
        </is>
      </c>
      <c r="D50" s="1" t="inlineStr">
        <is>
          <t>MDY-MSA-2024-68</t>
        </is>
      </c>
      <c r="E50" s="1" t="inlineStr">
        <is>
          <t>Fleet orchestration platform, annual site licence</t>
        </is>
      </c>
      <c r="F50" s="1" t="n">
        <v>4</v>
      </c>
      <c r="G50" s="1" t="n">
        <v>96000</v>
      </c>
      <c r="H50" s="1">
        <f>F50*G50</f>
        <v/>
      </c>
      <c r="I50" s="1" t="n">
        <v>0.07000000000000001</v>
      </c>
      <c r="J50" s="1">
        <f>ROUND(H50*I50,2)</f>
        <v/>
      </c>
      <c r="K50" s="1" t="inlineStr">
        <is>
          <t>2025-03</t>
        </is>
      </c>
      <c r="L50" s="1" t="n">
        <v>264960</v>
      </c>
      <c r="M50" s="1" t="inlineStr">
        <is>
          <t>4020</t>
        </is>
      </c>
      <c r="N50" s="1" t="inlineStr">
        <is>
          <t>Disputed</t>
        </is>
      </c>
      <c r="O50" s="1" t="inlineStr">
        <is>
          <t>PO-MDY-5953</t>
        </is>
      </c>
    </row>
    <row r="51">
      <c r="A51" s="1" t="inlineStr">
        <is>
          <t>INV-2025-10050</t>
        </is>
      </c>
      <c r="B51" s="2" t="n">
        <v>45747</v>
      </c>
      <c r="C51" s="1" t="inlineStr">
        <is>
          <t>Zephyr Air Cargo</t>
        </is>
      </c>
      <c r="D51" s="1" t="inlineStr">
        <is>
          <t>ZAC-MSA-2022-84</t>
        </is>
      </c>
      <c r="E51" s="1" t="inlineStr">
        <is>
          <t>Warehouse management system connector</t>
        </is>
      </c>
      <c r="F51" s="1" t="n">
        <v>2</v>
      </c>
      <c r="G51" s="1" t="n">
        <v>38000</v>
      </c>
      <c r="H51" s="1">
        <f>F51*G51</f>
        <v/>
      </c>
      <c r="I51" s="1" t="n">
        <v>0.09</v>
      </c>
      <c r="J51" s="1">
        <f>ROUND(H51*I51,2)</f>
        <v/>
      </c>
      <c r="K51" s="1" t="inlineStr">
        <is>
          <t>2025-04</t>
        </is>
      </c>
      <c r="L51" s="1" t="n">
        <v>18240</v>
      </c>
      <c r="M51" s="1" t="inlineStr">
        <is>
          <t>4030</t>
        </is>
      </c>
      <c r="N51" s="1" t="inlineStr">
        <is>
          <t>Paid</t>
        </is>
      </c>
      <c r="O51" s="1" t="inlineStr">
        <is>
          <t>PO-ZAC-6945</t>
        </is>
      </c>
    </row>
    <row r="52">
      <c r="A52" s="1" t="inlineStr">
        <is>
          <t>INV-2025-10051</t>
        </is>
      </c>
      <c r="B52" s="2" t="n">
        <v>45687</v>
      </c>
      <c r="C52" s="1" t="inlineStr">
        <is>
          <t>Zephyr Air Cargo</t>
        </is>
      </c>
      <c r="D52" s="1" t="inlineStr">
        <is>
          <t>ZAC-MSA-2023-37</t>
        </is>
      </c>
      <c r="E52" s="1" t="inlineStr">
        <is>
          <t>Deployment and commissioning services</t>
        </is>
      </c>
      <c r="F52" s="1" t="n">
        <v>34</v>
      </c>
      <c r="G52" s="1" t="n">
        <v>1850</v>
      </c>
      <c r="H52" s="1">
        <f>F52*G52</f>
        <v/>
      </c>
      <c r="I52" s="1" t="n">
        <v>0.09</v>
      </c>
      <c r="J52" s="1">
        <f>ROUND(H52*I52,2)</f>
        <v/>
      </c>
      <c r="K52" s="1" t="inlineStr">
        <is>
          <t>2025-02</t>
        </is>
      </c>
      <c r="L52" s="1" t="n">
        <v>9435</v>
      </c>
      <c r="M52" s="1" t="inlineStr">
        <is>
          <t>4030</t>
        </is>
      </c>
      <c r="N52" s="1" t="inlineStr">
        <is>
          <t>Open</t>
        </is>
      </c>
      <c r="O52" s="1" t="inlineStr">
        <is>
          <t>PO-ZAC-7922</t>
        </is>
      </c>
    </row>
    <row r="53">
      <c r="A53" s="1" t="inlineStr">
        <is>
          <t>INV-2025-10052</t>
        </is>
      </c>
      <c r="B53" s="2" t="n">
        <v>45691</v>
      </c>
      <c r="C53" s="1" t="inlineStr">
        <is>
          <t>Juniper Health Supply</t>
        </is>
      </c>
      <c r="D53" s="1" t="inlineStr">
        <is>
          <t>JHS-MSA-2022-67</t>
        </is>
      </c>
      <c r="E53" s="1" t="inlineStr">
        <is>
          <t>Operator training programme</t>
        </is>
      </c>
      <c r="F53" s="1" t="n">
        <v>2</v>
      </c>
      <c r="G53" s="1" t="n">
        <v>4200</v>
      </c>
      <c r="H53" s="1">
        <f>F53*G53</f>
        <v/>
      </c>
      <c r="I53" s="1" t="n">
        <v>0.065</v>
      </c>
      <c r="J53" s="1">
        <f>ROUND(H53*I53,2)</f>
        <v/>
      </c>
      <c r="K53" s="1" t="inlineStr">
        <is>
          <t>2025-03</t>
        </is>
      </c>
      <c r="L53" s="1" t="n">
        <v>1932</v>
      </c>
      <c r="M53" s="1" t="inlineStr">
        <is>
          <t>4030</t>
        </is>
      </c>
      <c r="N53" s="1" t="inlineStr">
        <is>
          <t>Paid</t>
        </is>
      </c>
      <c r="O53" s="1" t="inlineStr">
        <is>
          <t>PO-JHS-7059</t>
        </is>
      </c>
    </row>
    <row r="54">
      <c r="A54" s="1" t="inlineStr">
        <is>
          <t>INV-2025-10053</t>
        </is>
      </c>
      <c r="B54" s="2" t="n">
        <v>45747</v>
      </c>
      <c r="C54" s="1" t="inlineStr">
        <is>
          <t>Quarrybridge Materials</t>
        </is>
      </c>
      <c r="D54" s="1" t="inlineStr">
        <is>
          <t>QBM-MSA-2022-71</t>
        </is>
      </c>
      <c r="E54" s="1" t="inlineStr">
        <is>
          <t>Opportunity charging dock</t>
        </is>
      </c>
      <c r="F54" s="1" t="n">
        <v>1</v>
      </c>
      <c r="G54" s="1" t="n">
        <v>11300</v>
      </c>
      <c r="H54" s="1">
        <f>F54*G54</f>
        <v/>
      </c>
      <c r="I54" s="1" t="n">
        <v>0</v>
      </c>
      <c r="J54" s="1">
        <f>ROUND(H54*I54,2)</f>
        <v/>
      </c>
      <c r="K54" s="1" t="inlineStr">
        <is>
          <t>2025-04</t>
        </is>
      </c>
      <c r="L54" s="1" t="n">
        <v>0</v>
      </c>
      <c r="M54" s="1" t="inlineStr">
        <is>
          <t>4010</t>
        </is>
      </c>
      <c r="N54" s="1" t="inlineStr">
        <is>
          <t>Credit issued</t>
        </is>
      </c>
      <c r="O54" s="1" t="inlineStr">
        <is>
          <t>PO-QBM-2165</t>
        </is>
      </c>
    </row>
    <row r="55">
      <c r="A55" s="1" t="inlineStr">
        <is>
          <t>INV-2025-10054</t>
        </is>
      </c>
      <c r="B55" s="2" t="n">
        <v>45679</v>
      </c>
      <c r="C55" s="1" t="inlineStr">
        <is>
          <t>Union Vale Pharma</t>
        </is>
      </c>
      <c r="D55" s="1" t="inlineStr">
        <is>
          <t>UVP-MSA-2022-29</t>
        </is>
      </c>
      <c r="E55" s="1" t="inlineStr">
        <is>
          <t>Telemetry retention tier, extended</t>
        </is>
      </c>
      <c r="F55" s="1" t="n">
        <v>4</v>
      </c>
      <c r="G55" s="1" t="n">
        <v>24500</v>
      </c>
      <c r="H55" s="1">
        <f>F55*G55</f>
        <v/>
      </c>
      <c r="I55" s="1" t="n">
        <v>0.0825</v>
      </c>
      <c r="J55" s="1">
        <f>ROUND(H55*I55,2)</f>
        <v/>
      </c>
      <c r="K55" s="1" t="inlineStr">
        <is>
          <t>2025-02</t>
        </is>
      </c>
      <c r="L55" s="1" t="n">
        <v>64680</v>
      </c>
      <c r="M55" s="1" t="inlineStr">
        <is>
          <t>4020</t>
        </is>
      </c>
      <c r="N55" s="1" t="inlineStr">
        <is>
          <t>Written off</t>
        </is>
      </c>
      <c r="O55" s="1" t="inlineStr">
        <is>
          <t>PO-UVP-4311</t>
        </is>
      </c>
    </row>
    <row r="56">
      <c r="A56" s="1" t="inlineStr">
        <is>
          <t>INV-2025-10055</t>
        </is>
      </c>
      <c r="B56" s="2" t="n">
        <v>45714</v>
      </c>
      <c r="C56" s="1" t="inlineStr">
        <is>
          <t>Yarrow Home Goods</t>
        </is>
      </c>
      <c r="D56" s="1" t="inlineStr">
        <is>
          <t>YHG-MSA-2025-77</t>
        </is>
      </c>
      <c r="E56" s="1" t="inlineStr">
        <is>
          <t>Autonomous mobile robot, 220 kg payload</t>
        </is>
      </c>
      <c r="F56" s="1" t="n">
        <v>7</v>
      </c>
      <c r="G56" s="1" t="n">
        <v>41000</v>
      </c>
      <c r="H56" s="1">
        <f>F56*G56</f>
        <v/>
      </c>
      <c r="I56" s="1" t="n">
        <v>0.065</v>
      </c>
      <c r="J56" s="1">
        <f>ROUND(H56*I56,2)</f>
        <v/>
      </c>
      <c r="K56" s="1" t="inlineStr">
        <is>
          <t>2025-03</t>
        </is>
      </c>
      <c r="L56" s="1" t="n">
        <v>0</v>
      </c>
      <c r="M56" s="1" t="inlineStr">
        <is>
          <t>4010</t>
        </is>
      </c>
      <c r="N56" s="1" t="inlineStr">
        <is>
          <t>Open</t>
        </is>
      </c>
      <c r="O56" s="1" t="inlineStr">
        <is>
          <t>PO-YHG-1567</t>
        </is>
      </c>
    </row>
    <row r="57">
      <c r="A57" s="1" t="inlineStr">
        <is>
          <t>INV-2025-10056</t>
        </is>
      </c>
      <c r="B57" s="2" t="n">
        <v>45744</v>
      </c>
      <c r="C57" s="1" t="inlineStr">
        <is>
          <t>Westlake Chemical Depot</t>
        </is>
      </c>
      <c r="D57" s="1" t="inlineStr">
        <is>
          <t>WCD-MSA-2024-20</t>
        </is>
      </c>
      <c r="E57" s="1" t="inlineStr">
        <is>
          <t>Opportunity charging dock</t>
        </is>
      </c>
      <c r="F57" s="1" t="n">
        <v>5</v>
      </c>
      <c r="G57" s="1" t="n">
        <v>11300</v>
      </c>
      <c r="H57" s="1">
        <f>F57*G57</f>
        <v/>
      </c>
      <c r="I57" s="1" t="n">
        <v>0.07000000000000001</v>
      </c>
      <c r="J57" s="1">
        <f>ROUND(H57*I57,2)</f>
        <v/>
      </c>
      <c r="K57" s="1" t="inlineStr">
        <is>
          <t>2025-04</t>
        </is>
      </c>
      <c r="L57" s="1" t="n">
        <v>0</v>
      </c>
      <c r="M57" s="1" t="inlineStr">
        <is>
          <t>4010</t>
        </is>
      </c>
      <c r="N57" s="1" t="inlineStr">
        <is>
          <t>Open</t>
        </is>
      </c>
      <c r="O57" s="1" t="inlineStr">
        <is>
          <t>PO-WCD-4878</t>
        </is>
      </c>
    </row>
    <row r="58">
      <c r="A58" s="1" t="inlineStr">
        <is>
          <t>INV-2025-10057</t>
        </is>
      </c>
      <c r="B58" s="2" t="n">
        <v>45686</v>
      </c>
      <c r="C58" s="1" t="inlineStr">
        <is>
          <t>Asterion Logistics</t>
        </is>
      </c>
      <c r="D58" s="1" t="inlineStr">
        <is>
          <t>AST-MSA-2025-48</t>
        </is>
      </c>
      <c r="E58" s="1" t="inlineStr">
        <is>
          <t>Safety scanner retrofit kit</t>
        </is>
      </c>
      <c r="F58" s="1" t="n">
        <v>3</v>
      </c>
      <c r="G58" s="1" t="n">
        <v>7250</v>
      </c>
      <c r="H58" s="1">
        <f>F58*G58</f>
        <v/>
      </c>
      <c r="I58" s="1" t="n">
        <v>0.0475</v>
      </c>
      <c r="J58" s="1">
        <f>ROUND(H58*I58,2)</f>
        <v/>
      </c>
      <c r="K58" s="1" t="inlineStr">
        <is>
          <t>2025-02</t>
        </is>
      </c>
      <c r="L58" s="1" t="n">
        <v>0</v>
      </c>
      <c r="M58" s="1" t="inlineStr">
        <is>
          <t>4010</t>
        </is>
      </c>
      <c r="N58" s="1" t="inlineStr">
        <is>
          <t>Open</t>
        </is>
      </c>
      <c r="O58" s="1" t="inlineStr">
        <is>
          <t>PO-AST-6424</t>
        </is>
      </c>
    </row>
    <row r="59">
      <c r="A59" s="1" t="inlineStr">
        <is>
          <t>INV-2025-10058</t>
        </is>
      </c>
      <c r="B59" s="2" t="n">
        <v>45714</v>
      </c>
      <c r="C59" s="1" t="inlineStr">
        <is>
          <t>Crestline Fulfillment</t>
        </is>
      </c>
      <c r="D59" s="1" t="inlineStr">
        <is>
          <t>CFF-MSA-2022-15</t>
        </is>
      </c>
      <c r="E59" s="1" t="inlineStr">
        <is>
          <t>Autonomous mobile robot, 450 kg payload</t>
        </is>
      </c>
      <c r="F59" s="1" t="n">
        <v>13</v>
      </c>
      <c r="G59" s="1" t="n">
        <v>66200</v>
      </c>
      <c r="H59" s="1">
        <f>F59*G59</f>
        <v/>
      </c>
      <c r="I59" s="1" t="n">
        <v>0.0475</v>
      </c>
      <c r="J59" s="1">
        <f>ROUND(H59*I59,2)</f>
        <v/>
      </c>
      <c r="K59" s="1" t="inlineStr">
        <is>
          <t>2025-03</t>
        </is>
      </c>
      <c r="L59" s="1" t="n">
        <v>0</v>
      </c>
      <c r="M59" s="1" t="inlineStr">
        <is>
          <t>4010</t>
        </is>
      </c>
      <c r="N59" s="1" t="inlineStr">
        <is>
          <t>Paid</t>
        </is>
      </c>
      <c r="O59" s="1" t="inlineStr">
        <is>
          <t>PO-CFF-1020</t>
        </is>
      </c>
    </row>
    <row r="60">
      <c r="A60" s="1" t="inlineStr">
        <is>
          <t>INV-2025-10059</t>
        </is>
      </c>
      <c r="B60" s="2" t="n">
        <v>45735</v>
      </c>
      <c r="C60" s="1" t="inlineStr">
        <is>
          <t>Summit Ridge Retail</t>
        </is>
      </c>
      <c r="D60" s="1" t="inlineStr">
        <is>
          <t>SRR-MSA-2024-33</t>
        </is>
      </c>
      <c r="E60" s="1" t="inlineStr">
        <is>
          <t>Fleet orchestration expansion pack, per robot</t>
        </is>
      </c>
      <c r="F60" s="1" t="n">
        <v>176</v>
      </c>
      <c r="G60" s="1" t="n">
        <v>2900</v>
      </c>
      <c r="H60" s="1">
        <f>F60*G60</f>
        <v/>
      </c>
      <c r="I60" s="1" t="n">
        <v>0.0825</v>
      </c>
      <c r="J60" s="1">
        <f>ROUND(H60*I60,2)</f>
        <v/>
      </c>
      <c r="K60" s="1" t="inlineStr">
        <is>
          <t>2025-04</t>
        </is>
      </c>
      <c r="L60" s="1" t="n">
        <v>306240</v>
      </c>
      <c r="M60" s="1" t="inlineStr">
        <is>
          <t>4020</t>
        </is>
      </c>
      <c r="N60" s="1" t="inlineStr">
        <is>
          <t>Disputed</t>
        </is>
      </c>
      <c r="O60" s="1" t="inlineStr">
        <is>
          <t>PO-SRR-3551</t>
        </is>
      </c>
    </row>
    <row r="61">
      <c r="A61" s="1" t="inlineStr">
        <is>
          <t>INV-2025-10060</t>
        </is>
      </c>
      <c r="B61" s="2" t="n">
        <v>45686</v>
      </c>
      <c r="C61" s="1" t="inlineStr">
        <is>
          <t>Fathom Mobility</t>
        </is>
      </c>
      <c r="D61" s="1" t="inlineStr">
        <is>
          <t>FTM-MSA-2025-55</t>
        </is>
      </c>
      <c r="E61" s="1" t="inlineStr">
        <is>
          <t>Warehouse management system connector</t>
        </is>
      </c>
      <c r="F61" s="1" t="n">
        <v>3</v>
      </c>
      <c r="G61" s="1" t="n">
        <v>36700</v>
      </c>
      <c r="H61" s="1">
        <f>F61*G61</f>
        <v/>
      </c>
      <c r="I61" s="1" t="n">
        <v>0.09</v>
      </c>
      <c r="J61" s="1">
        <f>ROUND(H61*I61,2)</f>
        <v/>
      </c>
      <c r="K61" s="1" t="inlineStr">
        <is>
          <t>2025-02</t>
        </is>
      </c>
      <c r="L61" s="1" t="n">
        <v>18717</v>
      </c>
      <c r="M61" s="1" t="inlineStr">
        <is>
          <t>4030</t>
        </is>
      </c>
      <c r="N61" s="1" t="inlineStr">
        <is>
          <t>Written off</t>
        </is>
      </c>
      <c r="O61" s="1" t="inlineStr">
        <is>
          <t>PO-FTM-7154</t>
        </is>
      </c>
    </row>
    <row r="62">
      <c r="A62" s="1" t="inlineStr">
        <is>
          <t>INV-2025-10061</t>
        </is>
      </c>
      <c r="B62" s="2" t="n">
        <v>45709</v>
      </c>
      <c r="C62" s="1" t="inlineStr">
        <is>
          <t>Quarrybridge Materials</t>
        </is>
      </c>
      <c r="D62" s="1" t="inlineStr">
        <is>
          <t>QBM-MSA-2022-23</t>
        </is>
      </c>
      <c r="E62" s="1" t="inlineStr">
        <is>
          <t>Safety scanner retrofit kit</t>
        </is>
      </c>
      <c r="F62" s="1" t="n">
        <v>1</v>
      </c>
      <c r="G62" s="1" t="n">
        <v>5850</v>
      </c>
      <c r="H62" s="1">
        <f>F62*G62</f>
        <v/>
      </c>
      <c r="I62" s="1" t="n">
        <v>0.065</v>
      </c>
      <c r="J62" s="1">
        <f>ROUND(H62*I62,2)</f>
        <v/>
      </c>
      <c r="K62" s="1" t="inlineStr">
        <is>
          <t>2025-03</t>
        </is>
      </c>
      <c r="L62" s="1" t="n">
        <v>0</v>
      </c>
      <c r="M62" s="1" t="inlineStr">
        <is>
          <t>4010</t>
        </is>
      </c>
      <c r="N62" s="1" t="inlineStr">
        <is>
          <t>Credit issued</t>
        </is>
      </c>
      <c r="O62" s="1" t="inlineStr">
        <is>
          <t>PO-QBM-6228</t>
        </is>
      </c>
    </row>
    <row r="63">
      <c r="A63" s="1" t="inlineStr">
        <is>
          <t>INV-2025-10062</t>
        </is>
      </c>
      <c r="B63" s="2" t="n">
        <v>45744</v>
      </c>
      <c r="C63" s="1" t="inlineStr">
        <is>
          <t>Ironvale Grocery Group</t>
        </is>
      </c>
      <c r="D63" s="1" t="inlineStr">
        <is>
          <t>IVG-MSA-2024-82</t>
        </is>
      </c>
      <c r="E63" s="1" t="inlineStr">
        <is>
          <t>Safety scanner retrofit kit</t>
        </is>
      </c>
      <c r="F63" s="1" t="n">
        <v>3</v>
      </c>
      <c r="G63" s="1" t="n">
        <v>6350</v>
      </c>
      <c r="H63" s="1">
        <f>F63*G63</f>
        <v/>
      </c>
      <c r="I63" s="1" t="n">
        <v>0.065</v>
      </c>
      <c r="J63" s="1">
        <f>ROUND(H63*I63,2)</f>
        <v/>
      </c>
      <c r="K63" s="1" t="inlineStr">
        <is>
          <t>2025-04</t>
        </is>
      </c>
      <c r="L63" s="1" t="n">
        <v>0</v>
      </c>
      <c r="M63" s="1" t="inlineStr">
        <is>
          <t>4010</t>
        </is>
      </c>
      <c r="N63" s="1" t="inlineStr">
        <is>
          <t>Partially paid</t>
        </is>
      </c>
      <c r="O63" s="1" t="inlineStr">
        <is>
          <t>PO-IVG-2036</t>
        </is>
      </c>
    </row>
    <row r="64">
      <c r="A64" s="1" t="inlineStr">
        <is>
          <t>INV-2025-10063</t>
        </is>
      </c>
      <c r="B64" s="2" t="n">
        <v>45660</v>
      </c>
      <c r="C64" s="1" t="inlineStr">
        <is>
          <t>Asterion Logistics</t>
        </is>
      </c>
      <c r="D64" s="1" t="inlineStr">
        <is>
          <t>AST-MSA-2022-85</t>
        </is>
      </c>
      <c r="E64" s="1" t="inlineStr">
        <is>
          <t>Warehouse management system connector</t>
        </is>
      </c>
      <c r="F64" s="1" t="n">
        <v>3</v>
      </c>
      <c r="G64" s="1" t="n">
        <v>36700</v>
      </c>
      <c r="H64" s="1">
        <f>F64*G64</f>
        <v/>
      </c>
      <c r="I64" s="1" t="n">
        <v>0.07000000000000001</v>
      </c>
      <c r="J64" s="1">
        <f>ROUND(H64*I64,2)</f>
        <v/>
      </c>
      <c r="K64" s="1" t="inlineStr">
        <is>
          <t>2025-02</t>
        </is>
      </c>
      <c r="L64" s="1" t="n">
        <v>8808</v>
      </c>
      <c r="M64" s="1" t="inlineStr">
        <is>
          <t>4030</t>
        </is>
      </c>
      <c r="N64" s="1" t="inlineStr">
        <is>
          <t>Credit issued</t>
        </is>
      </c>
      <c r="O64" s="1" t="inlineStr">
        <is>
          <t>PO-AST-7273</t>
        </is>
      </c>
    </row>
    <row r="65">
      <c r="A65" s="1" t="inlineStr">
        <is>
          <t>INV-2025-10064</t>
        </is>
      </c>
      <c r="B65" s="2" t="n">
        <v>45715</v>
      </c>
      <c r="C65" s="1" t="inlineStr">
        <is>
          <t>Juniper Health Supply</t>
        </is>
      </c>
      <c r="D65" s="1" t="inlineStr">
        <is>
          <t>JHS-MSA-2023-38</t>
        </is>
      </c>
      <c r="E65" s="1" t="inlineStr">
        <is>
          <t>Fleet orchestration platform, annual site licence</t>
        </is>
      </c>
      <c r="F65" s="1" t="n">
        <v>3</v>
      </c>
      <c r="G65" s="1" t="n">
        <v>95750</v>
      </c>
      <c r="H65" s="1">
        <f>F65*G65</f>
        <v/>
      </c>
      <c r="I65" s="1" t="n">
        <v>0.0475</v>
      </c>
      <c r="J65" s="1">
        <f>ROUND(H65*I65,2)</f>
        <v/>
      </c>
      <c r="K65" s="1" t="inlineStr">
        <is>
          <t>2025-03</t>
        </is>
      </c>
      <c r="L65" s="1" t="n">
        <v>178095</v>
      </c>
      <c r="M65" s="1" t="inlineStr">
        <is>
          <t>4020</t>
        </is>
      </c>
      <c r="N65" s="1" t="inlineStr">
        <is>
          <t>Credit issued</t>
        </is>
      </c>
      <c r="O65" s="1" t="inlineStr">
        <is>
          <t>PO-JHS-4146</t>
        </is>
      </c>
    </row>
    <row r="66">
      <c r="A66" s="1" t="inlineStr">
        <is>
          <t>INV-2025-10065</t>
        </is>
      </c>
      <c r="B66" s="2" t="n">
        <v>45744</v>
      </c>
      <c r="C66" s="1" t="inlineStr">
        <is>
          <t>Elmsworth Publishing</t>
        </is>
      </c>
      <c r="D66" s="1" t="inlineStr">
        <is>
          <t>EWP-MSA-2023-33</t>
        </is>
      </c>
      <c r="E66" s="1" t="inlineStr">
        <is>
          <t>Fleet orchestration expansion pack, per robot</t>
        </is>
      </c>
      <c r="F66" s="1" t="n">
        <v>157</v>
      </c>
      <c r="G66" s="1" t="n">
        <v>3150</v>
      </c>
      <c r="H66" s="1">
        <f>F66*G66</f>
        <v/>
      </c>
      <c r="I66" s="1" t="n">
        <v>0.07000000000000001</v>
      </c>
      <c r="J66" s="1">
        <f>ROUND(H66*I66,2)</f>
        <v/>
      </c>
      <c r="K66" s="1" t="inlineStr">
        <is>
          <t>2025-04</t>
        </is>
      </c>
      <c r="L66" s="1" t="n">
        <v>301675.5</v>
      </c>
      <c r="M66" s="1" t="inlineStr">
        <is>
          <t>4020</t>
        </is>
      </c>
      <c r="N66" s="1" t="inlineStr">
        <is>
          <t>Partially paid</t>
        </is>
      </c>
      <c r="O66" s="1" t="inlineStr">
        <is>
          <t>PO-EWP-9502</t>
        </is>
      </c>
    </row>
    <row r="67">
      <c r="A67" s="1" t="inlineStr">
        <is>
          <t>INV-2025-10066</t>
        </is>
      </c>
      <c r="B67" s="2" t="n">
        <v>45687</v>
      </c>
      <c r="C67" s="1" t="inlineStr">
        <is>
          <t>Evergreen Warehousing</t>
        </is>
      </c>
      <c r="D67" s="1" t="inlineStr">
        <is>
          <t>EVW-MSA-2022-52</t>
        </is>
      </c>
      <c r="E67" s="1" t="inlineStr">
        <is>
          <t>Operator training programme</t>
        </is>
      </c>
      <c r="F67" s="1" t="n">
        <v>4</v>
      </c>
      <c r="G67" s="1" t="n">
        <v>3700</v>
      </c>
      <c r="H67" s="1">
        <f>F67*G67</f>
        <v/>
      </c>
      <c r="I67" s="1" t="n">
        <v>0.06</v>
      </c>
      <c r="J67" s="1">
        <f>ROUND(H67*I67,2)</f>
        <v/>
      </c>
      <c r="K67" s="1" t="inlineStr">
        <is>
          <t>2025-02</t>
        </is>
      </c>
      <c r="L67" s="1" t="n">
        <v>2812</v>
      </c>
      <c r="M67" s="1" t="inlineStr">
        <is>
          <t>4030</t>
        </is>
      </c>
      <c r="N67" s="1" t="inlineStr">
        <is>
          <t>Open</t>
        </is>
      </c>
      <c r="O67" s="1" t="inlineStr">
        <is>
          <t>PO-EVW-9256</t>
        </is>
      </c>
    </row>
    <row r="68">
      <c r="A68" s="1" t="inlineStr">
        <is>
          <t>INV-2025-10067</t>
        </is>
      </c>
      <c r="B68" s="2" t="n">
        <v>45716</v>
      </c>
      <c r="C68" s="1" t="inlineStr">
        <is>
          <t>Bellweather Auto Group</t>
        </is>
      </c>
      <c r="D68" s="1" t="inlineStr">
        <is>
          <t>BWA-MSA-2024-16</t>
        </is>
      </c>
      <c r="E68" s="1" t="inlineStr">
        <is>
          <t>Remote operations desk coverage</t>
        </is>
      </c>
      <c r="F68" s="1" t="n">
        <v>3</v>
      </c>
      <c r="G68" s="1" t="n">
        <v>11200</v>
      </c>
      <c r="H68" s="1">
        <f>F68*G68</f>
        <v/>
      </c>
      <c r="I68" s="1" t="n">
        <v>0</v>
      </c>
      <c r="J68" s="1">
        <f>ROUND(H68*I68,2)</f>
        <v/>
      </c>
      <c r="K68" s="1" t="inlineStr">
        <is>
          <t>2025-03</t>
        </is>
      </c>
      <c r="L68" s="1" t="n">
        <v>26880</v>
      </c>
      <c r="M68" s="1" t="inlineStr">
        <is>
          <t>4020</t>
        </is>
      </c>
      <c r="N68" s="1" t="inlineStr">
        <is>
          <t>Credit issued</t>
        </is>
      </c>
      <c r="O68" s="1" t="inlineStr">
        <is>
          <t>PO-BWA-5387</t>
        </is>
      </c>
    </row>
    <row r="69">
      <c r="A69" s="1" t="inlineStr">
        <is>
          <t>INV-2025-10068</t>
        </is>
      </c>
      <c r="B69" s="2" t="n">
        <v>45730</v>
      </c>
      <c r="C69" s="1" t="inlineStr">
        <is>
          <t>Quarrybridge Materials</t>
        </is>
      </c>
      <c r="D69" s="1" t="inlineStr">
        <is>
          <t>QBM-MSA-2025-71</t>
        </is>
      </c>
      <c r="E69" s="1" t="inlineStr">
        <is>
          <t>Remote operations desk coverage</t>
        </is>
      </c>
      <c r="F69" s="1" t="n">
        <v>4</v>
      </c>
      <c r="G69" s="1" t="n">
        <v>11200</v>
      </c>
      <c r="H69" s="1">
        <f>F69*G69</f>
        <v/>
      </c>
      <c r="I69" s="1" t="n">
        <v>0.065</v>
      </c>
      <c r="J69" s="1">
        <f>ROUND(H69*I69,2)</f>
        <v/>
      </c>
      <c r="K69" s="1" t="inlineStr">
        <is>
          <t>2025-04</t>
        </is>
      </c>
      <c r="L69" s="1" t="n">
        <v>33600</v>
      </c>
      <c r="M69" s="1" t="inlineStr">
        <is>
          <t>4020</t>
        </is>
      </c>
      <c r="N69" s="1" t="inlineStr">
        <is>
          <t>Open</t>
        </is>
      </c>
      <c r="O69" s="1" t="inlineStr">
        <is>
          <t>PO-QBM-1167</t>
        </is>
      </c>
    </row>
    <row r="70">
      <c r="A70" s="1" t="inlineStr">
        <is>
          <t>INV-2025-10069</t>
        </is>
      </c>
      <c r="B70" s="2" t="n">
        <v>45670</v>
      </c>
      <c r="C70" s="1" t="inlineStr">
        <is>
          <t>Juniper Health Supply</t>
        </is>
      </c>
      <c r="D70" s="1" t="inlineStr">
        <is>
          <t>JHS-MSA-2022-62</t>
        </is>
      </c>
      <c r="E70" s="1" t="inlineStr">
        <is>
          <t>Premium support and spares pool</t>
        </is>
      </c>
      <c r="F70" s="1" t="n">
        <v>3</v>
      </c>
      <c r="G70" s="1" t="n">
        <v>57300</v>
      </c>
      <c r="H70" s="1">
        <f>F70*G70</f>
        <v/>
      </c>
      <c r="I70" s="1" t="n">
        <v>0</v>
      </c>
      <c r="J70" s="1">
        <f>ROUND(H70*I70,2)</f>
        <v/>
      </c>
      <c r="K70" s="1" t="inlineStr">
        <is>
          <t>2025-02</t>
        </is>
      </c>
      <c r="L70" s="1" t="n">
        <v>118611</v>
      </c>
      <c r="M70" s="1" t="inlineStr">
        <is>
          <t>4020</t>
        </is>
      </c>
      <c r="N70" s="1" t="inlineStr">
        <is>
          <t>Open</t>
        </is>
      </c>
      <c r="O70" s="1" t="inlineStr">
        <is>
          <t>PO-JHS-6638</t>
        </is>
      </c>
    </row>
    <row r="71">
      <c r="A71" s="1" t="inlineStr">
        <is>
          <t>INV-2025-10070</t>
        </is>
      </c>
      <c r="B71" s="2" t="n">
        <v>45700</v>
      </c>
      <c r="C71" s="1" t="inlineStr">
        <is>
          <t>Quarrybridge Materials</t>
        </is>
      </c>
      <c r="D71" s="1" t="inlineStr">
        <is>
          <t>QBM-MSA-2024-75</t>
        </is>
      </c>
      <c r="E71" s="1" t="inlineStr">
        <is>
          <t>Operator training programme</t>
        </is>
      </c>
      <c r="F71" s="1" t="n">
        <v>4</v>
      </c>
      <c r="G71" s="1" t="n">
        <v>4200</v>
      </c>
      <c r="H71" s="1">
        <f>F71*G71</f>
        <v/>
      </c>
      <c r="I71" s="1" t="n">
        <v>0</v>
      </c>
      <c r="J71" s="1">
        <f>ROUND(H71*I71,2)</f>
        <v/>
      </c>
      <c r="K71" s="1" t="inlineStr">
        <is>
          <t>2025-03</t>
        </is>
      </c>
      <c r="L71" s="1" t="n">
        <v>3192</v>
      </c>
      <c r="M71" s="1" t="inlineStr">
        <is>
          <t>4030</t>
        </is>
      </c>
      <c r="N71" s="1" t="inlineStr">
        <is>
          <t>Open</t>
        </is>
      </c>
      <c r="O71" s="1" t="inlineStr">
        <is>
          <t>PO-QBM-9021</t>
        </is>
      </c>
    </row>
    <row r="72">
      <c r="A72" s="1" t="inlineStr">
        <is>
          <t>INV-2025-10071</t>
        </is>
      </c>
      <c r="B72" s="2" t="n">
        <v>45737</v>
      </c>
      <c r="C72" s="1" t="inlineStr">
        <is>
          <t>Vantage Robotics Supply</t>
        </is>
      </c>
      <c r="D72" s="1" t="inlineStr">
        <is>
          <t>VRS-MSA-2022-19</t>
        </is>
      </c>
      <c r="E72" s="1" t="inlineStr">
        <is>
          <t>Autonomous mobile robot, 450 kg payload</t>
        </is>
      </c>
      <c r="F72" s="1" t="n">
        <v>3</v>
      </c>
      <c r="G72" s="1" t="n">
        <v>67900</v>
      </c>
      <c r="H72" s="1">
        <f>F72*G72</f>
        <v/>
      </c>
      <c r="I72" s="1" t="n">
        <v>0.09</v>
      </c>
      <c r="J72" s="1">
        <f>ROUND(H72*I72,2)</f>
        <v/>
      </c>
      <c r="K72" s="1" t="inlineStr">
        <is>
          <t>2025-04</t>
        </is>
      </c>
      <c r="L72" s="1" t="n">
        <v>0</v>
      </c>
      <c r="M72" s="1" t="inlineStr">
        <is>
          <t>4010</t>
        </is>
      </c>
      <c r="N72" s="1" t="inlineStr">
        <is>
          <t>Partially paid</t>
        </is>
      </c>
      <c r="O72" s="1" t="inlineStr">
        <is>
          <t>PO-VRS-3575</t>
        </is>
      </c>
    </row>
    <row r="73">
      <c r="A73" s="1" t="inlineStr">
        <is>
          <t>INV-2025-10072</t>
        </is>
      </c>
      <c r="B73" s="2" t="n">
        <v>45687</v>
      </c>
      <c r="C73" s="1" t="inlineStr">
        <is>
          <t>Zephyr Air Cargo</t>
        </is>
      </c>
      <c r="D73" s="1" t="inlineStr">
        <is>
          <t>ZAC-MSA-2025-50</t>
        </is>
      </c>
      <c r="E73" s="1" t="inlineStr">
        <is>
          <t>Safety scanner retrofit kit</t>
        </is>
      </c>
      <c r="F73" s="1" t="n">
        <v>4</v>
      </c>
      <c r="G73" s="1" t="n">
        <v>6350</v>
      </c>
      <c r="H73" s="1">
        <f>F73*G73</f>
        <v/>
      </c>
      <c r="I73" s="1" t="n">
        <v>0.09</v>
      </c>
      <c r="J73" s="1">
        <f>ROUND(H73*I73,2)</f>
        <v/>
      </c>
      <c r="K73" s="1" t="inlineStr">
        <is>
          <t>2025-02</t>
        </is>
      </c>
      <c r="L73" s="1" t="n">
        <v>0</v>
      </c>
      <c r="M73" s="1" t="inlineStr">
        <is>
          <t>4010</t>
        </is>
      </c>
      <c r="N73" s="1" t="inlineStr">
        <is>
          <t>Credit issued</t>
        </is>
      </c>
      <c r="O73" s="1" t="inlineStr">
        <is>
          <t>PO-ZAC-9476</t>
        </is>
      </c>
    </row>
    <row r="74">
      <c r="A74" s="1" t="inlineStr">
        <is>
          <t>INV-2025-10073</t>
        </is>
      </c>
      <c r="B74" s="2" t="n">
        <v>45715</v>
      </c>
      <c r="C74" s="1" t="inlineStr">
        <is>
          <t>Zephyr Air Cargo</t>
        </is>
      </c>
      <c r="D74" s="1" t="inlineStr">
        <is>
          <t>ZAC-MSA-2024-12</t>
        </is>
      </c>
      <c r="E74" s="1" t="inlineStr">
        <is>
          <t>Safety scanner retrofit kit</t>
        </is>
      </c>
      <c r="F74" s="1" t="n">
        <v>4</v>
      </c>
      <c r="G74" s="1" t="n">
        <v>7250</v>
      </c>
      <c r="H74" s="1">
        <f>F74*G74</f>
        <v/>
      </c>
      <c r="I74" s="1" t="n">
        <v>0.09</v>
      </c>
      <c r="J74" s="1">
        <f>ROUND(H74*I74,2)</f>
        <v/>
      </c>
      <c r="K74" s="1" t="inlineStr">
        <is>
          <t>2025-03</t>
        </is>
      </c>
      <c r="L74" s="1" t="n">
        <v>0</v>
      </c>
      <c r="M74" s="1" t="inlineStr">
        <is>
          <t>4010</t>
        </is>
      </c>
      <c r="N74" s="1" t="inlineStr">
        <is>
          <t>Paid</t>
        </is>
      </c>
      <c r="O74" s="1" t="inlineStr">
        <is>
          <t>PO-ZAC-6969</t>
        </is>
      </c>
    </row>
    <row r="75">
      <c r="A75" s="1" t="inlineStr">
        <is>
          <t>INV-2025-10074</t>
        </is>
      </c>
      <c r="B75" s="2" t="n">
        <v>45744</v>
      </c>
      <c r="C75" s="1" t="inlineStr">
        <is>
          <t>Quarrybridge Materials</t>
        </is>
      </c>
      <c r="D75" s="1" t="inlineStr">
        <is>
          <t>QBM-MSA-2023-85</t>
        </is>
      </c>
      <c r="E75" s="1" t="inlineStr">
        <is>
          <t>Telemetry retention tier, extended</t>
        </is>
      </c>
      <c r="F75" s="1" t="n">
        <v>2</v>
      </c>
      <c r="G75" s="1" t="n">
        <v>24500</v>
      </c>
      <c r="H75" s="1">
        <f>F75*G75</f>
        <v/>
      </c>
      <c r="I75" s="1" t="n">
        <v>0.07000000000000001</v>
      </c>
      <c r="J75" s="1">
        <f>ROUND(H75*I75,2)</f>
        <v/>
      </c>
      <c r="K75" s="1" t="inlineStr">
        <is>
          <t>2025-04</t>
        </is>
      </c>
      <c r="L75" s="1" t="n">
        <v>29400</v>
      </c>
      <c r="M75" s="1" t="inlineStr">
        <is>
          <t>4020</t>
        </is>
      </c>
      <c r="N75" s="1" t="inlineStr">
        <is>
          <t>Open</t>
        </is>
      </c>
      <c r="O75" s="1" t="inlineStr">
        <is>
          <t>PO-QBM-6478</t>
        </is>
      </c>
    </row>
    <row r="76">
      <c r="A76" s="1" t="inlineStr">
        <is>
          <t>INV-2025-10075</t>
        </is>
      </c>
      <c r="B76" s="2" t="n">
        <v>45672</v>
      </c>
      <c r="C76" s="1" t="inlineStr">
        <is>
          <t>Granite Peak Distribution</t>
        </is>
      </c>
      <c r="D76" s="1" t="inlineStr">
        <is>
          <t>GPD-MSA-2025-27</t>
        </is>
      </c>
      <c r="E76" s="1" t="inlineStr">
        <is>
          <t>Operator training programme</t>
        </is>
      </c>
      <c r="F76" s="1" t="n">
        <v>4</v>
      </c>
      <c r="G76" s="1" t="n">
        <v>2800</v>
      </c>
      <c r="H76" s="1">
        <f>F76*G76</f>
        <v/>
      </c>
      <c r="I76" s="1" t="n">
        <v>0.065</v>
      </c>
      <c r="J76" s="1">
        <f>ROUND(H76*I76,2)</f>
        <v/>
      </c>
      <c r="K76" s="1" t="inlineStr">
        <is>
          <t>2025-02</t>
        </is>
      </c>
      <c r="L76" s="1" t="n">
        <v>1680</v>
      </c>
      <c r="M76" s="1" t="inlineStr">
        <is>
          <t>4030</t>
        </is>
      </c>
      <c r="N76" s="1" t="inlineStr">
        <is>
          <t>Paid</t>
        </is>
      </c>
      <c r="O76" s="1" t="inlineStr">
        <is>
          <t>PO-GPD-7973</t>
        </is>
      </c>
    </row>
    <row r="77">
      <c r="A77" s="1" t="inlineStr">
        <is>
          <t>INV-2025-10076</t>
        </is>
      </c>
      <c r="B77" s="2" t="n">
        <v>45715</v>
      </c>
      <c r="C77" s="1" t="inlineStr">
        <is>
          <t>Calder Marine Supply</t>
        </is>
      </c>
      <c r="D77" s="1" t="inlineStr">
        <is>
          <t>CMS-MSA-2023-86</t>
        </is>
      </c>
      <c r="E77" s="1" t="inlineStr">
        <is>
          <t>Fleet orchestration expansion pack, per robot</t>
        </is>
      </c>
      <c r="F77" s="1" t="n">
        <v>60</v>
      </c>
      <c r="G77" s="1" t="n">
        <v>2250</v>
      </c>
      <c r="H77" s="1">
        <f>F77*G77</f>
        <v/>
      </c>
      <c r="I77" s="1" t="n">
        <v>0.06</v>
      </c>
      <c r="J77" s="1">
        <f>ROUND(H77*I77,2)</f>
        <v/>
      </c>
      <c r="K77" s="1" t="inlineStr">
        <is>
          <t>2025-03</t>
        </is>
      </c>
      <c r="L77" s="1" t="n">
        <v>112050</v>
      </c>
      <c r="M77" s="1" t="inlineStr">
        <is>
          <t>4020</t>
        </is>
      </c>
      <c r="N77" s="1" t="inlineStr">
        <is>
          <t>Open</t>
        </is>
      </c>
      <c r="O77" s="1" t="inlineStr">
        <is>
          <t>PO-CMS-5542</t>
        </is>
      </c>
    </row>
    <row r="78">
      <c r="A78" s="1" t="inlineStr">
        <is>
          <t>INV-2025-10077</t>
        </is>
      </c>
      <c r="B78" s="2" t="n">
        <v>45744</v>
      </c>
      <c r="C78" s="1" t="inlineStr">
        <is>
          <t>Dorsey Grain Cooperative</t>
        </is>
      </c>
      <c r="D78" s="1" t="inlineStr">
        <is>
          <t>DGC-MSA-2023-28</t>
        </is>
      </c>
      <c r="E78" s="1" t="inlineStr">
        <is>
          <t>Fleet orchestration expansion pack, per robot</t>
        </is>
      </c>
      <c r="F78" s="1" t="n">
        <v>24</v>
      </c>
      <c r="G78" s="1" t="n">
        <v>2900</v>
      </c>
      <c r="H78" s="1">
        <f>F78*G78</f>
        <v/>
      </c>
      <c r="I78" s="1" t="n">
        <v>0.07000000000000001</v>
      </c>
      <c r="J78" s="1">
        <f>ROUND(H78*I78,2)</f>
        <v/>
      </c>
      <c r="K78" s="1" t="inlineStr">
        <is>
          <t>2025-04</t>
        </is>
      </c>
      <c r="L78" s="1" t="n">
        <v>45936</v>
      </c>
      <c r="M78" s="1" t="inlineStr">
        <is>
          <t>4020</t>
        </is>
      </c>
      <c r="N78" s="1" t="inlineStr">
        <is>
          <t>Paid</t>
        </is>
      </c>
      <c r="O78" s="1" t="inlineStr">
        <is>
          <t>PO-DGC-2052</t>
        </is>
      </c>
    </row>
    <row r="79">
      <c r="A79" s="1" t="inlineStr">
        <is>
          <t>INV-2025-10078</t>
        </is>
      </c>
      <c r="B79" s="2" t="n">
        <v>45686</v>
      </c>
      <c r="C79" s="1" t="inlineStr">
        <is>
          <t>Evergreen Warehousing</t>
        </is>
      </c>
      <c r="D79" s="1" t="inlineStr">
        <is>
          <t>EVW-MSA-2024-34</t>
        </is>
      </c>
      <c r="E79" s="1" t="inlineStr">
        <is>
          <t>Warehouse management system connector</t>
        </is>
      </c>
      <c r="F79" s="1" t="n">
        <v>1</v>
      </c>
      <c r="G79" s="1" t="n">
        <v>36700</v>
      </c>
      <c r="H79" s="1">
        <f>F79*G79</f>
        <v/>
      </c>
      <c r="I79" s="1" t="n">
        <v>0.06</v>
      </c>
      <c r="J79" s="1">
        <f>ROUND(H79*I79,2)</f>
        <v/>
      </c>
      <c r="K79" s="1" t="inlineStr">
        <is>
          <t>2025-02</t>
        </is>
      </c>
      <c r="L79" s="1" t="n">
        <v>2569</v>
      </c>
      <c r="M79" s="1" t="inlineStr">
        <is>
          <t>4030</t>
        </is>
      </c>
      <c r="N79" s="1" t="inlineStr">
        <is>
          <t>Written off</t>
        </is>
      </c>
      <c r="O79" s="1" t="inlineStr">
        <is>
          <t>PO-EVW-2263</t>
        </is>
      </c>
    </row>
    <row r="80">
      <c r="A80" s="1" t="inlineStr">
        <is>
          <t>INV-2025-10079</t>
        </is>
      </c>
      <c r="B80" s="2" t="n">
        <v>45716</v>
      </c>
      <c r="C80" s="1" t="inlineStr">
        <is>
          <t>Ironvale Grocery Group</t>
        </is>
      </c>
      <c r="D80" s="1" t="inlineStr">
        <is>
          <t>IVG-MSA-2024-19</t>
        </is>
      </c>
      <c r="E80" s="1" t="inlineStr">
        <is>
          <t>Autonomous mobile robot, 220 kg payload</t>
        </is>
      </c>
      <c r="F80" s="1" t="n">
        <v>2</v>
      </c>
      <c r="G80" s="1" t="n">
        <v>40100</v>
      </c>
      <c r="H80" s="1">
        <f>F80*G80</f>
        <v/>
      </c>
      <c r="I80" s="1" t="n">
        <v>0.065</v>
      </c>
      <c r="J80" s="1">
        <f>ROUND(H80*I80,2)</f>
        <v/>
      </c>
      <c r="K80" s="1" t="inlineStr">
        <is>
          <t>2025-03</t>
        </is>
      </c>
      <c r="L80" s="1" t="n">
        <v>0</v>
      </c>
      <c r="M80" s="1" t="inlineStr">
        <is>
          <t>4010</t>
        </is>
      </c>
      <c r="N80" s="1" t="inlineStr">
        <is>
          <t>Written off</t>
        </is>
      </c>
      <c r="O80" s="1" t="inlineStr">
        <is>
          <t>PO-IVG-2467</t>
        </is>
      </c>
    </row>
    <row r="81">
      <c r="A81" s="1" t="inlineStr">
        <is>
          <t>INV-2025-10080</t>
        </is>
      </c>
      <c r="B81" s="2" t="n">
        <v>45744</v>
      </c>
      <c r="C81" s="1" t="inlineStr">
        <is>
          <t>Union Vale Pharma</t>
        </is>
      </c>
      <c r="D81" s="1" t="inlineStr">
        <is>
          <t>UVP-MSA-2025-42</t>
        </is>
      </c>
      <c r="E81" s="1" t="inlineStr">
        <is>
          <t>Autonomous mobile robot, 450 kg payload</t>
        </is>
      </c>
      <c r="F81" s="1" t="n">
        <v>2</v>
      </c>
      <c r="G81" s="1" t="n">
        <v>67000</v>
      </c>
      <c r="H81" s="1">
        <f>F81*G81</f>
        <v/>
      </c>
      <c r="I81" s="1" t="n">
        <v>0.0475</v>
      </c>
      <c r="J81" s="1">
        <f>ROUND(H81*I81,2)</f>
        <v/>
      </c>
      <c r="K81" s="1" t="inlineStr">
        <is>
          <t>2025-04</t>
        </is>
      </c>
      <c r="L81" s="1" t="n">
        <v>0</v>
      </c>
      <c r="M81" s="1" t="inlineStr">
        <is>
          <t>4010</t>
        </is>
      </c>
      <c r="N81" s="1" t="inlineStr">
        <is>
          <t>Open</t>
        </is>
      </c>
      <c r="O81" s="1" t="inlineStr">
        <is>
          <t>PO-UVP-4733</t>
        </is>
      </c>
    </row>
    <row r="82">
      <c r="A82" s="1" t="inlineStr">
        <is>
          <t>INV-2025-10081</t>
        </is>
      </c>
      <c r="B82" s="2" t="n">
        <v>45688</v>
      </c>
      <c r="C82" s="1" t="inlineStr">
        <is>
          <t>Calder Marine Supply</t>
        </is>
      </c>
      <c r="D82" s="1" t="inlineStr">
        <is>
          <t>CMS-MSA-2024-82</t>
        </is>
      </c>
      <c r="E82" s="1" t="inlineStr">
        <is>
          <t>Autonomous mobile robot, 450 kg payload</t>
        </is>
      </c>
      <c r="F82" s="1" t="n">
        <v>2</v>
      </c>
      <c r="G82" s="1" t="n">
        <v>67500</v>
      </c>
      <c r="H82" s="1">
        <f>F82*G82</f>
        <v/>
      </c>
      <c r="I82" s="1" t="n">
        <v>0.0825</v>
      </c>
      <c r="J82" s="1">
        <f>ROUND(H82*I82,2)</f>
        <v/>
      </c>
      <c r="K82" s="1" t="inlineStr">
        <is>
          <t>2025-02</t>
        </is>
      </c>
      <c r="L82" s="1" t="n">
        <v>0</v>
      </c>
      <c r="M82" s="1" t="inlineStr">
        <is>
          <t>4010</t>
        </is>
      </c>
      <c r="N82" s="1" t="inlineStr">
        <is>
          <t>Paid</t>
        </is>
      </c>
      <c r="O82" s="1" t="inlineStr">
        <is>
          <t>PO-CMS-5453</t>
        </is>
      </c>
    </row>
    <row r="83">
      <c r="A83" s="1" t="inlineStr">
        <is>
          <t>INV-2025-10082</t>
        </is>
      </c>
      <c r="B83" s="2" t="n">
        <v>45709</v>
      </c>
      <c r="C83" s="1" t="inlineStr">
        <is>
          <t>Union Vale Pharma</t>
        </is>
      </c>
      <c r="D83" s="1" t="inlineStr">
        <is>
          <t>UVP-MSA-2025-47</t>
        </is>
      </c>
      <c r="E83" s="1" t="inlineStr">
        <is>
          <t>Opportunity charging dock</t>
        </is>
      </c>
      <c r="F83" s="1" t="n">
        <v>13</v>
      </c>
      <c r="G83" s="1" t="n">
        <v>9600</v>
      </c>
      <c r="H83" s="1">
        <f>F83*G83</f>
        <v/>
      </c>
      <c r="I83" s="1" t="n">
        <v>0.06</v>
      </c>
      <c r="J83" s="1">
        <f>ROUND(H83*I83,2)</f>
        <v/>
      </c>
      <c r="K83" s="1" t="inlineStr">
        <is>
          <t>2025-03</t>
        </is>
      </c>
      <c r="L83" s="1" t="n">
        <v>0</v>
      </c>
      <c r="M83" s="1" t="inlineStr">
        <is>
          <t>4010</t>
        </is>
      </c>
      <c r="N83" s="1" t="inlineStr">
        <is>
          <t>Credit issued</t>
        </is>
      </c>
      <c r="O83" s="1" t="inlineStr">
        <is>
          <t>PO-UVP-9039</t>
        </is>
      </c>
    </row>
    <row r="84">
      <c r="A84" s="1" t="inlineStr">
        <is>
          <t>INV-2025-10083</t>
        </is>
      </c>
      <c r="B84" s="2" t="n">
        <v>45744</v>
      </c>
      <c r="C84" s="1" t="inlineStr">
        <is>
          <t>Summit Ridge Retail</t>
        </is>
      </c>
      <c r="D84" s="1" t="inlineStr">
        <is>
          <t>SRR-MSA-2023-87</t>
        </is>
      </c>
      <c r="E84" s="1" t="inlineStr">
        <is>
          <t>Remote operations desk coverage</t>
        </is>
      </c>
      <c r="F84" s="1" t="n">
        <v>2</v>
      </c>
      <c r="G84" s="1" t="n">
        <v>10400</v>
      </c>
      <c r="H84" s="1">
        <f>F84*G84</f>
        <v/>
      </c>
      <c r="I84" s="1" t="n">
        <v>0.07000000000000001</v>
      </c>
      <c r="J84" s="1">
        <f>ROUND(H84*I84,2)</f>
        <v/>
      </c>
      <c r="K84" s="1" t="inlineStr">
        <is>
          <t>2025-04</t>
        </is>
      </c>
      <c r="L84" s="1" t="n">
        <v>16848</v>
      </c>
      <c r="M84" s="1" t="inlineStr">
        <is>
          <t>4020</t>
        </is>
      </c>
      <c r="N84" s="1" t="inlineStr">
        <is>
          <t>Written off</t>
        </is>
      </c>
      <c r="O84" s="1" t="inlineStr">
        <is>
          <t>PO-SRR-3618</t>
        </is>
      </c>
    </row>
    <row r="85">
      <c r="A85" s="1" t="inlineStr">
        <is>
          <t>INV-2025-10084</t>
        </is>
      </c>
      <c r="B85" s="2" t="n">
        <v>45688</v>
      </c>
      <c r="C85" s="1" t="inlineStr">
        <is>
          <t>Meridian Dynamics</t>
        </is>
      </c>
      <c r="D85" s="1" t="inlineStr">
        <is>
          <t>MDY-MSA-2024-57</t>
        </is>
      </c>
      <c r="E85" s="1" t="inlineStr">
        <is>
          <t>Remote operations desk coverage</t>
        </is>
      </c>
      <c r="F85" s="1" t="n">
        <v>4</v>
      </c>
      <c r="G85" s="1" t="n">
        <v>12350</v>
      </c>
      <c r="H85" s="1">
        <f>F85*G85</f>
        <v/>
      </c>
      <c r="I85" s="1" t="n">
        <v>0.07000000000000001</v>
      </c>
      <c r="J85" s="1">
        <f>ROUND(H85*I85,2)</f>
        <v/>
      </c>
      <c r="K85" s="1" t="inlineStr">
        <is>
          <t>2025-02</t>
        </is>
      </c>
      <c r="L85" s="1" t="n">
        <v>38038</v>
      </c>
      <c r="M85" s="1" t="inlineStr">
        <is>
          <t>4020</t>
        </is>
      </c>
      <c r="N85" s="1" t="inlineStr">
        <is>
          <t>Partially paid</t>
        </is>
      </c>
      <c r="O85" s="1" t="inlineStr">
        <is>
          <t>PO-MDY-4333</t>
        </is>
      </c>
    </row>
    <row r="86">
      <c r="A86" s="1" t="inlineStr">
        <is>
          <t>INV-2025-10085</t>
        </is>
      </c>
      <c r="B86" s="2" t="n">
        <v>45693</v>
      </c>
      <c r="C86" s="1" t="inlineStr">
        <is>
          <t>Northfield Beverage</t>
        </is>
      </c>
      <c r="D86" s="1" t="inlineStr">
        <is>
          <t>NFB-MSA-2022-27</t>
        </is>
      </c>
      <c r="E86" s="1" t="inlineStr">
        <is>
          <t>Fleet orchestration platform, annual site licence</t>
        </is>
      </c>
      <c r="F86" s="1" t="n">
        <v>1</v>
      </c>
      <c r="G86" s="1" t="n">
        <v>96000</v>
      </c>
      <c r="H86" s="1">
        <f>F86*G86</f>
        <v/>
      </c>
      <c r="I86" s="1" t="n">
        <v>0</v>
      </c>
      <c r="J86" s="1">
        <f>ROUND(H86*I86,2)</f>
        <v/>
      </c>
      <c r="K86" s="1" t="inlineStr">
        <is>
          <t>2025-03</t>
        </is>
      </c>
      <c r="L86" s="1" t="n">
        <v>55680</v>
      </c>
      <c r="M86" s="1" t="inlineStr">
        <is>
          <t>4020</t>
        </is>
      </c>
      <c r="N86" s="1" t="inlineStr">
        <is>
          <t>Open</t>
        </is>
      </c>
      <c r="O86" s="1" t="inlineStr">
        <is>
          <t>PO-NFB-4940</t>
        </is>
      </c>
    </row>
    <row r="87">
      <c r="A87" s="1" t="inlineStr">
        <is>
          <t>INV-2025-10086</t>
        </is>
      </c>
      <c r="B87" s="2" t="n">
        <v>45747</v>
      </c>
      <c r="C87" s="1" t="inlineStr">
        <is>
          <t>Juniper Health Supply</t>
        </is>
      </c>
      <c r="D87" s="1" t="inlineStr">
        <is>
          <t>JHS-MSA-2023-47</t>
        </is>
      </c>
      <c r="E87" s="1" t="inlineStr">
        <is>
          <t>Autonomous mobile robot, 450 kg payload</t>
        </is>
      </c>
      <c r="F87" s="1" t="n">
        <v>10</v>
      </c>
      <c r="G87" s="1" t="n">
        <v>66200</v>
      </c>
      <c r="H87" s="1">
        <f>F87*G87</f>
        <v/>
      </c>
      <c r="I87" s="1" t="n">
        <v>0.0475</v>
      </c>
      <c r="J87" s="1">
        <f>ROUND(H87*I87,2)</f>
        <v/>
      </c>
      <c r="K87" s="1" t="inlineStr">
        <is>
          <t>2025-04</t>
        </is>
      </c>
      <c r="L87" s="1" t="n">
        <v>0</v>
      </c>
      <c r="M87" s="1" t="inlineStr">
        <is>
          <t>4010</t>
        </is>
      </c>
      <c r="N87" s="1" t="inlineStr">
        <is>
          <t>Written off</t>
        </is>
      </c>
      <c r="O87" s="1" t="inlineStr">
        <is>
          <t>PO-JHS-6010</t>
        </is>
      </c>
    </row>
    <row r="88">
      <c r="A88" s="1" t="inlineStr">
        <is>
          <t>INV-2025-10087</t>
        </is>
      </c>
      <c r="B88" s="2" t="n">
        <v>45667</v>
      </c>
      <c r="C88" s="1" t="inlineStr">
        <is>
          <t>Meridian Dynamics</t>
        </is>
      </c>
      <c r="D88" s="1" t="inlineStr">
        <is>
          <t>MDY-MSA-2023-44</t>
        </is>
      </c>
      <c r="E88" s="1" t="inlineStr">
        <is>
          <t>Opportunity charging dock</t>
        </is>
      </c>
      <c r="F88" s="1" t="n">
        <v>11</v>
      </c>
      <c r="G88" s="1" t="n">
        <v>11550</v>
      </c>
      <c r="H88" s="1">
        <f>F88*G88</f>
        <v/>
      </c>
      <c r="I88" s="1" t="n">
        <v>0.0825</v>
      </c>
      <c r="J88" s="1">
        <f>ROUND(H88*I88,2)</f>
        <v/>
      </c>
      <c r="K88" s="1" t="inlineStr">
        <is>
          <t>2025-02</t>
        </is>
      </c>
      <c r="L88" s="1" t="n">
        <v>0</v>
      </c>
      <c r="M88" s="1" t="inlineStr">
        <is>
          <t>4010</t>
        </is>
      </c>
      <c r="N88" s="1" t="inlineStr">
        <is>
          <t>Disputed</t>
        </is>
      </c>
      <c r="O88" s="1" t="inlineStr">
        <is>
          <t>PO-MDY-1449</t>
        </is>
      </c>
    </row>
    <row r="89">
      <c r="A89" s="1" t="inlineStr">
        <is>
          <t>INV-2025-10088</t>
        </is>
      </c>
      <c r="B89" s="2" t="n">
        <v>45702</v>
      </c>
      <c r="C89" s="1" t="inlineStr">
        <is>
          <t>Evergreen Warehousing</t>
        </is>
      </c>
      <c r="D89" s="1" t="inlineStr">
        <is>
          <t>EVW-MSA-2022-80</t>
        </is>
      </c>
      <c r="E89" s="1" t="inlineStr">
        <is>
          <t>Telemetry retention tier, extended</t>
        </is>
      </c>
      <c r="F89" s="1" t="n">
        <v>1</v>
      </c>
      <c r="G89" s="1" t="n">
        <v>23100</v>
      </c>
      <c r="H89" s="1">
        <f>F89*G89</f>
        <v/>
      </c>
      <c r="I89" s="1" t="n">
        <v>0.0475</v>
      </c>
      <c r="J89" s="1">
        <f>ROUND(H89*I89,2)</f>
        <v/>
      </c>
      <c r="K89" s="1" t="inlineStr">
        <is>
          <t>2025-03</t>
        </is>
      </c>
      <c r="L89" s="1" t="n">
        <v>12936</v>
      </c>
      <c r="M89" s="1" t="inlineStr">
        <is>
          <t>4020</t>
        </is>
      </c>
      <c r="N89" s="1" t="inlineStr">
        <is>
          <t>Credit issued</t>
        </is>
      </c>
      <c r="O89" s="1" t="inlineStr">
        <is>
          <t>PO-EVW-3717</t>
        </is>
      </c>
    </row>
    <row r="90">
      <c r="A90" s="1" t="inlineStr">
        <is>
          <t>INV-2025-10089</t>
        </is>
      </c>
      <c r="B90" s="2" t="n">
        <v>45723</v>
      </c>
      <c r="C90" s="1" t="inlineStr">
        <is>
          <t>Dunbar Industrial</t>
        </is>
      </c>
      <c r="D90" s="1" t="inlineStr">
        <is>
          <t>DBI-MSA-2024-89</t>
        </is>
      </c>
      <c r="E90" s="1" t="inlineStr">
        <is>
          <t>Premium support and spares pool</t>
        </is>
      </c>
      <c r="F90" s="1" t="n">
        <v>3</v>
      </c>
      <c r="G90" s="1" t="n">
        <v>57050</v>
      </c>
      <c r="H90" s="1">
        <f>F90*G90</f>
        <v/>
      </c>
      <c r="I90" s="1" t="n">
        <v>0.07000000000000001</v>
      </c>
      <c r="J90" s="1">
        <f>ROUND(H90*I90,2)</f>
        <v/>
      </c>
      <c r="K90" s="1" t="inlineStr">
        <is>
          <t>2025-04</t>
        </is>
      </c>
      <c r="L90" s="1" t="n">
        <v>121516.5</v>
      </c>
      <c r="M90" s="1" t="inlineStr">
        <is>
          <t>4020</t>
        </is>
      </c>
      <c r="N90" s="1" t="inlineStr">
        <is>
          <t>Open</t>
        </is>
      </c>
      <c r="O90" s="1" t="inlineStr">
        <is>
          <t>PO-DBI-4640</t>
        </is>
      </c>
    </row>
    <row r="91">
      <c r="A91" s="1" t="inlineStr">
        <is>
          <t>INV-2025-10090</t>
        </is>
      </c>
      <c r="B91" s="2" t="n">
        <v>45687</v>
      </c>
      <c r="C91" s="1" t="inlineStr">
        <is>
          <t>Dunbar Industrial</t>
        </is>
      </c>
      <c r="D91" s="1" t="inlineStr">
        <is>
          <t>DBI-MSA-2025-48</t>
        </is>
      </c>
      <c r="E91" s="1" t="inlineStr">
        <is>
          <t>Operator training programme</t>
        </is>
      </c>
      <c r="F91" s="1" t="n">
        <v>3</v>
      </c>
      <c r="G91" s="1" t="n">
        <v>3700</v>
      </c>
      <c r="H91" s="1">
        <f>F91*G91</f>
        <v/>
      </c>
      <c r="I91" s="1" t="n">
        <v>0.0825</v>
      </c>
      <c r="J91" s="1">
        <f>ROUND(H91*I91,2)</f>
        <v/>
      </c>
      <c r="K91" s="1" t="inlineStr">
        <is>
          <t>2025-02</t>
        </is>
      </c>
      <c r="L91" s="1" t="n">
        <v>555</v>
      </c>
      <c r="M91" s="1" t="inlineStr">
        <is>
          <t>4030</t>
        </is>
      </c>
      <c r="N91" s="1" t="inlineStr">
        <is>
          <t>Partially paid</t>
        </is>
      </c>
      <c r="O91" s="1" t="inlineStr">
        <is>
          <t>PO-DBI-5136</t>
        </is>
      </c>
    </row>
    <row r="92">
      <c r="A92" s="1" t="inlineStr">
        <is>
          <t>INV-2025-10091</t>
        </is>
      </c>
      <c r="B92" s="2" t="n">
        <v>45716</v>
      </c>
      <c r="C92" s="1" t="inlineStr">
        <is>
          <t>Blue Mesa Components</t>
        </is>
      </c>
      <c r="D92" s="1" t="inlineStr">
        <is>
          <t>BMC-MSA-2024-22</t>
        </is>
      </c>
      <c r="E92" s="1" t="inlineStr">
        <is>
          <t>Fleet orchestration expansion pack, per robot</t>
        </is>
      </c>
      <c r="F92" s="1" t="n">
        <v>35</v>
      </c>
      <c r="G92" s="1" t="n">
        <v>2250</v>
      </c>
      <c r="H92" s="1">
        <f>F92*G92</f>
        <v/>
      </c>
      <c r="I92" s="1" t="n">
        <v>0.0825</v>
      </c>
      <c r="J92" s="1">
        <f>ROUND(H92*I92,2)</f>
        <v/>
      </c>
      <c r="K92" s="1" t="inlineStr">
        <is>
          <t>2025-03</t>
        </is>
      </c>
      <c r="L92" s="1" t="n">
        <v>63787.5</v>
      </c>
      <c r="M92" s="1" t="inlineStr">
        <is>
          <t>4020</t>
        </is>
      </c>
      <c r="N92" s="1" t="inlineStr">
        <is>
          <t>Paid</t>
        </is>
      </c>
      <c r="O92" s="1" t="inlineStr">
        <is>
          <t>PO-BMC-6075</t>
        </is>
      </c>
    </row>
    <row r="93">
      <c r="A93" s="1" t="inlineStr">
        <is>
          <t>INV-2025-10092</t>
        </is>
      </c>
      <c r="B93" s="2" t="n">
        <v>45744</v>
      </c>
      <c r="C93" s="1" t="inlineStr">
        <is>
          <t>Union Vale Pharma</t>
        </is>
      </c>
      <c r="D93" s="1" t="inlineStr">
        <is>
          <t>UVP-MSA-2024-29</t>
        </is>
      </c>
      <c r="E93" s="1" t="inlineStr">
        <is>
          <t>Autonomous mobile robot, 450 kg payload</t>
        </is>
      </c>
      <c r="F93" s="1" t="n">
        <v>6</v>
      </c>
      <c r="G93" s="1" t="n">
        <v>66200</v>
      </c>
      <c r="H93" s="1">
        <f>F93*G93</f>
        <v/>
      </c>
      <c r="I93" s="1" t="n">
        <v>0.06</v>
      </c>
      <c r="J93" s="1">
        <f>ROUND(H93*I93,2)</f>
        <v/>
      </c>
      <c r="K93" s="1" t="inlineStr">
        <is>
          <t>2025-04</t>
        </is>
      </c>
      <c r="L93" s="1" t="n">
        <v>0</v>
      </c>
      <c r="M93" s="1" t="inlineStr">
        <is>
          <t>4010</t>
        </is>
      </c>
      <c r="N93" s="1" t="inlineStr">
        <is>
          <t>Open</t>
        </is>
      </c>
      <c r="O93" s="1" t="inlineStr">
        <is>
          <t>PO-UVP-8237</t>
        </is>
      </c>
    </row>
    <row r="94">
      <c r="A94" s="1" t="inlineStr">
        <is>
          <t>INV-2025-10093</t>
        </is>
      </c>
      <c r="B94" s="2" t="n">
        <v>45687</v>
      </c>
      <c r="C94" s="1" t="inlineStr">
        <is>
          <t>Zephyr Air Cargo</t>
        </is>
      </c>
      <c r="D94" s="1" t="inlineStr">
        <is>
          <t>ZAC-MSA-2022-32</t>
        </is>
      </c>
      <c r="E94" s="1" t="inlineStr">
        <is>
          <t>Deployment and commissioning services</t>
        </is>
      </c>
      <c r="F94" s="1" t="n">
        <v>26</v>
      </c>
      <c r="G94" s="1" t="n">
        <v>1147</v>
      </c>
      <c r="H94" s="1">
        <f>F94*G94</f>
        <v/>
      </c>
      <c r="I94" s="1" t="n">
        <v>0.065</v>
      </c>
      <c r="J94" s="1">
        <f>ROUND(H94*I94,2)</f>
        <v/>
      </c>
      <c r="K94" s="1" t="inlineStr">
        <is>
          <t>2025-02</t>
        </is>
      </c>
      <c r="L94" s="1" t="n">
        <v>596.4400000000001</v>
      </c>
      <c r="M94" s="1" t="inlineStr">
        <is>
          <t>4030</t>
        </is>
      </c>
      <c r="N94" s="1" t="inlineStr">
        <is>
          <t>Disputed</t>
        </is>
      </c>
      <c r="O94" s="1" t="inlineStr">
        <is>
          <t>PO-ZAC-6650</t>
        </is>
      </c>
    </row>
    <row r="95">
      <c r="A95" s="1" t="inlineStr">
        <is>
          <t>INV-2025-10094</t>
        </is>
      </c>
      <c r="B95" s="2" t="n">
        <v>45714</v>
      </c>
      <c r="C95" s="1" t="inlineStr">
        <is>
          <t>Yarrow Home Goods</t>
        </is>
      </c>
      <c r="D95" s="1" t="inlineStr">
        <is>
          <t>YHG-MSA-2023-11</t>
        </is>
      </c>
      <c r="E95" s="1" t="inlineStr">
        <is>
          <t>Opportunity charging dock</t>
        </is>
      </c>
      <c r="F95" s="1" t="n">
        <v>1</v>
      </c>
      <c r="G95" s="1" t="n">
        <v>11800</v>
      </c>
      <c r="H95" s="1">
        <f>F95*G95</f>
        <v/>
      </c>
      <c r="I95" s="1" t="n">
        <v>0.09</v>
      </c>
      <c r="J95" s="1">
        <f>ROUND(H95*I95,2)</f>
        <v/>
      </c>
      <c r="K95" s="1" t="inlineStr">
        <is>
          <t>2025-03</t>
        </is>
      </c>
      <c r="L95" s="1" t="n">
        <v>0</v>
      </c>
      <c r="M95" s="1" t="inlineStr">
        <is>
          <t>4010</t>
        </is>
      </c>
      <c r="N95" s="1" t="inlineStr">
        <is>
          <t>Partially paid</t>
        </is>
      </c>
      <c r="O95" s="1" t="inlineStr">
        <is>
          <t>PO-YHG-6849</t>
        </is>
      </c>
    </row>
    <row r="96">
      <c r="A96" s="1" t="inlineStr">
        <is>
          <t>INV-2025-10095</t>
        </is>
      </c>
      <c r="B96" s="2" t="n">
        <v>45744</v>
      </c>
      <c r="C96" s="1" t="inlineStr">
        <is>
          <t>Harborline Systems</t>
        </is>
      </c>
      <c r="D96" s="1" t="inlineStr">
        <is>
          <t>HLS-MSA-2023-36</t>
        </is>
      </c>
      <c r="E96" s="1" t="inlineStr">
        <is>
          <t>Fleet orchestration expansion pack, per robot</t>
        </is>
      </c>
      <c r="F96" s="1" t="n">
        <v>132</v>
      </c>
      <c r="G96" s="1" t="n">
        <v>1953</v>
      </c>
      <c r="H96" s="1">
        <f>F96*G96</f>
        <v/>
      </c>
      <c r="I96" s="1" t="n">
        <v>0.06</v>
      </c>
      <c r="J96" s="1">
        <f>ROUND(H96*I96,2)</f>
        <v/>
      </c>
      <c r="K96" s="1" t="inlineStr">
        <is>
          <t>2025-04</t>
        </is>
      </c>
      <c r="L96" s="1" t="n">
        <v>211392.72</v>
      </c>
      <c r="M96" s="1" t="inlineStr">
        <is>
          <t>4020</t>
        </is>
      </c>
      <c r="N96" s="1" t="inlineStr">
        <is>
          <t>Credit issued</t>
        </is>
      </c>
      <c r="O96" s="1" t="inlineStr">
        <is>
          <t>PO-HLS-9693</t>
        </is>
      </c>
    </row>
    <row r="97">
      <c r="A97" s="1" t="inlineStr">
        <is>
          <t>INV-2025-10096</t>
        </is>
      </c>
      <c r="B97" s="2" t="n">
        <v>45686</v>
      </c>
      <c r="C97" s="1" t="inlineStr">
        <is>
          <t>Meridian Dynamics</t>
        </is>
      </c>
      <c r="D97" s="1" t="inlineStr">
        <is>
          <t>MDY-MSA-2023-40</t>
        </is>
      </c>
      <c r="E97" s="1" t="inlineStr">
        <is>
          <t>Fleet orchestration platform, annual site licence</t>
        </is>
      </c>
      <c r="F97" s="1" t="n">
        <v>3</v>
      </c>
      <c r="G97" s="1" t="n">
        <v>96000</v>
      </c>
      <c r="H97" s="1">
        <f>F97*G97</f>
        <v/>
      </c>
      <c r="I97" s="1" t="n">
        <v>0.0475</v>
      </c>
      <c r="J97" s="1">
        <f>ROUND(H97*I97,2)</f>
        <v/>
      </c>
      <c r="K97" s="1" t="inlineStr">
        <is>
          <t>2025-02</t>
        </is>
      </c>
      <c r="L97" s="1" t="n">
        <v>224640</v>
      </c>
      <c r="M97" s="1" t="inlineStr">
        <is>
          <t>4020</t>
        </is>
      </c>
      <c r="N97" s="1" t="inlineStr">
        <is>
          <t>Disputed</t>
        </is>
      </c>
      <c r="O97" s="1" t="inlineStr">
        <is>
          <t>PO-MDY-1304</t>
        </is>
      </c>
    </row>
    <row r="98">
      <c r="A98" s="1" t="inlineStr">
        <is>
          <t>INV-2025-10097</t>
        </is>
      </c>
      <c r="B98" s="2" t="n">
        <v>45714</v>
      </c>
      <c r="C98" s="1" t="inlineStr">
        <is>
          <t>Asterion Logistics</t>
        </is>
      </c>
      <c r="D98" s="1" t="inlineStr">
        <is>
          <t>AST-MSA-2022-80</t>
        </is>
      </c>
      <c r="E98" s="1" t="inlineStr">
        <is>
          <t>Remote operations desk coverage</t>
        </is>
      </c>
      <c r="F98" s="1" t="n">
        <v>4</v>
      </c>
      <c r="G98" s="1" t="n">
        <v>12100</v>
      </c>
      <c r="H98" s="1">
        <f>F98*G98</f>
        <v/>
      </c>
      <c r="I98" s="1" t="n">
        <v>0.0475</v>
      </c>
      <c r="J98" s="1">
        <f>ROUND(H98*I98,2)</f>
        <v/>
      </c>
      <c r="K98" s="1" t="inlineStr">
        <is>
          <t>2025-03</t>
        </is>
      </c>
      <c r="L98" s="1" t="n">
        <v>39204</v>
      </c>
      <c r="M98" s="1" t="inlineStr">
        <is>
          <t>4020</t>
        </is>
      </c>
      <c r="N98" s="1" t="inlineStr">
        <is>
          <t>Credit issued</t>
        </is>
      </c>
      <c r="O98" s="1" t="inlineStr">
        <is>
          <t>PO-AST-1071</t>
        </is>
      </c>
    </row>
    <row r="99">
      <c r="A99" s="1" t="inlineStr">
        <is>
          <t>INV-2025-10098</t>
        </is>
      </c>
      <c r="B99" s="2" t="n">
        <v>45744</v>
      </c>
      <c r="C99" s="1" t="inlineStr">
        <is>
          <t>Dunbar Industrial</t>
        </is>
      </c>
      <c r="D99" s="1" t="inlineStr">
        <is>
          <t>DBI-MSA-2024-84</t>
        </is>
      </c>
      <c r="E99" s="1" t="inlineStr">
        <is>
          <t>Safety scanner retrofit kit</t>
        </is>
      </c>
      <c r="F99" s="1" t="n">
        <v>2</v>
      </c>
      <c r="G99" s="1" t="n">
        <v>6750</v>
      </c>
      <c r="H99" s="1">
        <f>F99*G99</f>
        <v/>
      </c>
      <c r="I99" s="1" t="n">
        <v>0.07000000000000001</v>
      </c>
      <c r="J99" s="1">
        <f>ROUND(H99*I99,2)</f>
        <v/>
      </c>
      <c r="K99" s="1" t="inlineStr">
        <is>
          <t>2025-04</t>
        </is>
      </c>
      <c r="L99" s="1" t="n">
        <v>0</v>
      </c>
      <c r="M99" s="1" t="inlineStr">
        <is>
          <t>4010</t>
        </is>
      </c>
      <c r="N99" s="1" t="inlineStr">
        <is>
          <t>Open</t>
        </is>
      </c>
      <c r="O99" s="1" t="inlineStr">
        <is>
          <t>PO-DBI-4998</t>
        </is>
      </c>
    </row>
    <row r="100">
      <c r="A100" s="1" t="inlineStr">
        <is>
          <t>INV-2025-10099</t>
        </is>
      </c>
      <c r="B100" s="2" t="n">
        <v>45688</v>
      </c>
      <c r="C100" s="1" t="inlineStr">
        <is>
          <t>Crestline Fulfillment</t>
        </is>
      </c>
      <c r="D100" s="1" t="inlineStr">
        <is>
          <t>CFF-MSA-2025-11</t>
        </is>
      </c>
      <c r="E100" s="1" t="inlineStr">
        <is>
          <t>Opportunity charging dock</t>
        </is>
      </c>
      <c r="F100" s="1" t="n">
        <v>7</v>
      </c>
      <c r="G100" s="1" t="n">
        <v>11550</v>
      </c>
      <c r="H100" s="1">
        <f>F100*G100</f>
        <v/>
      </c>
      <c r="I100" s="1" t="n">
        <v>0.09</v>
      </c>
      <c r="J100" s="1">
        <f>ROUND(H100*I100,2)</f>
        <v/>
      </c>
      <c r="K100" s="1" t="inlineStr">
        <is>
          <t>2025-02</t>
        </is>
      </c>
      <c r="L100" s="1" t="n">
        <v>0</v>
      </c>
      <c r="M100" s="1" t="inlineStr">
        <is>
          <t>4010</t>
        </is>
      </c>
      <c r="N100" s="1" t="inlineStr">
        <is>
          <t>Disputed</t>
        </is>
      </c>
      <c r="O100" s="1" t="inlineStr">
        <is>
          <t>PO-CFF-6116</t>
        </is>
      </c>
    </row>
    <row r="101">
      <c r="A101" s="1" t="inlineStr">
        <is>
          <t>INV-2025-10100</t>
        </is>
      </c>
      <c r="B101" s="2" t="n">
        <v>45716</v>
      </c>
      <c r="C101" s="1" t="inlineStr">
        <is>
          <t>Pioneer Freight Union</t>
        </is>
      </c>
      <c r="D101" s="1" t="inlineStr">
        <is>
          <t>PFU-MSA-2022-73</t>
        </is>
      </c>
      <c r="E101" s="1" t="inlineStr">
        <is>
          <t>Premium support and spares pool</t>
        </is>
      </c>
      <c r="F101" s="1" t="n">
        <v>4</v>
      </c>
      <c r="G101" s="1" t="n">
        <v>57050</v>
      </c>
      <c r="H101" s="1">
        <f>F101*G101</f>
        <v/>
      </c>
      <c r="I101" s="1" t="n">
        <v>0.06</v>
      </c>
      <c r="J101" s="1">
        <f>ROUND(H101*I101,2)</f>
        <v/>
      </c>
      <c r="K101" s="1" t="inlineStr">
        <is>
          <t>2025-03</t>
        </is>
      </c>
      <c r="L101" s="1" t="n">
        <v>143766</v>
      </c>
      <c r="M101" s="1" t="inlineStr">
        <is>
          <t>4020</t>
        </is>
      </c>
      <c r="N101" s="1" t="inlineStr">
        <is>
          <t>Credit issued</t>
        </is>
      </c>
      <c r="O101" s="1" t="inlineStr">
        <is>
          <t>PO-PFU-5082</t>
        </is>
      </c>
    </row>
    <row r="102">
      <c r="A102" s="1" t="inlineStr">
        <is>
          <t>INV-2025-10101</t>
        </is>
      </c>
      <c r="B102" s="2" t="n">
        <v>45730</v>
      </c>
      <c r="C102" s="1" t="inlineStr">
        <is>
          <t>Keystone Paper &amp; Pack</t>
        </is>
      </c>
      <c r="D102" s="1" t="inlineStr">
        <is>
          <t>KPP-MSA-2022-64</t>
        </is>
      </c>
      <c r="E102" s="1" t="inlineStr">
        <is>
          <t>Safety scanner retrofit kit</t>
        </is>
      </c>
      <c r="F102" s="1" t="n">
        <v>1</v>
      </c>
      <c r="G102" s="1" t="n">
        <v>6750</v>
      </c>
      <c r="H102" s="1">
        <f>F102*G102</f>
        <v/>
      </c>
      <c r="I102" s="1" t="n">
        <v>0.0475</v>
      </c>
      <c r="J102" s="1">
        <f>ROUND(H102*I102,2)</f>
        <v/>
      </c>
      <c r="K102" s="1" t="inlineStr">
        <is>
          <t>2025-04</t>
        </is>
      </c>
      <c r="L102" s="1" t="n">
        <v>0</v>
      </c>
      <c r="M102" s="1" t="inlineStr">
        <is>
          <t>4010</t>
        </is>
      </c>
      <c r="N102" s="1" t="inlineStr">
        <is>
          <t>Paid</t>
        </is>
      </c>
      <c r="O102" s="1" t="inlineStr">
        <is>
          <t>PO-KPP-1105</t>
        </is>
      </c>
    </row>
    <row r="103">
      <c r="A103" s="1" t="inlineStr">
        <is>
          <t>INV-2025-10102</t>
        </is>
      </c>
      <c r="B103" s="2" t="n">
        <v>45678</v>
      </c>
      <c r="C103" s="1" t="inlineStr">
        <is>
          <t>Bellweather Auto Group</t>
        </is>
      </c>
      <c r="D103" s="1" t="inlineStr">
        <is>
          <t>BWA-MSA-2024-83</t>
        </is>
      </c>
      <c r="E103" s="1" t="inlineStr">
        <is>
          <t>Autonomous mobile robot, 450 kg payload</t>
        </is>
      </c>
      <c r="F103" s="1" t="n">
        <v>10</v>
      </c>
      <c r="G103" s="1" t="n">
        <v>67900</v>
      </c>
      <c r="H103" s="1">
        <f>F103*G103</f>
        <v/>
      </c>
      <c r="I103" s="1" t="n">
        <v>0.06</v>
      </c>
      <c r="J103" s="1">
        <f>ROUND(H103*I103,2)</f>
        <v/>
      </c>
      <c r="K103" s="1" t="inlineStr">
        <is>
          <t>2025-02</t>
        </is>
      </c>
      <c r="L103" s="1" t="n">
        <v>0</v>
      </c>
      <c r="M103" s="1" t="inlineStr">
        <is>
          <t>4010</t>
        </is>
      </c>
      <c r="N103" s="1" t="inlineStr">
        <is>
          <t>Partially paid</t>
        </is>
      </c>
      <c r="O103" s="1" t="inlineStr">
        <is>
          <t>PO-BWA-9625</t>
        </is>
      </c>
    </row>
    <row r="104">
      <c r="A104" s="1" t="inlineStr">
        <is>
          <t>INV-2025-10103</t>
        </is>
      </c>
      <c r="B104" s="2" t="n">
        <v>45715</v>
      </c>
      <c r="C104" s="1" t="inlineStr">
        <is>
          <t>Larkspur Apparel</t>
        </is>
      </c>
      <c r="D104" s="1" t="inlineStr">
        <is>
          <t>LKA-MSA-2022-57</t>
        </is>
      </c>
      <c r="E104" s="1" t="inlineStr">
        <is>
          <t>Operator training programme</t>
        </is>
      </c>
      <c r="F104" s="1" t="n">
        <v>2</v>
      </c>
      <c r="G104" s="1" t="n">
        <v>2800</v>
      </c>
      <c r="H104" s="1">
        <f>F104*G104</f>
        <v/>
      </c>
      <c r="I104" s="1" t="n">
        <v>0.0475</v>
      </c>
      <c r="J104" s="1">
        <f>ROUND(H104*I104,2)</f>
        <v/>
      </c>
      <c r="K104" s="1" t="inlineStr">
        <is>
          <t>2025-03</t>
        </is>
      </c>
      <c r="L104" s="1" t="n">
        <v>840</v>
      </c>
      <c r="M104" s="1" t="inlineStr">
        <is>
          <t>4030</t>
        </is>
      </c>
      <c r="N104" s="1" t="inlineStr">
        <is>
          <t>Open</t>
        </is>
      </c>
      <c r="O104" s="1" t="inlineStr">
        <is>
          <t>PO-LKA-3369</t>
        </is>
      </c>
    </row>
    <row r="105">
      <c r="A105" s="1" t="inlineStr">
        <is>
          <t>INV-2025-10104</t>
        </is>
      </c>
      <c r="B105" s="2" t="n">
        <v>45744</v>
      </c>
      <c r="C105" s="1" t="inlineStr">
        <is>
          <t>Bellweather Auto Group</t>
        </is>
      </c>
      <c r="D105" s="1" t="inlineStr">
        <is>
          <t>BWA-MSA-2023-51</t>
        </is>
      </c>
      <c r="E105" s="1" t="inlineStr">
        <is>
          <t>Warehouse management system connector</t>
        </is>
      </c>
      <c r="F105" s="1" t="n">
        <v>2</v>
      </c>
      <c r="G105" s="1" t="n">
        <v>38900</v>
      </c>
      <c r="H105" s="1">
        <f>F105*G105</f>
        <v/>
      </c>
      <c r="I105" s="1" t="n">
        <v>0.0475</v>
      </c>
      <c r="J105" s="1">
        <f>ROUND(H105*I105,2)</f>
        <v/>
      </c>
      <c r="K105" s="1" t="inlineStr">
        <is>
          <t>2025-04</t>
        </is>
      </c>
      <c r="L105" s="1" t="n">
        <v>3112</v>
      </c>
      <c r="M105" s="1" t="inlineStr">
        <is>
          <t>4030</t>
        </is>
      </c>
      <c r="N105" s="1" t="inlineStr">
        <is>
          <t>Paid</t>
        </is>
      </c>
      <c r="O105" s="1" t="inlineStr">
        <is>
          <t>PO-BWA-3803</t>
        </is>
      </c>
    </row>
    <row r="106">
      <c r="A106" s="1" t="inlineStr">
        <is>
          <t>INV-2025-10105</t>
        </is>
      </c>
      <c r="B106" s="2" t="n">
        <v>45687</v>
      </c>
      <c r="C106" s="1" t="inlineStr">
        <is>
          <t>Redwood Optics</t>
        </is>
      </c>
      <c r="D106" s="1" t="inlineStr">
        <is>
          <t>RWO-MSA-2025-83</t>
        </is>
      </c>
      <c r="E106" s="1" t="inlineStr">
        <is>
          <t>Warehouse management system connector</t>
        </is>
      </c>
      <c r="F106" s="1" t="n">
        <v>3</v>
      </c>
      <c r="G106" s="1" t="n">
        <v>38000</v>
      </c>
      <c r="H106" s="1">
        <f>F106*G106</f>
        <v/>
      </c>
      <c r="I106" s="1" t="n">
        <v>0.07000000000000001</v>
      </c>
      <c r="J106" s="1">
        <f>ROUND(H106*I106,2)</f>
        <v/>
      </c>
      <c r="K106" s="1" t="inlineStr">
        <is>
          <t>2025-02</t>
        </is>
      </c>
      <c r="L106" s="1" t="n">
        <v>13680</v>
      </c>
      <c r="M106" s="1" t="inlineStr">
        <is>
          <t>4030</t>
        </is>
      </c>
      <c r="N106" s="1" t="inlineStr">
        <is>
          <t>Credit issued</t>
        </is>
      </c>
      <c r="O106" s="1" t="inlineStr">
        <is>
          <t>PO-RWO-2521</t>
        </is>
      </c>
    </row>
    <row r="107">
      <c r="A107" s="1" t="inlineStr">
        <is>
          <t>INV-2025-10106</t>
        </is>
      </c>
      <c r="B107" s="2" t="n">
        <v>45700</v>
      </c>
      <c r="C107" s="1" t="inlineStr">
        <is>
          <t>Vantage Robotics Supply</t>
        </is>
      </c>
      <c r="D107" s="1" t="inlineStr">
        <is>
          <t>VRS-MSA-2023-29</t>
        </is>
      </c>
      <c r="E107" s="1" t="inlineStr">
        <is>
          <t>Remote operations desk coverage</t>
        </is>
      </c>
      <c r="F107" s="1" t="n">
        <v>2</v>
      </c>
      <c r="G107" s="1" t="n">
        <v>11700</v>
      </c>
      <c r="H107" s="1">
        <f>F107*G107</f>
        <v/>
      </c>
      <c r="I107" s="1" t="n">
        <v>0.06</v>
      </c>
      <c r="J107" s="1">
        <f>ROUND(H107*I107,2)</f>
        <v/>
      </c>
      <c r="K107" s="1" t="inlineStr">
        <is>
          <t>2025-03</t>
        </is>
      </c>
      <c r="L107" s="1" t="n">
        <v>17550</v>
      </c>
      <c r="M107" s="1" t="inlineStr">
        <is>
          <t>4020</t>
        </is>
      </c>
      <c r="N107" s="1" t="inlineStr">
        <is>
          <t>Paid</t>
        </is>
      </c>
      <c r="O107" s="1" t="inlineStr">
        <is>
          <t>PO-VRS-8615</t>
        </is>
      </c>
    </row>
    <row r="108">
      <c r="A108" s="1" t="inlineStr">
        <is>
          <t>INV-2025-10107</t>
        </is>
      </c>
      <c r="B108" s="2" t="n">
        <v>45744</v>
      </c>
      <c r="C108" s="1" t="inlineStr">
        <is>
          <t>Northfield Beverage</t>
        </is>
      </c>
      <c r="D108" s="1" t="inlineStr">
        <is>
          <t>NFB-MSA-2023-27</t>
        </is>
      </c>
      <c r="E108" s="1" t="inlineStr">
        <is>
          <t>Fleet orchestration expansion pack, per robot</t>
        </is>
      </c>
      <c r="F108" s="1" t="n">
        <v>96</v>
      </c>
      <c r="G108" s="1" t="n">
        <v>3150</v>
      </c>
      <c r="H108" s="1">
        <f>F108*G108</f>
        <v/>
      </c>
      <c r="I108" s="1" t="n">
        <v>0.0825</v>
      </c>
      <c r="J108" s="1">
        <f>ROUND(H108*I108,2)</f>
        <v/>
      </c>
      <c r="K108" s="1" t="inlineStr">
        <is>
          <t>2025-04</t>
        </is>
      </c>
      <c r="L108" s="1" t="n">
        <v>235872</v>
      </c>
      <c r="M108" s="1" t="inlineStr">
        <is>
          <t>4020</t>
        </is>
      </c>
      <c r="N108" s="1" t="inlineStr">
        <is>
          <t>Partially paid</t>
        </is>
      </c>
      <c r="O108" s="1" t="inlineStr">
        <is>
          <t>PO-NFB-8844</t>
        </is>
      </c>
    </row>
    <row r="109">
      <c r="A109" s="1" t="inlineStr">
        <is>
          <t>INV-2025-10108</t>
        </is>
      </c>
      <c r="B109" s="2" t="n">
        <v>45672</v>
      </c>
      <c r="C109" s="1" t="inlineStr">
        <is>
          <t>Keystone Paper &amp; Pack</t>
        </is>
      </c>
      <c r="D109" s="1" t="inlineStr">
        <is>
          <t>KPP-MSA-2022-44</t>
        </is>
      </c>
      <c r="E109" s="1" t="inlineStr">
        <is>
          <t>Operator training programme</t>
        </is>
      </c>
      <c r="F109" s="1" t="n">
        <v>1</v>
      </c>
      <c r="G109" s="1" t="n">
        <v>2604</v>
      </c>
      <c r="H109" s="1">
        <f>F109*G109</f>
        <v/>
      </c>
      <c r="I109" s="1" t="n">
        <v>0.0825</v>
      </c>
      <c r="J109" s="1">
        <f>ROUND(H109*I109,2)</f>
        <v/>
      </c>
      <c r="K109" s="1" t="inlineStr">
        <is>
          <t>2025-02</t>
        </is>
      </c>
      <c r="L109" s="1" t="n">
        <v>182.28</v>
      </c>
      <c r="M109" s="1" t="inlineStr">
        <is>
          <t>4030</t>
        </is>
      </c>
      <c r="N109" s="1" t="inlineStr">
        <is>
          <t>Written off</t>
        </is>
      </c>
      <c r="O109" s="1" t="inlineStr">
        <is>
          <t>PO-KPP-6587</t>
        </is>
      </c>
    </row>
    <row r="110">
      <c r="A110" s="1" t="inlineStr">
        <is>
          <t>INV-2025-10109</t>
        </is>
      </c>
      <c r="B110" s="2" t="n">
        <v>45714</v>
      </c>
      <c r="C110" s="1" t="inlineStr">
        <is>
          <t>Ironvale Grocery Group</t>
        </is>
      </c>
      <c r="D110" s="1" t="inlineStr">
        <is>
          <t>IVG-MSA-2022-76</t>
        </is>
      </c>
      <c r="E110" s="1" t="inlineStr">
        <is>
          <t>Warehouse management system connector</t>
        </is>
      </c>
      <c r="F110" s="1" t="n">
        <v>3</v>
      </c>
      <c r="G110" s="1" t="n">
        <v>38900</v>
      </c>
      <c r="H110" s="1">
        <f>F110*G110</f>
        <v/>
      </c>
      <c r="I110" s="1" t="n">
        <v>0.065</v>
      </c>
      <c r="J110" s="1">
        <f>ROUND(H110*I110,2)</f>
        <v/>
      </c>
      <c r="K110" s="1" t="inlineStr">
        <is>
          <t>2025-03</t>
        </is>
      </c>
      <c r="L110" s="1" t="n">
        <v>4668</v>
      </c>
      <c r="M110" s="1" t="inlineStr">
        <is>
          <t>4030</t>
        </is>
      </c>
      <c r="N110" s="1" t="inlineStr">
        <is>
          <t>Open</t>
        </is>
      </c>
      <c r="O110" s="1" t="inlineStr">
        <is>
          <t>PO-IVG-8342</t>
        </is>
      </c>
    </row>
    <row r="111">
      <c r="A111" s="1" t="inlineStr">
        <is>
          <t>INV-2025-10110</t>
        </is>
      </c>
      <c r="B111" s="2" t="n">
        <v>45747</v>
      </c>
      <c r="C111" s="1" t="inlineStr">
        <is>
          <t>Dunbar Industrial</t>
        </is>
      </c>
      <c r="D111" s="1" t="inlineStr">
        <is>
          <t>DBI-MSA-2025-85</t>
        </is>
      </c>
      <c r="E111" s="1" t="inlineStr">
        <is>
          <t>Autonomous mobile robot, 220 kg payload</t>
        </is>
      </c>
      <c r="F111" s="1" t="n">
        <v>13</v>
      </c>
      <c r="G111" s="1" t="n">
        <v>41000</v>
      </c>
      <c r="H111" s="1">
        <f>F111*G111</f>
        <v/>
      </c>
      <c r="I111" s="1" t="n">
        <v>0.07000000000000001</v>
      </c>
      <c r="J111" s="1">
        <f>ROUND(H111*I111,2)</f>
        <v/>
      </c>
      <c r="K111" s="1" t="inlineStr">
        <is>
          <t>2025-04</t>
        </is>
      </c>
      <c r="L111" s="1" t="n">
        <v>0</v>
      </c>
      <c r="M111" s="1" t="inlineStr">
        <is>
          <t>4010</t>
        </is>
      </c>
      <c r="N111" s="1" t="inlineStr">
        <is>
          <t>Paid</t>
        </is>
      </c>
      <c r="O111" s="1" t="inlineStr">
        <is>
          <t>PO-DBI-9004</t>
        </is>
      </c>
    </row>
    <row r="112">
      <c r="A112" s="1" t="inlineStr">
        <is>
          <t>INV-2025-10111</t>
        </is>
      </c>
      <c r="B112" s="2" t="n">
        <v>45687</v>
      </c>
      <c r="C112" s="1" t="inlineStr">
        <is>
          <t>Crestline Fulfillment</t>
        </is>
      </c>
      <c r="D112" s="1" t="inlineStr">
        <is>
          <t>CFF-MSA-2023-67</t>
        </is>
      </c>
      <c r="E112" s="1" t="inlineStr">
        <is>
          <t>Telemetry retention tier, extended</t>
        </is>
      </c>
      <c r="F112" s="1" t="n">
        <v>4</v>
      </c>
      <c r="G112" s="1" t="n">
        <v>24500</v>
      </c>
      <c r="H112" s="1">
        <f>F112*G112</f>
        <v/>
      </c>
      <c r="I112" s="1" t="n">
        <v>0.07000000000000001</v>
      </c>
      <c r="J112" s="1">
        <f>ROUND(H112*I112,2)</f>
        <v/>
      </c>
      <c r="K112" s="1" t="inlineStr">
        <is>
          <t>2025-02</t>
        </is>
      </c>
      <c r="L112" s="1" t="n">
        <v>61740</v>
      </c>
      <c r="M112" s="1" t="inlineStr">
        <is>
          <t>4020</t>
        </is>
      </c>
      <c r="N112" s="1" t="inlineStr">
        <is>
          <t>Paid</t>
        </is>
      </c>
      <c r="O112" s="1" t="inlineStr">
        <is>
          <t>PO-CFF-7994</t>
        </is>
      </c>
    </row>
    <row r="113">
      <c r="A113" s="1" t="inlineStr">
        <is>
          <t>INV-2025-10112</t>
        </is>
      </c>
      <c r="B113" s="2" t="n">
        <v>45715</v>
      </c>
      <c r="C113" s="1" t="inlineStr">
        <is>
          <t>Summit Ridge Retail</t>
        </is>
      </c>
      <c r="D113" s="1" t="inlineStr">
        <is>
          <t>SRR-MSA-2023-38</t>
        </is>
      </c>
      <c r="E113" s="1" t="inlineStr">
        <is>
          <t>Warehouse management system connector</t>
        </is>
      </c>
      <c r="F113" s="1" t="n">
        <v>3</v>
      </c>
      <c r="G113" s="1" t="n">
        <v>38000</v>
      </c>
      <c r="H113" s="1">
        <f>F113*G113</f>
        <v/>
      </c>
      <c r="I113" s="1" t="n">
        <v>0.065</v>
      </c>
      <c r="J113" s="1">
        <f>ROUND(H113*I113,2)</f>
        <v/>
      </c>
      <c r="K113" s="1" t="inlineStr">
        <is>
          <t>2025-03</t>
        </is>
      </c>
      <c r="L113" s="1" t="n">
        <v>7980</v>
      </c>
      <c r="M113" s="1" t="inlineStr">
        <is>
          <t>4030</t>
        </is>
      </c>
      <c r="N113" s="1" t="inlineStr">
        <is>
          <t>Paid</t>
        </is>
      </c>
      <c r="O113" s="1" t="inlineStr">
        <is>
          <t>PO-SRR-8410</t>
        </is>
      </c>
    </row>
    <row r="114">
      <c r="A114" s="1" t="inlineStr">
        <is>
          <t>INV-2025-10113</t>
        </is>
      </c>
      <c r="B114" s="2" t="n">
        <v>45747</v>
      </c>
      <c r="C114" s="1" t="inlineStr">
        <is>
          <t>Evergreen Warehousing</t>
        </is>
      </c>
      <c r="D114" s="1" t="inlineStr">
        <is>
          <t>EVW-MSA-2022-68</t>
        </is>
      </c>
      <c r="E114" s="1" t="inlineStr">
        <is>
          <t>Premium support and spares pool</t>
        </is>
      </c>
      <c r="F114" s="1" t="n">
        <v>3</v>
      </c>
      <c r="G114" s="1" t="n">
        <v>57050</v>
      </c>
      <c r="H114" s="1">
        <f>F114*G114</f>
        <v/>
      </c>
      <c r="I114" s="1" t="n">
        <v>0.09</v>
      </c>
      <c r="J114" s="1">
        <f>ROUND(H114*I114,2)</f>
        <v/>
      </c>
      <c r="K114" s="1" t="inlineStr">
        <is>
          <t>2025-04</t>
        </is>
      </c>
      <c r="L114" s="1" t="n">
        <v>94132.5</v>
      </c>
      <c r="M114" s="1" t="inlineStr">
        <is>
          <t>4020</t>
        </is>
      </c>
      <c r="N114" s="1" t="inlineStr">
        <is>
          <t>Credit issued</t>
        </is>
      </c>
      <c r="O114" s="1" t="inlineStr">
        <is>
          <t>PO-EVW-1211</t>
        </is>
      </c>
    </row>
    <row r="115">
      <c r="A115" s="1" t="inlineStr">
        <is>
          <t>INV-2025-10114</t>
        </is>
      </c>
      <c r="B115" s="2" t="n">
        <v>45687</v>
      </c>
      <c r="C115" s="1" t="inlineStr">
        <is>
          <t>Pioneer Freight Union</t>
        </is>
      </c>
      <c r="D115" s="1" t="inlineStr">
        <is>
          <t>PFU-MSA-2022-67</t>
        </is>
      </c>
      <c r="E115" s="1" t="inlineStr">
        <is>
          <t>Autonomous mobile robot, 450 kg payload</t>
        </is>
      </c>
      <c r="F115" s="1" t="n">
        <v>1</v>
      </c>
      <c r="G115" s="1" t="n">
        <v>68400</v>
      </c>
      <c r="H115" s="1">
        <f>F115*G115</f>
        <v/>
      </c>
      <c r="I115" s="1" t="n">
        <v>0.07000000000000001</v>
      </c>
      <c r="J115" s="1">
        <f>ROUND(H115*I115,2)</f>
        <v/>
      </c>
      <c r="K115" s="1" t="inlineStr">
        <is>
          <t>2025-02</t>
        </is>
      </c>
      <c r="L115" s="1" t="n">
        <v>0</v>
      </c>
      <c r="M115" s="1" t="inlineStr">
        <is>
          <t>4010</t>
        </is>
      </c>
      <c r="N115" s="1" t="inlineStr">
        <is>
          <t>Partially paid</t>
        </is>
      </c>
      <c r="O115" s="1" t="inlineStr">
        <is>
          <t>PO-PFU-9487</t>
        </is>
      </c>
    </row>
    <row r="116">
      <c r="A116" s="1" t="inlineStr">
        <is>
          <t>INV-2025-10115</t>
        </is>
      </c>
      <c r="B116" s="2" t="n">
        <v>45712</v>
      </c>
      <c r="C116" s="1" t="inlineStr">
        <is>
          <t>Granite Peak Distribution</t>
        </is>
      </c>
      <c r="D116" s="1" t="inlineStr">
        <is>
          <t>GPD-MSA-2025-12</t>
        </is>
      </c>
      <c r="E116" s="1" t="inlineStr">
        <is>
          <t>Operator training programme</t>
        </is>
      </c>
      <c r="F116" s="1" t="n">
        <v>3</v>
      </c>
      <c r="G116" s="1" t="n">
        <v>3700</v>
      </c>
      <c r="H116" s="1">
        <f>F116*G116</f>
        <v/>
      </c>
      <c r="I116" s="1" t="n">
        <v>0.09</v>
      </c>
      <c r="J116" s="1">
        <f>ROUND(H116*I116,2)</f>
        <v/>
      </c>
      <c r="K116" s="1" t="inlineStr">
        <is>
          <t>2025-03</t>
        </is>
      </c>
      <c r="L116" s="1" t="n">
        <v>2664</v>
      </c>
      <c r="M116" s="1" t="inlineStr">
        <is>
          <t>4030</t>
        </is>
      </c>
      <c r="N116" s="1" t="inlineStr">
        <is>
          <t>Written off</t>
        </is>
      </c>
      <c r="O116" s="1" t="inlineStr">
        <is>
          <t>PO-GPD-8352</t>
        </is>
      </c>
    </row>
    <row r="117">
      <c r="A117" s="1" t="inlineStr">
        <is>
          <t>INV-2025-10116</t>
        </is>
      </c>
      <c r="B117" s="2" t="n">
        <v>45744</v>
      </c>
      <c r="C117" s="1" t="inlineStr">
        <is>
          <t>Dunbar Industrial</t>
        </is>
      </c>
      <c r="D117" s="1" t="inlineStr">
        <is>
          <t>DBI-MSA-2024-77</t>
        </is>
      </c>
      <c r="E117" s="1" t="inlineStr">
        <is>
          <t>Fleet orchestration expansion pack, per robot</t>
        </is>
      </c>
      <c r="F117" s="1" t="n">
        <v>127</v>
      </c>
      <c r="G117" s="1" t="n">
        <v>1953</v>
      </c>
      <c r="H117" s="1">
        <f>F117*G117</f>
        <v/>
      </c>
      <c r="I117" s="1" t="n">
        <v>0.09</v>
      </c>
      <c r="J117" s="1">
        <f>ROUND(H117*I117,2)</f>
        <v/>
      </c>
      <c r="K117" s="1" t="inlineStr">
        <is>
          <t>2025-04</t>
        </is>
      </c>
      <c r="L117" s="1" t="n">
        <v>190983.87</v>
      </c>
      <c r="M117" s="1" t="inlineStr">
        <is>
          <t>4020</t>
        </is>
      </c>
      <c r="N117" s="1" t="inlineStr">
        <is>
          <t>Disputed</t>
        </is>
      </c>
      <c r="O117" s="1" t="inlineStr">
        <is>
          <t>PO-DBI-5602</t>
        </is>
      </c>
    </row>
    <row r="118">
      <c r="A118" s="1" t="inlineStr">
        <is>
          <t>INV-2025-10117</t>
        </is>
      </c>
      <c r="B118" s="2" t="n">
        <v>45688</v>
      </c>
      <c r="C118" s="1" t="inlineStr">
        <is>
          <t>Asterion Logistics</t>
        </is>
      </c>
      <c r="D118" s="1" t="inlineStr">
        <is>
          <t>AST-MSA-2022-62</t>
        </is>
      </c>
      <c r="E118" s="1" t="inlineStr">
        <is>
          <t>Autonomous mobile robot, 450 kg payload</t>
        </is>
      </c>
      <c r="F118" s="1" t="n">
        <v>5</v>
      </c>
      <c r="G118" s="1" t="n">
        <v>68400</v>
      </c>
      <c r="H118" s="1">
        <f>F118*G118</f>
        <v/>
      </c>
      <c r="I118" s="1" t="n">
        <v>0.06</v>
      </c>
      <c r="J118" s="1">
        <f>ROUND(H118*I118,2)</f>
        <v/>
      </c>
      <c r="K118" s="1" t="inlineStr">
        <is>
          <t>2025-02</t>
        </is>
      </c>
      <c r="L118" s="1" t="n">
        <v>0</v>
      </c>
      <c r="M118" s="1" t="inlineStr">
        <is>
          <t>4010</t>
        </is>
      </c>
      <c r="N118" s="1" t="inlineStr">
        <is>
          <t>Credit issued</t>
        </is>
      </c>
      <c r="O118" s="1" t="inlineStr">
        <is>
          <t>PO-AST-4085</t>
        </is>
      </c>
    </row>
    <row r="119">
      <c r="A119" s="1" t="inlineStr">
        <is>
          <t>INV-2025-10118</t>
        </is>
      </c>
      <c r="B119" s="2" t="n">
        <v>45716</v>
      </c>
      <c r="C119" s="1" t="inlineStr">
        <is>
          <t>Juniper Health Supply</t>
        </is>
      </c>
      <c r="D119" s="1" t="inlineStr">
        <is>
          <t>JHS-MSA-2022-63</t>
        </is>
      </c>
      <c r="E119" s="1" t="inlineStr">
        <is>
          <t>Fleet orchestration platform, annual site licence</t>
        </is>
      </c>
      <c r="F119" s="1" t="n">
        <v>4</v>
      </c>
      <c r="G119" s="1" t="n">
        <v>96000</v>
      </c>
      <c r="H119" s="1">
        <f>F119*G119</f>
        <v/>
      </c>
      <c r="I119" s="1" t="n">
        <v>0.06</v>
      </c>
      <c r="J119" s="1">
        <f>ROUND(H119*I119,2)</f>
        <v/>
      </c>
      <c r="K119" s="1" t="inlineStr">
        <is>
          <t>2025-03</t>
        </is>
      </c>
      <c r="L119" s="1" t="n">
        <v>299520</v>
      </c>
      <c r="M119" s="1" t="inlineStr">
        <is>
          <t>4020</t>
        </is>
      </c>
      <c r="N119" s="1" t="inlineStr">
        <is>
          <t>Disputed</t>
        </is>
      </c>
      <c r="O119" s="1" t="inlineStr">
        <is>
          <t>PO-JHS-4263</t>
        </is>
      </c>
    </row>
    <row r="120">
      <c r="A120" s="1" t="inlineStr">
        <is>
          <t>INV-2025-10119</t>
        </is>
      </c>
      <c r="B120" s="2" t="n">
        <v>45744</v>
      </c>
      <c r="C120" s="1" t="inlineStr">
        <is>
          <t>Ironvale Grocery Group</t>
        </is>
      </c>
      <c r="D120" s="1" t="inlineStr">
        <is>
          <t>IVG-MSA-2023-26</t>
        </is>
      </c>
      <c r="E120" s="1" t="inlineStr">
        <is>
          <t>Fleet orchestration platform, annual site licence</t>
        </is>
      </c>
      <c r="F120" s="1" t="n">
        <v>3</v>
      </c>
      <c r="G120" s="1" t="n">
        <v>96000</v>
      </c>
      <c r="H120" s="1">
        <f>F120*G120</f>
        <v/>
      </c>
      <c r="I120" s="1" t="n">
        <v>0</v>
      </c>
      <c r="J120" s="1">
        <f>ROUND(H120*I120,2)</f>
        <v/>
      </c>
      <c r="K120" s="1" t="inlineStr">
        <is>
          <t>2025-04</t>
        </is>
      </c>
      <c r="L120" s="1" t="n">
        <v>167040</v>
      </c>
      <c r="M120" s="1" t="inlineStr">
        <is>
          <t>4020</t>
        </is>
      </c>
      <c r="N120" s="1" t="inlineStr">
        <is>
          <t>Credit issued</t>
        </is>
      </c>
      <c r="O120" s="1" t="inlineStr">
        <is>
          <t>PO-IVG-2094</t>
        </is>
      </c>
    </row>
    <row r="121">
      <c r="A121" s="1" t="inlineStr">
        <is>
          <t>INV-2025-10120</t>
        </is>
      </c>
      <c r="B121" s="2" t="n">
        <v>45674</v>
      </c>
      <c r="C121" s="1" t="inlineStr">
        <is>
          <t>Pioneer Freight Union</t>
        </is>
      </c>
      <c r="D121" s="1" t="inlineStr">
        <is>
          <t>PFU-MSA-2023-50</t>
        </is>
      </c>
      <c r="E121" s="1" t="inlineStr">
        <is>
          <t>Telemetry retention tier, extended</t>
        </is>
      </c>
      <c r="F121" s="1" t="n">
        <v>2</v>
      </c>
      <c r="G121" s="1" t="n">
        <v>22300</v>
      </c>
      <c r="H121" s="1">
        <f>F121*G121</f>
        <v/>
      </c>
      <c r="I121" s="1" t="n">
        <v>0</v>
      </c>
      <c r="J121" s="1">
        <f>ROUND(H121*I121,2)</f>
        <v/>
      </c>
      <c r="K121" s="1" t="inlineStr">
        <is>
          <t>2025-02</t>
        </is>
      </c>
      <c r="L121" s="1" t="n">
        <v>32558</v>
      </c>
      <c r="M121" s="1" t="inlineStr">
        <is>
          <t>4020</t>
        </is>
      </c>
      <c r="N121" s="1" t="inlineStr">
        <is>
          <t>Paid</t>
        </is>
      </c>
      <c r="O121" s="1" t="inlineStr">
        <is>
          <t>PO-PFU-9534</t>
        </is>
      </c>
    </row>
    <row r="122">
      <c r="A122" s="1" t="inlineStr">
        <is>
          <t>FY25Q1 Invoices subtotal</t>
        </is>
      </c>
      <c r="B122" s="1" t="inlineStr"/>
      <c r="C122" s="1" t="inlineStr"/>
      <c r="D122" s="1" t="inlineStr"/>
      <c r="E122" s="1" t="inlineStr"/>
      <c r="F122" s="1" t="inlineStr"/>
      <c r="G122" s="1" t="inlineStr"/>
      <c r="H122" s="1">
        <f>SUM(H2:H121)</f>
        <v/>
      </c>
      <c r="I122" s="1" t="inlineStr"/>
      <c r="J122" s="1">
        <f>SUM(J2:J121)</f>
        <v/>
      </c>
      <c r="K122" s="1" t="inlineStr"/>
      <c r="L122" s="1">
        <f>SUM(L2:L121)</f>
        <v/>
      </c>
      <c r="M122" s="1" t="inlineStr"/>
      <c r="N122" s="1" t="inlineStr">
        <is>
          <t>Subtotal</t>
        </is>
      </c>
      <c r="O122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invoice_date</t>
        </is>
      </c>
      <c r="C1" s="1" t="inlineStr">
        <is>
          <t>customer</t>
        </is>
      </c>
      <c r="D1" s="1" t="inlineStr">
        <is>
          <t>contract_ref</t>
        </is>
      </c>
      <c r="E1" s="1" t="inlineStr">
        <is>
          <t>line_description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extended_amount</t>
        </is>
      </c>
      <c r="I1" s="1" t="inlineStr">
        <is>
          <t>tax_rate</t>
        </is>
      </c>
      <c r="J1" s="1" t="inlineStr">
        <is>
          <t>tax_amount</t>
        </is>
      </c>
      <c r="K1" s="1" t="inlineStr">
        <is>
          <t>revenue_recognition_period</t>
        </is>
      </c>
      <c r="L1" s="1" t="inlineStr">
        <is>
          <t>deferred_portion</t>
        </is>
      </c>
      <c r="M1" s="1" t="inlineStr">
        <is>
          <t>gl_account</t>
        </is>
      </c>
      <c r="N1" s="1" t="inlineStr">
        <is>
          <t>status</t>
        </is>
      </c>
      <c r="O1" s="1" t="inlineStr">
        <is>
          <t>po_reference</t>
        </is>
      </c>
    </row>
    <row r="2">
      <c r="A2" s="1" t="inlineStr">
        <is>
          <t>INV-2025-20001</t>
        </is>
      </c>
      <c r="B2" s="2" t="n">
        <v>45807</v>
      </c>
      <c r="C2" s="1" t="inlineStr">
        <is>
          <t>Redwood Optics</t>
        </is>
      </c>
      <c r="D2" s="1" t="inlineStr">
        <is>
          <t>RWO-MSA-2024-87</t>
        </is>
      </c>
      <c r="E2" s="1" t="inlineStr">
        <is>
          <t>Safety scanner retrofit kit</t>
        </is>
      </c>
      <c r="F2" s="1" t="n">
        <v>1</v>
      </c>
      <c r="G2" s="1" t="n">
        <v>6350</v>
      </c>
      <c r="H2" s="1">
        <f>F2*G2</f>
        <v/>
      </c>
      <c r="I2" s="1" t="n">
        <v>0.065</v>
      </c>
      <c r="J2" s="1">
        <f>ROUND(H2*I2,2)</f>
        <v/>
      </c>
      <c r="K2" s="1" t="inlineStr">
        <is>
          <t>2025-06</t>
        </is>
      </c>
      <c r="L2" s="1" t="n">
        <v>0</v>
      </c>
      <c r="M2" s="1" t="inlineStr">
        <is>
          <t>4010</t>
        </is>
      </c>
      <c r="N2" s="1" t="inlineStr">
        <is>
          <t>Paid</t>
        </is>
      </c>
      <c r="O2" s="1" t="inlineStr">
        <is>
          <t>PO-RWO-8698</t>
        </is>
      </c>
    </row>
    <row r="3">
      <c r="A3" s="1" t="inlineStr">
        <is>
          <t>INV-2025-20002</t>
        </is>
      </c>
      <c r="B3" s="2" t="n">
        <v>45835</v>
      </c>
      <c r="C3" s="1" t="inlineStr">
        <is>
          <t>Bellweather Auto Group</t>
        </is>
      </c>
      <c r="D3" s="1" t="inlineStr">
        <is>
          <t>BWA-MSA-2025-17</t>
        </is>
      </c>
      <c r="E3" s="1" t="inlineStr">
        <is>
          <t>Opportunity charging dock</t>
        </is>
      </c>
      <c r="F3" s="1" t="n">
        <v>10</v>
      </c>
      <c r="G3" s="1" t="n">
        <v>11300</v>
      </c>
      <c r="H3" s="1">
        <f>F3*G3</f>
        <v/>
      </c>
      <c r="I3" s="1" t="n">
        <v>0.0825</v>
      </c>
      <c r="J3" s="1">
        <f>ROUND(H3*I3,2)</f>
        <v/>
      </c>
      <c r="K3" s="1" t="inlineStr">
        <is>
          <t>2025-07</t>
        </is>
      </c>
      <c r="L3" s="1" t="n">
        <v>0</v>
      </c>
      <c r="M3" s="1" t="inlineStr">
        <is>
          <t>4010</t>
        </is>
      </c>
      <c r="N3" s="1" t="inlineStr">
        <is>
          <t>Partially paid</t>
        </is>
      </c>
      <c r="O3" s="1" t="inlineStr">
        <is>
          <t>PO-BWA-5437</t>
        </is>
      </c>
    </row>
    <row r="4">
      <c r="A4" s="1" t="inlineStr">
        <is>
          <t>INV-2025-20003</t>
        </is>
      </c>
      <c r="B4" s="2" t="n">
        <v>45757</v>
      </c>
      <c r="C4" s="1" t="inlineStr">
        <is>
          <t>Yarrow Home Goods</t>
        </is>
      </c>
      <c r="D4" s="1" t="inlineStr">
        <is>
          <t>YHG-MSA-2024-85</t>
        </is>
      </c>
      <c r="E4" s="1" t="inlineStr">
        <is>
          <t>Fleet orchestration expansion pack, per robot</t>
        </is>
      </c>
      <c r="F4" s="1" t="n">
        <v>164</v>
      </c>
      <c r="G4" s="1" t="n">
        <v>2900</v>
      </c>
      <c r="H4" s="1">
        <f>F4*G4</f>
        <v/>
      </c>
      <c r="I4" s="1" t="n">
        <v>0.06</v>
      </c>
      <c r="J4" s="1">
        <f>ROUND(H4*I4,2)</f>
        <v/>
      </c>
      <c r="K4" s="1" t="inlineStr">
        <is>
          <t>2025-05</t>
        </is>
      </c>
      <c r="L4" s="1" t="n">
        <v>370968</v>
      </c>
      <c r="M4" s="1" t="inlineStr">
        <is>
          <t>4020</t>
        </is>
      </c>
      <c r="N4" s="1" t="inlineStr">
        <is>
          <t>Paid</t>
        </is>
      </c>
      <c r="O4" s="1" t="inlineStr">
        <is>
          <t>PO-YHG-1652</t>
        </is>
      </c>
    </row>
    <row r="5">
      <c r="A5" s="1" t="inlineStr">
        <is>
          <t>INV-2025-20004</t>
        </is>
      </c>
      <c r="B5" s="2" t="n">
        <v>45806</v>
      </c>
      <c r="C5" s="1" t="inlineStr">
        <is>
          <t>Meridian Dynamics</t>
        </is>
      </c>
      <c r="D5" s="1" t="inlineStr">
        <is>
          <t>MDY-MSA-2023-19</t>
        </is>
      </c>
      <c r="E5" s="1" t="inlineStr">
        <is>
          <t>Operator training programme</t>
        </is>
      </c>
      <c r="F5" s="1" t="n">
        <v>2</v>
      </c>
      <c r="G5" s="1" t="n">
        <v>3700</v>
      </c>
      <c r="H5" s="1">
        <f>F5*G5</f>
        <v/>
      </c>
      <c r="I5" s="1" t="n">
        <v>0.0825</v>
      </c>
      <c r="J5" s="1">
        <f>ROUND(H5*I5,2)</f>
        <v/>
      </c>
      <c r="K5" s="1" t="inlineStr">
        <is>
          <t>2025-06</t>
        </is>
      </c>
      <c r="L5" s="1" t="n">
        <v>1406</v>
      </c>
      <c r="M5" s="1" t="inlineStr">
        <is>
          <t>4030</t>
        </is>
      </c>
      <c r="N5" s="1" t="inlineStr">
        <is>
          <t>Paid</t>
        </is>
      </c>
      <c r="O5" s="1" t="inlineStr">
        <is>
          <t>PO-MDY-1688</t>
        </is>
      </c>
    </row>
    <row r="6">
      <c r="A6" s="1" t="inlineStr">
        <is>
          <t>INV-2025-20005</t>
        </is>
      </c>
      <c r="B6" s="2" t="n">
        <v>45835</v>
      </c>
      <c r="C6" s="1" t="inlineStr">
        <is>
          <t>Westlake Chemical Depot</t>
        </is>
      </c>
      <c r="D6" s="1" t="inlineStr">
        <is>
          <t>WCD-MSA-2025-31</t>
        </is>
      </c>
      <c r="E6" s="1" t="inlineStr">
        <is>
          <t>Autonomous mobile robot, 220 kg payload</t>
        </is>
      </c>
      <c r="F6" s="1" t="n">
        <v>8</v>
      </c>
      <c r="G6" s="1" t="n">
        <v>41250</v>
      </c>
      <c r="H6" s="1">
        <f>F6*G6</f>
        <v/>
      </c>
      <c r="I6" s="1" t="n">
        <v>0.0475</v>
      </c>
      <c r="J6" s="1">
        <f>ROUND(H6*I6,2)</f>
        <v/>
      </c>
      <c r="K6" s="1" t="inlineStr">
        <is>
          <t>2025-07</t>
        </is>
      </c>
      <c r="L6" s="1" t="n">
        <v>0</v>
      </c>
      <c r="M6" s="1" t="inlineStr">
        <is>
          <t>4010</t>
        </is>
      </c>
      <c r="N6" s="1" t="inlineStr">
        <is>
          <t>Credit issued</t>
        </is>
      </c>
      <c r="O6" s="1" t="inlineStr">
        <is>
          <t>PO-WCD-7250</t>
        </is>
      </c>
    </row>
    <row r="7">
      <c r="A7" s="1" t="inlineStr">
        <is>
          <t>INV-2025-20006</t>
        </is>
      </c>
      <c r="B7" s="2" t="n">
        <v>45777</v>
      </c>
      <c r="C7" s="1" t="inlineStr">
        <is>
          <t>Tamarack Electronics</t>
        </is>
      </c>
      <c r="D7" s="1" t="inlineStr">
        <is>
          <t>TCE-MSA-2023-86</t>
        </is>
      </c>
      <c r="E7" s="1" t="inlineStr">
        <is>
          <t>Autonomous mobile robot, 450 kg payload</t>
        </is>
      </c>
      <c r="F7" s="1" t="n">
        <v>14</v>
      </c>
      <c r="G7" s="1" t="n">
        <v>67000</v>
      </c>
      <c r="H7" s="1">
        <f>F7*G7</f>
        <v/>
      </c>
      <c r="I7" s="1" t="n">
        <v>0.0475</v>
      </c>
      <c r="J7" s="1">
        <f>ROUND(H7*I7,2)</f>
        <v/>
      </c>
      <c r="K7" s="1" t="inlineStr">
        <is>
          <t>2025-05</t>
        </is>
      </c>
      <c r="L7" s="1" t="n">
        <v>0</v>
      </c>
      <c r="M7" s="1" t="inlineStr">
        <is>
          <t>4010</t>
        </is>
      </c>
      <c r="N7" s="1" t="inlineStr">
        <is>
          <t>Paid</t>
        </is>
      </c>
      <c r="O7" s="1" t="inlineStr">
        <is>
          <t>PO-TCE-9823</t>
        </is>
      </c>
    </row>
    <row r="8">
      <c r="A8" s="1" t="inlineStr">
        <is>
          <t>INV-2025-20007</t>
        </is>
      </c>
      <c r="B8" s="2" t="n">
        <v>45806</v>
      </c>
      <c r="C8" s="1" t="inlineStr">
        <is>
          <t>Westlake Chemical Depot</t>
        </is>
      </c>
      <c r="D8" s="1" t="inlineStr">
        <is>
          <t>WCD-MSA-2024-24</t>
        </is>
      </c>
      <c r="E8" s="1" t="inlineStr">
        <is>
          <t>Autonomous mobile robot, 220 kg payload</t>
        </is>
      </c>
      <c r="F8" s="1" t="n">
        <v>3</v>
      </c>
      <c r="G8" s="1" t="n">
        <v>41500</v>
      </c>
      <c r="H8" s="1">
        <f>F8*G8</f>
        <v/>
      </c>
      <c r="I8" s="1" t="n">
        <v>0.0475</v>
      </c>
      <c r="J8" s="1">
        <f>ROUND(H8*I8,2)</f>
        <v/>
      </c>
      <c r="K8" s="1" t="inlineStr">
        <is>
          <t>2025-06</t>
        </is>
      </c>
      <c r="L8" s="1" t="n">
        <v>0</v>
      </c>
      <c r="M8" s="1" t="inlineStr">
        <is>
          <t>4010</t>
        </is>
      </c>
      <c r="N8" s="1" t="inlineStr">
        <is>
          <t>Partially paid</t>
        </is>
      </c>
      <c r="O8" s="1" t="inlineStr">
        <is>
          <t>PO-WCD-2487</t>
        </is>
      </c>
    </row>
    <row r="9">
      <c r="A9" s="1" t="inlineStr">
        <is>
          <t>INV-2025-20008</t>
        </is>
      </c>
      <c r="B9" s="2" t="n">
        <v>45838</v>
      </c>
      <c r="C9" s="1" t="inlineStr">
        <is>
          <t>Evergreen Warehousing</t>
        </is>
      </c>
      <c r="D9" s="1" t="inlineStr">
        <is>
          <t>EVW-MSA-2025-61</t>
        </is>
      </c>
      <c r="E9" s="1" t="inlineStr">
        <is>
          <t>Deployment and commissioning services</t>
        </is>
      </c>
      <c r="F9" s="1" t="n">
        <v>40</v>
      </c>
      <c r="G9" s="1" t="n">
        <v>1147</v>
      </c>
      <c r="H9" s="1">
        <f>F9*G9</f>
        <v/>
      </c>
      <c r="I9" s="1" t="n">
        <v>0.07000000000000001</v>
      </c>
      <c r="J9" s="1">
        <f>ROUND(H9*I9,2)</f>
        <v/>
      </c>
      <c r="K9" s="1" t="inlineStr">
        <is>
          <t>2025-07</t>
        </is>
      </c>
      <c r="L9" s="1" t="n">
        <v>8258.4</v>
      </c>
      <c r="M9" s="1" t="inlineStr">
        <is>
          <t>4030</t>
        </is>
      </c>
      <c r="N9" s="1" t="inlineStr">
        <is>
          <t>Open</t>
        </is>
      </c>
      <c r="O9" s="1" t="inlineStr">
        <is>
          <t>PO-EVW-3948</t>
        </is>
      </c>
    </row>
    <row r="10">
      <c r="A10" s="1" t="inlineStr">
        <is>
          <t>INV-2025-20009</t>
        </is>
      </c>
      <c r="B10" s="2" t="n">
        <v>45762</v>
      </c>
      <c r="C10" s="1" t="inlineStr">
        <is>
          <t>Blue Mesa Components</t>
        </is>
      </c>
      <c r="D10" s="1" t="inlineStr">
        <is>
          <t>BMC-MSA-2022-57</t>
        </is>
      </c>
      <c r="E10" s="1" t="inlineStr">
        <is>
          <t>Operator training programme</t>
        </is>
      </c>
      <c r="F10" s="1" t="n">
        <v>3</v>
      </c>
      <c r="G10" s="1" t="n">
        <v>3950</v>
      </c>
      <c r="H10" s="1">
        <f>F10*G10</f>
        <v/>
      </c>
      <c r="I10" s="1" t="n">
        <v>0.06</v>
      </c>
      <c r="J10" s="1">
        <f>ROUND(H10*I10,2)</f>
        <v/>
      </c>
      <c r="K10" s="1" t="inlineStr">
        <is>
          <t>2025-05</t>
        </is>
      </c>
      <c r="L10" s="1" t="n">
        <v>2725.5</v>
      </c>
      <c r="M10" s="1" t="inlineStr">
        <is>
          <t>4030</t>
        </is>
      </c>
      <c r="N10" s="1" t="inlineStr">
        <is>
          <t>Paid</t>
        </is>
      </c>
      <c r="O10" s="1" t="inlineStr">
        <is>
          <t>PO-BMC-6458</t>
        </is>
      </c>
    </row>
    <row r="11">
      <c r="A11" s="1" t="inlineStr">
        <is>
          <t>INV-2025-20010</t>
        </is>
      </c>
      <c r="B11" s="2" t="n">
        <v>45807</v>
      </c>
      <c r="C11" s="1" t="inlineStr">
        <is>
          <t>Keystone Paper &amp; Pack</t>
        </is>
      </c>
      <c r="D11" s="1" t="inlineStr">
        <is>
          <t>KPP-MSA-2025-29</t>
        </is>
      </c>
      <c r="E11" s="1" t="inlineStr">
        <is>
          <t>Safety scanner retrofit kit</t>
        </is>
      </c>
      <c r="F11" s="1" t="n">
        <v>2</v>
      </c>
      <c r="G11" s="1" t="n">
        <v>7250</v>
      </c>
      <c r="H11" s="1">
        <f>F11*G11</f>
        <v/>
      </c>
      <c r="I11" s="1" t="n">
        <v>0.06</v>
      </c>
      <c r="J11" s="1">
        <f>ROUND(H11*I11,2)</f>
        <v/>
      </c>
      <c r="K11" s="1" t="inlineStr">
        <is>
          <t>2025-06</t>
        </is>
      </c>
      <c r="L11" s="1" t="n">
        <v>0</v>
      </c>
      <c r="M11" s="1" t="inlineStr">
        <is>
          <t>4010</t>
        </is>
      </c>
      <c r="N11" s="1" t="inlineStr">
        <is>
          <t>Paid</t>
        </is>
      </c>
      <c r="O11" s="1" t="inlineStr">
        <is>
          <t>PO-KPP-2628</t>
        </is>
      </c>
    </row>
    <row r="12">
      <c r="A12" s="1" t="inlineStr">
        <is>
          <t>INV-2025-20011</t>
        </is>
      </c>
      <c r="B12" s="2" t="n">
        <v>45835</v>
      </c>
      <c r="C12" s="1" t="inlineStr">
        <is>
          <t>Tamarack Electronics</t>
        </is>
      </c>
      <c r="D12" s="1" t="inlineStr">
        <is>
          <t>TCE-MSA-2025-53</t>
        </is>
      </c>
      <c r="E12" s="1" t="inlineStr">
        <is>
          <t>Safety scanner retrofit kit</t>
        </is>
      </c>
      <c r="F12" s="1" t="n">
        <v>4</v>
      </c>
      <c r="G12" s="1" t="n">
        <v>7250</v>
      </c>
      <c r="H12" s="1">
        <f>F12*G12</f>
        <v/>
      </c>
      <c r="I12" s="1" t="n">
        <v>0.0475</v>
      </c>
      <c r="J12" s="1">
        <f>ROUND(H12*I12,2)</f>
        <v/>
      </c>
      <c r="K12" s="1" t="inlineStr">
        <is>
          <t>2025-07</t>
        </is>
      </c>
      <c r="L12" s="1" t="n">
        <v>0</v>
      </c>
      <c r="M12" s="1" t="inlineStr">
        <is>
          <t>4010</t>
        </is>
      </c>
      <c r="N12" s="1" t="inlineStr">
        <is>
          <t>Credit issued</t>
        </is>
      </c>
      <c r="O12" s="1" t="inlineStr">
        <is>
          <t>PO-TCE-9811</t>
        </is>
      </c>
    </row>
    <row r="13">
      <c r="A13" s="1" t="inlineStr">
        <is>
          <t>INV-2025-20012</t>
        </is>
      </c>
      <c r="B13" s="2" t="n">
        <v>45770</v>
      </c>
      <c r="C13" s="1" t="inlineStr">
        <is>
          <t>Alderbrook Textiles</t>
        </is>
      </c>
      <c r="D13" s="1" t="inlineStr">
        <is>
          <t>ABT-MSA-2023-61</t>
        </is>
      </c>
      <c r="E13" s="1" t="inlineStr">
        <is>
          <t>Deployment and commissioning services</t>
        </is>
      </c>
      <c r="F13" s="1" t="n">
        <v>37</v>
      </c>
      <c r="G13" s="1" t="n">
        <v>1147</v>
      </c>
      <c r="H13" s="1">
        <f>F13*G13</f>
        <v/>
      </c>
      <c r="I13" s="1" t="n">
        <v>0.06</v>
      </c>
      <c r="J13" s="1">
        <f>ROUND(H13*I13,2)</f>
        <v/>
      </c>
      <c r="K13" s="1" t="inlineStr">
        <is>
          <t>2025-05</t>
        </is>
      </c>
      <c r="L13" s="1" t="n">
        <v>8487.799999999999</v>
      </c>
      <c r="M13" s="1" t="inlineStr">
        <is>
          <t>4030</t>
        </is>
      </c>
      <c r="N13" s="1" t="inlineStr">
        <is>
          <t>Paid</t>
        </is>
      </c>
      <c r="O13" s="1" t="inlineStr">
        <is>
          <t>PO-ABT-8552</t>
        </is>
      </c>
    </row>
    <row r="14">
      <c r="A14" s="1" t="inlineStr">
        <is>
          <t>INV-2025-20013</t>
        </is>
      </c>
      <c r="B14" s="2" t="n">
        <v>45807</v>
      </c>
      <c r="C14" s="1" t="inlineStr">
        <is>
          <t>Blue Mesa Components</t>
        </is>
      </c>
      <c r="D14" s="1" t="inlineStr">
        <is>
          <t>BMC-MSA-2022-79</t>
        </is>
      </c>
      <c r="E14" s="1" t="inlineStr">
        <is>
          <t>Remote operations desk coverage</t>
        </is>
      </c>
      <c r="F14" s="1" t="n">
        <v>2</v>
      </c>
      <c r="G14" s="1" t="n">
        <v>12600</v>
      </c>
      <c r="H14" s="1">
        <f>F14*G14</f>
        <v/>
      </c>
      <c r="I14" s="1" t="n">
        <v>0.065</v>
      </c>
      <c r="J14" s="1">
        <f>ROUND(H14*I14,2)</f>
        <v/>
      </c>
      <c r="K14" s="1" t="inlineStr">
        <is>
          <t>2025-06</t>
        </is>
      </c>
      <c r="L14" s="1" t="n">
        <v>20160</v>
      </c>
      <c r="M14" s="1" t="inlineStr">
        <is>
          <t>4020</t>
        </is>
      </c>
      <c r="N14" s="1" t="inlineStr">
        <is>
          <t>Open</t>
        </is>
      </c>
      <c r="O14" s="1" t="inlineStr">
        <is>
          <t>PO-BMC-6667</t>
        </is>
      </c>
    </row>
    <row r="15">
      <c r="A15" s="1" t="inlineStr">
        <is>
          <t>INV-2025-20014</t>
        </is>
      </c>
      <c r="B15" s="2" t="n">
        <v>45811</v>
      </c>
      <c r="C15" s="1" t="inlineStr">
        <is>
          <t>Vantage Robotics Supply</t>
        </is>
      </c>
      <c r="D15" s="1" t="inlineStr">
        <is>
          <t>VRS-MSA-2024-14</t>
        </is>
      </c>
      <c r="E15" s="1" t="inlineStr">
        <is>
          <t>Safety scanner retrofit kit</t>
        </is>
      </c>
      <c r="F15" s="1" t="n">
        <v>1</v>
      </c>
      <c r="G15" s="1" t="n">
        <v>5850</v>
      </c>
      <c r="H15" s="1">
        <f>F15*G15</f>
        <v/>
      </c>
      <c r="I15" s="1" t="n">
        <v>0.09</v>
      </c>
      <c r="J15" s="1">
        <f>ROUND(H15*I15,2)</f>
        <v/>
      </c>
      <c r="K15" s="1" t="inlineStr">
        <is>
          <t>2025-07</t>
        </is>
      </c>
      <c r="L15" s="1" t="n">
        <v>0</v>
      </c>
      <c r="M15" s="1" t="inlineStr">
        <is>
          <t>4010</t>
        </is>
      </c>
      <c r="N15" s="1" t="inlineStr">
        <is>
          <t>Written off</t>
        </is>
      </c>
      <c r="O15" s="1" t="inlineStr">
        <is>
          <t>PO-VRS-9724</t>
        </is>
      </c>
    </row>
    <row r="16">
      <c r="A16" s="1" t="inlineStr">
        <is>
          <t>INV-2025-20015</t>
        </is>
      </c>
      <c r="B16" s="2" t="n">
        <v>45776</v>
      </c>
      <c r="C16" s="1" t="inlineStr">
        <is>
          <t>Dunbar Industrial</t>
        </is>
      </c>
      <c r="D16" s="1" t="inlineStr">
        <is>
          <t>DBI-MSA-2024-69</t>
        </is>
      </c>
      <c r="E16" s="1" t="inlineStr">
        <is>
          <t>Deployment and commissioning services</t>
        </is>
      </c>
      <c r="F16" s="1" t="n">
        <v>30</v>
      </c>
      <c r="G16" s="1" t="n">
        <v>1350</v>
      </c>
      <c r="H16" s="1">
        <f>F16*G16</f>
        <v/>
      </c>
      <c r="I16" s="1" t="n">
        <v>0.09</v>
      </c>
      <c r="J16" s="1">
        <f>ROUND(H16*I16,2)</f>
        <v/>
      </c>
      <c r="K16" s="1" t="inlineStr">
        <is>
          <t>2025-05</t>
        </is>
      </c>
      <c r="L16" s="1" t="n">
        <v>0</v>
      </c>
      <c r="M16" s="1" t="inlineStr">
        <is>
          <t>4030</t>
        </is>
      </c>
      <c r="N16" s="1" t="inlineStr">
        <is>
          <t>Partially paid</t>
        </is>
      </c>
      <c r="O16" s="1" t="inlineStr">
        <is>
          <t>PO-DBI-4271</t>
        </is>
      </c>
    </row>
    <row r="17">
      <c r="A17" s="1" t="inlineStr">
        <is>
          <t>INV-2025-20016</t>
        </is>
      </c>
      <c r="B17" s="2" t="n">
        <v>45807</v>
      </c>
      <c r="C17" s="1" t="inlineStr">
        <is>
          <t>Crestline Fulfillment</t>
        </is>
      </c>
      <c r="D17" s="1" t="inlineStr">
        <is>
          <t>CFF-MSA-2024-22</t>
        </is>
      </c>
      <c r="E17" s="1" t="inlineStr">
        <is>
          <t>Remote operations desk coverage</t>
        </is>
      </c>
      <c r="F17" s="1" t="n">
        <v>3</v>
      </c>
      <c r="G17" s="1" t="n">
        <v>11700</v>
      </c>
      <c r="H17" s="1">
        <f>F17*G17</f>
        <v/>
      </c>
      <c r="I17" s="1" t="n">
        <v>0.0475</v>
      </c>
      <c r="J17" s="1">
        <f>ROUND(H17*I17,2)</f>
        <v/>
      </c>
      <c r="K17" s="1" t="inlineStr">
        <is>
          <t>2025-06</t>
        </is>
      </c>
      <c r="L17" s="1" t="n">
        <v>21762</v>
      </c>
      <c r="M17" s="1" t="inlineStr">
        <is>
          <t>4020</t>
        </is>
      </c>
      <c r="N17" s="1" t="inlineStr">
        <is>
          <t>Disputed</t>
        </is>
      </c>
      <c r="O17" s="1" t="inlineStr">
        <is>
          <t>PO-CFF-8066</t>
        </is>
      </c>
    </row>
    <row r="18">
      <c r="A18" s="1" t="inlineStr">
        <is>
          <t>INV-2025-20017</t>
        </is>
      </c>
      <c r="B18" s="2" t="n">
        <v>45838</v>
      </c>
      <c r="C18" s="1" t="inlineStr">
        <is>
          <t>Pioneer Freight Union</t>
        </is>
      </c>
      <c r="D18" s="1" t="inlineStr">
        <is>
          <t>PFU-MSA-2022-62</t>
        </is>
      </c>
      <c r="E18" s="1" t="inlineStr">
        <is>
          <t>Telemetry retention tier, extended</t>
        </is>
      </c>
      <c r="F18" s="1" t="n">
        <v>4</v>
      </c>
      <c r="G18" s="1" t="n">
        <v>24500</v>
      </c>
      <c r="H18" s="1">
        <f>F18*G18</f>
        <v/>
      </c>
      <c r="I18" s="1" t="n">
        <v>0</v>
      </c>
      <c r="J18" s="1">
        <f>ROUND(H18*I18,2)</f>
        <v/>
      </c>
      <c r="K18" s="1" t="inlineStr">
        <is>
          <t>2025-07</t>
        </is>
      </c>
      <c r="L18" s="1" t="n">
        <v>71540</v>
      </c>
      <c r="M18" s="1" t="inlineStr">
        <is>
          <t>4020</t>
        </is>
      </c>
      <c r="N18" s="1" t="inlineStr">
        <is>
          <t>Open</t>
        </is>
      </c>
      <c r="O18" s="1" t="inlineStr">
        <is>
          <t>PO-PFU-4381</t>
        </is>
      </c>
    </row>
    <row r="19">
      <c r="A19" s="1" t="inlineStr">
        <is>
          <t>INV-2025-20018</t>
        </is>
      </c>
      <c r="B19" s="2" t="n">
        <v>45776</v>
      </c>
      <c r="C19" s="1" t="inlineStr">
        <is>
          <t>Yarrow Home Goods</t>
        </is>
      </c>
      <c r="D19" s="1" t="inlineStr">
        <is>
          <t>YHG-MSA-2024-35</t>
        </is>
      </c>
      <c r="E19" s="1" t="inlineStr">
        <is>
          <t>Opportunity charging dock</t>
        </is>
      </c>
      <c r="F19" s="1" t="n">
        <v>10</v>
      </c>
      <c r="G19" s="1" t="n">
        <v>11300</v>
      </c>
      <c r="H19" s="1">
        <f>F19*G19</f>
        <v/>
      </c>
      <c r="I19" s="1" t="n">
        <v>0.07000000000000001</v>
      </c>
      <c r="J19" s="1">
        <f>ROUND(H19*I19,2)</f>
        <v/>
      </c>
      <c r="K19" s="1" t="inlineStr">
        <is>
          <t>2025-05</t>
        </is>
      </c>
      <c r="L19" s="1" t="n">
        <v>0</v>
      </c>
      <c r="M19" s="1" t="inlineStr">
        <is>
          <t>4010</t>
        </is>
      </c>
      <c r="N19" s="1" t="inlineStr">
        <is>
          <t>Written off</t>
        </is>
      </c>
      <c r="O19" s="1" t="inlineStr">
        <is>
          <t>PO-YHG-1065</t>
        </is>
      </c>
    </row>
    <row r="20">
      <c r="A20" s="1" t="inlineStr">
        <is>
          <t>INV-2025-20019</t>
        </is>
      </c>
      <c r="B20" s="2" t="n">
        <v>45806</v>
      </c>
      <c r="C20" s="1" t="inlineStr">
        <is>
          <t>Dorsey Grain Cooperative</t>
        </is>
      </c>
      <c r="D20" s="1" t="inlineStr">
        <is>
          <t>DGC-MSA-2025-82</t>
        </is>
      </c>
      <c r="E20" s="1" t="inlineStr">
        <is>
          <t>Opportunity charging dock</t>
        </is>
      </c>
      <c r="F20" s="1" t="n">
        <v>7</v>
      </c>
      <c r="G20" s="1" t="n">
        <v>11550</v>
      </c>
      <c r="H20" s="1">
        <f>F20*G20</f>
        <v/>
      </c>
      <c r="I20" s="1" t="n">
        <v>0.0825</v>
      </c>
      <c r="J20" s="1">
        <f>ROUND(H20*I20,2)</f>
        <v/>
      </c>
      <c r="K20" s="1" t="inlineStr">
        <is>
          <t>2025-06</t>
        </is>
      </c>
      <c r="L20" s="1" t="n">
        <v>0</v>
      </c>
      <c r="M20" s="1" t="inlineStr">
        <is>
          <t>4010</t>
        </is>
      </c>
      <c r="N20" s="1" t="inlineStr">
        <is>
          <t>Paid</t>
        </is>
      </c>
      <c r="O20" s="1" t="inlineStr">
        <is>
          <t>PO-DGC-2157</t>
        </is>
      </c>
    </row>
    <row r="21">
      <c r="A21" s="1" t="inlineStr">
        <is>
          <t>INV-2025-20020</t>
        </is>
      </c>
      <c r="B21" s="2" t="n">
        <v>45821</v>
      </c>
      <c r="C21" s="1" t="inlineStr">
        <is>
          <t>Blue Mesa Components</t>
        </is>
      </c>
      <c r="D21" s="1" t="inlineStr">
        <is>
          <t>BMC-MSA-2022-87</t>
        </is>
      </c>
      <c r="E21" s="1" t="inlineStr">
        <is>
          <t>Operator training programme</t>
        </is>
      </c>
      <c r="F21" s="1" t="n">
        <v>2</v>
      </c>
      <c r="G21" s="1" t="n">
        <v>2604</v>
      </c>
      <c r="H21" s="1">
        <f>F21*G21</f>
        <v/>
      </c>
      <c r="I21" s="1" t="n">
        <v>0.065</v>
      </c>
      <c r="J21" s="1">
        <f>ROUND(H21*I21,2)</f>
        <v/>
      </c>
      <c r="K21" s="1" t="inlineStr">
        <is>
          <t>2025-07</t>
        </is>
      </c>
      <c r="L21" s="1" t="n">
        <v>885.36</v>
      </c>
      <c r="M21" s="1" t="inlineStr">
        <is>
          <t>4030</t>
        </is>
      </c>
      <c r="N21" s="1" t="inlineStr">
        <is>
          <t>Disputed</t>
        </is>
      </c>
      <c r="O21" s="1" t="inlineStr">
        <is>
          <t>PO-BMC-3521</t>
        </is>
      </c>
    </row>
    <row r="22">
      <c r="A22" s="1" t="inlineStr">
        <is>
          <t>INV-2025-20021</t>
        </is>
      </c>
      <c r="B22" s="2" t="n">
        <v>45777</v>
      </c>
      <c r="C22" s="1" t="inlineStr">
        <is>
          <t>Pioneer Freight Union</t>
        </is>
      </c>
      <c r="D22" s="1" t="inlineStr">
        <is>
          <t>PFU-MSA-2022-47</t>
        </is>
      </c>
      <c r="E22" s="1" t="inlineStr">
        <is>
          <t>Warehouse management system connector</t>
        </is>
      </c>
      <c r="F22" s="1" t="n">
        <v>4</v>
      </c>
      <c r="G22" s="1" t="n">
        <v>38400</v>
      </c>
      <c r="H22" s="1">
        <f>F22*G22</f>
        <v/>
      </c>
      <c r="I22" s="1" t="n">
        <v>0</v>
      </c>
      <c r="J22" s="1">
        <f>ROUND(H22*I22,2)</f>
        <v/>
      </c>
      <c r="K22" s="1" t="inlineStr">
        <is>
          <t>2025-05</t>
        </is>
      </c>
      <c r="L22" s="1" t="n">
        <v>24576</v>
      </c>
      <c r="M22" s="1" t="inlineStr">
        <is>
          <t>4030</t>
        </is>
      </c>
      <c r="N22" s="1" t="inlineStr">
        <is>
          <t>Partially paid</t>
        </is>
      </c>
      <c r="O22" s="1" t="inlineStr">
        <is>
          <t>PO-PFU-4054</t>
        </is>
      </c>
    </row>
    <row r="23">
      <c r="A23" s="1" t="inlineStr">
        <is>
          <t>INV-2025-20022</t>
        </is>
      </c>
      <c r="B23" s="2" t="n">
        <v>45807</v>
      </c>
      <c r="C23" s="1" t="inlineStr">
        <is>
          <t>Bellweather Auto Group</t>
        </is>
      </c>
      <c r="D23" s="1" t="inlineStr">
        <is>
          <t>BWA-MSA-2023-27</t>
        </is>
      </c>
      <c r="E23" s="1" t="inlineStr">
        <is>
          <t>Autonomous mobile robot, 220 kg payload</t>
        </is>
      </c>
      <c r="F23" s="1" t="n">
        <v>1</v>
      </c>
      <c r="G23" s="1" t="n">
        <v>39300</v>
      </c>
      <c r="H23" s="1">
        <f>F23*G23</f>
        <v/>
      </c>
      <c r="I23" s="1" t="n">
        <v>0.0825</v>
      </c>
      <c r="J23" s="1">
        <f>ROUND(H23*I23,2)</f>
        <v/>
      </c>
      <c r="K23" s="1" t="inlineStr">
        <is>
          <t>2025-06</t>
        </is>
      </c>
      <c r="L23" s="1" t="n">
        <v>0</v>
      </c>
      <c r="M23" s="1" t="inlineStr">
        <is>
          <t>4010</t>
        </is>
      </c>
      <c r="N23" s="1" t="inlineStr">
        <is>
          <t>Partially paid</t>
        </is>
      </c>
      <c r="O23" s="1" t="inlineStr">
        <is>
          <t>PO-BWA-1222</t>
        </is>
      </c>
    </row>
    <row r="24">
      <c r="A24" s="1" t="inlineStr">
        <is>
          <t>INV-2025-20023</t>
        </is>
      </c>
      <c r="B24" s="2" t="n">
        <v>45838</v>
      </c>
      <c r="C24" s="1" t="inlineStr">
        <is>
          <t>Juniper Health Supply</t>
        </is>
      </c>
      <c r="D24" s="1" t="inlineStr">
        <is>
          <t>JHS-MSA-2024-14</t>
        </is>
      </c>
      <c r="E24" s="1" t="inlineStr">
        <is>
          <t>Fleet orchestration platform, annual site licence</t>
        </is>
      </c>
      <c r="F24" s="1" t="n">
        <v>1</v>
      </c>
      <c r="G24" s="1" t="n">
        <v>95500</v>
      </c>
      <c r="H24" s="1">
        <f>F24*G24</f>
        <v/>
      </c>
      <c r="I24" s="1" t="n">
        <v>0.06</v>
      </c>
      <c r="J24" s="1">
        <f>ROUND(H24*I24,2)</f>
        <v/>
      </c>
      <c r="K24" s="1" t="inlineStr">
        <is>
          <t>2025-07</t>
        </is>
      </c>
      <c r="L24" s="1" t="n">
        <v>79265</v>
      </c>
      <c r="M24" s="1" t="inlineStr">
        <is>
          <t>4020</t>
        </is>
      </c>
      <c r="N24" s="1" t="inlineStr">
        <is>
          <t>Written off</t>
        </is>
      </c>
      <c r="O24" s="1" t="inlineStr">
        <is>
          <t>PO-JHS-2404</t>
        </is>
      </c>
    </row>
    <row r="25">
      <c r="A25" s="1" t="inlineStr">
        <is>
          <t>INV-2025-20024</t>
        </is>
      </c>
      <c r="B25" s="2" t="n">
        <v>45751</v>
      </c>
      <c r="C25" s="1" t="inlineStr">
        <is>
          <t>Redwood Optics</t>
        </is>
      </c>
      <c r="D25" s="1" t="inlineStr">
        <is>
          <t>RWO-MSA-2024-11</t>
        </is>
      </c>
      <c r="E25" s="1" t="inlineStr">
        <is>
          <t>Autonomous mobile robot, 450 kg payload</t>
        </is>
      </c>
      <c r="F25" s="1" t="n">
        <v>10</v>
      </c>
      <c r="G25" s="1" t="n">
        <v>66200</v>
      </c>
      <c r="H25" s="1">
        <f>F25*G25</f>
        <v/>
      </c>
      <c r="I25" s="1" t="n">
        <v>0.0825</v>
      </c>
      <c r="J25" s="1">
        <f>ROUND(H25*I25,2)</f>
        <v/>
      </c>
      <c r="K25" s="1" t="inlineStr">
        <is>
          <t>2025-05</t>
        </is>
      </c>
      <c r="L25" s="1" t="n">
        <v>0</v>
      </c>
      <c r="M25" s="1" t="inlineStr">
        <is>
          <t>4010</t>
        </is>
      </c>
      <c r="N25" s="1" t="inlineStr">
        <is>
          <t>Paid</t>
        </is>
      </c>
      <c r="O25" s="1" t="inlineStr">
        <is>
          <t>PO-RWO-1887</t>
        </is>
      </c>
    </row>
    <row r="26">
      <c r="A26" s="1" t="inlineStr">
        <is>
          <t>INV-2025-20025</t>
        </is>
      </c>
      <c r="B26" s="2" t="n">
        <v>45807</v>
      </c>
      <c r="C26" s="1" t="inlineStr">
        <is>
          <t>Evergreen Warehousing</t>
        </is>
      </c>
      <c r="D26" s="1" t="inlineStr">
        <is>
          <t>EVW-MSA-2024-12</t>
        </is>
      </c>
      <c r="E26" s="1" t="inlineStr">
        <is>
          <t>Fleet orchestration expansion pack, per robot</t>
        </is>
      </c>
      <c r="F26" s="1" t="n">
        <v>114</v>
      </c>
      <c r="G26" s="1" t="n">
        <v>3150</v>
      </c>
      <c r="H26" s="1">
        <f>F26*G26</f>
        <v/>
      </c>
      <c r="I26" s="1" t="n">
        <v>0</v>
      </c>
      <c r="J26" s="1">
        <f>ROUND(H26*I26,2)</f>
        <v/>
      </c>
      <c r="K26" s="1" t="inlineStr">
        <is>
          <t>2025-06</t>
        </is>
      </c>
      <c r="L26" s="1" t="n">
        <v>280098</v>
      </c>
      <c r="M26" s="1" t="inlineStr">
        <is>
          <t>4020</t>
        </is>
      </c>
      <c r="N26" s="1" t="inlineStr">
        <is>
          <t>Disputed</t>
        </is>
      </c>
      <c r="O26" s="1" t="inlineStr">
        <is>
          <t>PO-EVW-7999</t>
        </is>
      </c>
    </row>
    <row r="27">
      <c r="A27" s="1" t="inlineStr">
        <is>
          <t>INV-2025-20026</t>
        </is>
      </c>
      <c r="B27" s="2" t="n">
        <v>45835</v>
      </c>
      <c r="C27" s="1" t="inlineStr">
        <is>
          <t>Ironvale Grocery Group</t>
        </is>
      </c>
      <c r="D27" s="1" t="inlineStr">
        <is>
          <t>IVG-MSA-2025-84</t>
        </is>
      </c>
      <c r="E27" s="1" t="inlineStr">
        <is>
          <t>Autonomous mobile robot, 450 kg payload</t>
        </is>
      </c>
      <c r="F27" s="1" t="n">
        <v>12</v>
      </c>
      <c r="G27" s="1" t="n">
        <v>66200</v>
      </c>
      <c r="H27" s="1">
        <f>F27*G27</f>
        <v/>
      </c>
      <c r="I27" s="1" t="n">
        <v>0.09</v>
      </c>
      <c r="J27" s="1">
        <f>ROUND(H27*I27,2)</f>
        <v/>
      </c>
      <c r="K27" s="1" t="inlineStr">
        <is>
          <t>2025-07</t>
        </is>
      </c>
      <c r="L27" s="1" t="n">
        <v>0</v>
      </c>
      <c r="M27" s="1" t="inlineStr">
        <is>
          <t>4010</t>
        </is>
      </c>
      <c r="N27" s="1" t="inlineStr">
        <is>
          <t>Paid</t>
        </is>
      </c>
      <c r="O27" s="1" t="inlineStr">
        <is>
          <t>PO-IVG-5459</t>
        </is>
      </c>
    </row>
    <row r="28">
      <c r="A28" s="1" t="inlineStr">
        <is>
          <t>INV-2025-20027</t>
        </is>
      </c>
      <c r="B28" s="2" t="n">
        <v>45777</v>
      </c>
      <c r="C28" s="1" t="inlineStr">
        <is>
          <t>Meridian Dynamics</t>
        </is>
      </c>
      <c r="D28" s="1" t="inlineStr">
        <is>
          <t>MDY-MSA-2023-69</t>
        </is>
      </c>
      <c r="E28" s="1" t="inlineStr">
        <is>
          <t>Remote operations desk coverage</t>
        </is>
      </c>
      <c r="F28" s="1" t="n">
        <v>1</v>
      </c>
      <c r="G28" s="1" t="n">
        <v>11700</v>
      </c>
      <c r="H28" s="1">
        <f>F28*G28</f>
        <v/>
      </c>
      <c r="I28" s="1" t="n">
        <v>0.09</v>
      </c>
      <c r="J28" s="1">
        <f>ROUND(H28*I28,2)</f>
        <v/>
      </c>
      <c r="K28" s="1" t="inlineStr">
        <is>
          <t>2025-05</t>
        </is>
      </c>
      <c r="L28" s="1" t="n">
        <v>9711</v>
      </c>
      <c r="M28" s="1" t="inlineStr">
        <is>
          <t>4020</t>
        </is>
      </c>
      <c r="N28" s="1" t="inlineStr">
        <is>
          <t>Paid</t>
        </is>
      </c>
      <c r="O28" s="1" t="inlineStr">
        <is>
          <t>PO-MDY-4415</t>
        </is>
      </c>
    </row>
    <row r="29">
      <c r="A29" s="1" t="inlineStr">
        <is>
          <t>INV-2025-20028</t>
        </is>
      </c>
      <c r="B29" s="2" t="n">
        <v>45807</v>
      </c>
      <c r="C29" s="1" t="inlineStr">
        <is>
          <t>Westlake Chemical Depot</t>
        </is>
      </c>
      <c r="D29" s="1" t="inlineStr">
        <is>
          <t>WCD-MSA-2023-45</t>
        </is>
      </c>
      <c r="E29" s="1" t="inlineStr">
        <is>
          <t>Remote operations desk coverage</t>
        </is>
      </c>
      <c r="F29" s="1" t="n">
        <v>3</v>
      </c>
      <c r="G29" s="1" t="n">
        <v>11200</v>
      </c>
      <c r="H29" s="1">
        <f>F29*G29</f>
        <v/>
      </c>
      <c r="I29" s="1" t="n">
        <v>0.07000000000000001</v>
      </c>
      <c r="J29" s="1">
        <f>ROUND(H29*I29,2)</f>
        <v/>
      </c>
      <c r="K29" s="1" t="inlineStr">
        <is>
          <t>2025-06</t>
        </is>
      </c>
      <c r="L29" s="1" t="n">
        <v>21168</v>
      </c>
      <c r="M29" s="1" t="inlineStr">
        <is>
          <t>4020</t>
        </is>
      </c>
      <c r="N29" s="1" t="inlineStr">
        <is>
          <t>Written off</t>
        </is>
      </c>
      <c r="O29" s="1" t="inlineStr">
        <is>
          <t>PO-WCD-3508</t>
        </is>
      </c>
    </row>
    <row r="30">
      <c r="A30" s="1" t="inlineStr">
        <is>
          <t>INV-2025-20029</t>
        </is>
      </c>
      <c r="B30" s="2" t="n">
        <v>45838</v>
      </c>
      <c r="C30" s="1" t="inlineStr">
        <is>
          <t>Summit Ridge Retail</t>
        </is>
      </c>
      <c r="D30" s="1" t="inlineStr">
        <is>
          <t>SRR-MSA-2023-25</t>
        </is>
      </c>
      <c r="E30" s="1" t="inlineStr">
        <is>
          <t>Remote operations desk coverage</t>
        </is>
      </c>
      <c r="F30" s="1" t="n">
        <v>3</v>
      </c>
      <c r="G30" s="1" t="n">
        <v>11700</v>
      </c>
      <c r="H30" s="1">
        <f>F30*G30</f>
        <v/>
      </c>
      <c r="I30" s="1" t="n">
        <v>0.06</v>
      </c>
      <c r="J30" s="1">
        <f>ROUND(H30*I30,2)</f>
        <v/>
      </c>
      <c r="K30" s="1" t="inlineStr">
        <is>
          <t>2025-07</t>
        </is>
      </c>
      <c r="L30" s="1" t="n">
        <v>29484</v>
      </c>
      <c r="M30" s="1" t="inlineStr">
        <is>
          <t>4020</t>
        </is>
      </c>
      <c r="N30" s="1" t="inlineStr">
        <is>
          <t>Paid</t>
        </is>
      </c>
      <c r="O30" s="1" t="inlineStr">
        <is>
          <t>PO-SRR-6417</t>
        </is>
      </c>
    </row>
    <row r="31">
      <c r="A31" s="1" t="inlineStr">
        <is>
          <t>INV-2025-20030</t>
        </is>
      </c>
      <c r="B31" s="2" t="n">
        <v>45775</v>
      </c>
      <c r="C31" s="1" t="inlineStr">
        <is>
          <t>Crestline Fulfillment</t>
        </is>
      </c>
      <c r="D31" s="1" t="inlineStr">
        <is>
          <t>CFF-MSA-2024-63</t>
        </is>
      </c>
      <c r="E31" s="1" t="inlineStr">
        <is>
          <t>Premium support and spares pool</t>
        </is>
      </c>
      <c r="F31" s="1" t="n">
        <v>2</v>
      </c>
      <c r="G31" s="1" t="n">
        <v>56400</v>
      </c>
      <c r="H31" s="1">
        <f>F31*G31</f>
        <v/>
      </c>
      <c r="I31" s="1" t="n">
        <v>0</v>
      </c>
      <c r="J31" s="1">
        <f>ROUND(H31*I31,2)</f>
        <v/>
      </c>
      <c r="K31" s="1" t="inlineStr">
        <is>
          <t>2025-05</t>
        </is>
      </c>
      <c r="L31" s="1" t="n">
        <v>92496</v>
      </c>
      <c r="M31" s="1" t="inlineStr">
        <is>
          <t>4020</t>
        </is>
      </c>
      <c r="N31" s="1" t="inlineStr">
        <is>
          <t>Credit issued</t>
        </is>
      </c>
      <c r="O31" s="1" t="inlineStr">
        <is>
          <t>PO-CFF-5293</t>
        </is>
      </c>
    </row>
    <row r="32">
      <c r="A32" s="1" t="inlineStr">
        <is>
          <t>INV-2025-20031</t>
        </is>
      </c>
      <c r="B32" s="2" t="n">
        <v>45807</v>
      </c>
      <c r="C32" s="1" t="inlineStr">
        <is>
          <t>Crestline Fulfillment</t>
        </is>
      </c>
      <c r="D32" s="1" t="inlineStr">
        <is>
          <t>CFF-MSA-2025-85</t>
        </is>
      </c>
      <c r="E32" s="1" t="inlineStr">
        <is>
          <t>Fleet orchestration platform, annual site licence</t>
        </is>
      </c>
      <c r="F32" s="1" t="n">
        <v>4</v>
      </c>
      <c r="G32" s="1" t="n">
        <v>96000</v>
      </c>
      <c r="H32" s="1">
        <f>F32*G32</f>
        <v/>
      </c>
      <c r="I32" s="1" t="n">
        <v>0.06</v>
      </c>
      <c r="J32" s="1">
        <f>ROUND(H32*I32,2)</f>
        <v/>
      </c>
      <c r="K32" s="1" t="inlineStr">
        <is>
          <t>2025-06</t>
        </is>
      </c>
      <c r="L32" s="1" t="n">
        <v>226560</v>
      </c>
      <c r="M32" s="1" t="inlineStr">
        <is>
          <t>4020</t>
        </is>
      </c>
      <c r="N32" s="1" t="inlineStr">
        <is>
          <t>Paid</t>
        </is>
      </c>
      <c r="O32" s="1" t="inlineStr">
        <is>
          <t>PO-CFF-7475</t>
        </is>
      </c>
    </row>
    <row r="33">
      <c r="A33" s="1" t="inlineStr">
        <is>
          <t>INV-2025-20032</t>
        </is>
      </c>
      <c r="B33" s="2" t="n">
        <v>45827</v>
      </c>
      <c r="C33" s="1" t="inlineStr">
        <is>
          <t>Granite Peak Distribution</t>
        </is>
      </c>
      <c r="D33" s="1" t="inlineStr">
        <is>
          <t>GPD-MSA-2025-43</t>
        </is>
      </c>
      <c r="E33" s="1" t="inlineStr">
        <is>
          <t>Deployment and commissioning services</t>
        </is>
      </c>
      <c r="F33" s="1" t="n">
        <v>26</v>
      </c>
      <c r="G33" s="1" t="n">
        <v>1147</v>
      </c>
      <c r="H33" s="1">
        <f>F33*G33</f>
        <v/>
      </c>
      <c r="I33" s="1" t="n">
        <v>0.09</v>
      </c>
      <c r="J33" s="1">
        <f>ROUND(H33*I33,2)</f>
        <v/>
      </c>
      <c r="K33" s="1" t="inlineStr">
        <is>
          <t>2025-07</t>
        </is>
      </c>
      <c r="L33" s="1" t="n">
        <v>4473.3</v>
      </c>
      <c r="M33" s="1" t="inlineStr">
        <is>
          <t>4030</t>
        </is>
      </c>
      <c r="N33" s="1" t="inlineStr">
        <is>
          <t>Partially paid</t>
        </is>
      </c>
      <c r="O33" s="1" t="inlineStr">
        <is>
          <t>PO-GPD-9557</t>
        </is>
      </c>
    </row>
    <row r="34">
      <c r="A34" s="1" t="inlineStr">
        <is>
          <t>INV-2025-20033</t>
        </is>
      </c>
      <c r="B34" s="2" t="n">
        <v>45775</v>
      </c>
      <c r="C34" s="1" t="inlineStr">
        <is>
          <t>Granite Peak Distribution</t>
        </is>
      </c>
      <c r="D34" s="1" t="inlineStr">
        <is>
          <t>GPD-MSA-2022-24</t>
        </is>
      </c>
      <c r="E34" s="1" t="inlineStr">
        <is>
          <t>Safety scanner retrofit kit</t>
        </is>
      </c>
      <c r="F34" s="1" t="n">
        <v>3</v>
      </c>
      <c r="G34" s="1" t="n">
        <v>7250</v>
      </c>
      <c r="H34" s="1">
        <f>F34*G34</f>
        <v/>
      </c>
      <c r="I34" s="1" t="n">
        <v>0.06</v>
      </c>
      <c r="J34" s="1">
        <f>ROUND(H34*I34,2)</f>
        <v/>
      </c>
      <c r="K34" s="1" t="inlineStr">
        <is>
          <t>2025-05</t>
        </is>
      </c>
      <c r="L34" s="1" t="n">
        <v>0</v>
      </c>
      <c r="M34" s="1" t="inlineStr">
        <is>
          <t>4010</t>
        </is>
      </c>
      <c r="N34" s="1" t="inlineStr">
        <is>
          <t>Disputed</t>
        </is>
      </c>
      <c r="O34" s="1" t="inlineStr">
        <is>
          <t>PO-GPD-5472</t>
        </is>
      </c>
    </row>
    <row r="35">
      <c r="A35" s="1" t="inlineStr">
        <is>
          <t>INV-2025-20034</t>
        </is>
      </c>
      <c r="B35" s="2" t="n">
        <v>45806</v>
      </c>
      <c r="C35" s="1" t="inlineStr">
        <is>
          <t>Asterion Logistics</t>
        </is>
      </c>
      <c r="D35" s="1" t="inlineStr">
        <is>
          <t>AST-MSA-2022-20</t>
        </is>
      </c>
      <c r="E35" s="1" t="inlineStr">
        <is>
          <t>Telemetry retention tier, extended</t>
        </is>
      </c>
      <c r="F35" s="1" t="n">
        <v>2</v>
      </c>
      <c r="G35" s="1" t="n">
        <v>24500</v>
      </c>
      <c r="H35" s="1">
        <f>F35*G35</f>
        <v/>
      </c>
      <c r="I35" s="1" t="n">
        <v>0</v>
      </c>
      <c r="J35" s="1">
        <f>ROUND(H35*I35,2)</f>
        <v/>
      </c>
      <c r="K35" s="1" t="inlineStr">
        <is>
          <t>2025-06</t>
        </is>
      </c>
      <c r="L35" s="1" t="n">
        <v>39690</v>
      </c>
      <c r="M35" s="1" t="inlineStr">
        <is>
          <t>4020</t>
        </is>
      </c>
      <c r="N35" s="1" t="inlineStr">
        <is>
          <t>Partially paid</t>
        </is>
      </c>
      <c r="O35" s="1" t="inlineStr">
        <is>
          <t>PO-AST-8274</t>
        </is>
      </c>
    </row>
    <row r="36">
      <c r="A36" s="1" t="inlineStr">
        <is>
          <t>INV-2025-20035</t>
        </is>
      </c>
      <c r="B36" s="2" t="n">
        <v>45807</v>
      </c>
      <c r="C36" s="1" t="inlineStr">
        <is>
          <t>Pioneer Freight Union</t>
        </is>
      </c>
      <c r="D36" s="1" t="inlineStr">
        <is>
          <t>PFU-MSA-2022-23</t>
        </is>
      </c>
      <c r="E36" s="1" t="inlineStr">
        <is>
          <t>Deployment and commissioning services</t>
        </is>
      </c>
      <c r="F36" s="1" t="n">
        <v>23</v>
      </c>
      <c r="G36" s="1" t="n">
        <v>1147</v>
      </c>
      <c r="H36" s="1">
        <f>F36*G36</f>
        <v/>
      </c>
      <c r="I36" s="1" t="n">
        <v>0.065</v>
      </c>
      <c r="J36" s="1">
        <f>ROUND(H36*I36,2)</f>
        <v/>
      </c>
      <c r="K36" s="1" t="inlineStr">
        <is>
          <t>2025-06</t>
        </is>
      </c>
      <c r="L36" s="1" t="n">
        <v>3165.72</v>
      </c>
      <c r="M36" s="1" t="inlineStr">
        <is>
          <t>4030</t>
        </is>
      </c>
      <c r="N36" s="1" t="inlineStr">
        <is>
          <t>Partially paid</t>
        </is>
      </c>
      <c r="O36" s="1" t="inlineStr">
        <is>
          <t>PO-PFU-4353</t>
        </is>
      </c>
    </row>
    <row r="37">
      <c r="A37" s="1" t="inlineStr">
        <is>
          <t>INV-2025-20036</t>
        </is>
      </c>
      <c r="B37" s="2" t="n">
        <v>45762</v>
      </c>
      <c r="C37" s="1" t="inlineStr">
        <is>
          <t>Dorsey Grain Cooperative</t>
        </is>
      </c>
      <c r="D37" s="1" t="inlineStr">
        <is>
          <t>DGC-MSA-2022-18</t>
        </is>
      </c>
      <c r="E37" s="1" t="inlineStr">
        <is>
          <t>Remote operations desk coverage</t>
        </is>
      </c>
      <c r="F37" s="1" t="n">
        <v>4</v>
      </c>
      <c r="G37" s="1" t="n">
        <v>11700</v>
      </c>
      <c r="H37" s="1">
        <f>F37*G37</f>
        <v/>
      </c>
      <c r="I37" s="1" t="n">
        <v>0.0825</v>
      </c>
      <c r="J37" s="1">
        <f>ROUND(H37*I37,2)</f>
        <v/>
      </c>
      <c r="K37" s="1" t="inlineStr">
        <is>
          <t>2025-05</t>
        </is>
      </c>
      <c r="L37" s="1" t="n">
        <v>36972</v>
      </c>
      <c r="M37" s="1" t="inlineStr">
        <is>
          <t>4020</t>
        </is>
      </c>
      <c r="N37" s="1" t="inlineStr">
        <is>
          <t>Paid</t>
        </is>
      </c>
      <c r="O37" s="1" t="inlineStr">
        <is>
          <t>PO-DGC-2899</t>
        </is>
      </c>
    </row>
    <row r="38">
      <c r="A38" s="1" t="inlineStr">
        <is>
          <t>INV-2025-20037</t>
        </is>
      </c>
      <c r="B38" s="2" t="n">
        <v>45789</v>
      </c>
      <c r="C38" s="1" t="inlineStr">
        <is>
          <t>Granite Peak Distribution</t>
        </is>
      </c>
      <c r="D38" s="1" t="inlineStr">
        <is>
          <t>GPD-MSA-2025-51</t>
        </is>
      </c>
      <c r="E38" s="1" t="inlineStr">
        <is>
          <t>Opportunity charging dock</t>
        </is>
      </c>
      <c r="F38" s="1" t="n">
        <v>2</v>
      </c>
      <c r="G38" s="1" t="n">
        <v>11800</v>
      </c>
      <c r="H38" s="1">
        <f>F38*G38</f>
        <v/>
      </c>
      <c r="I38" s="1" t="n">
        <v>0.0475</v>
      </c>
      <c r="J38" s="1">
        <f>ROUND(H38*I38,2)</f>
        <v/>
      </c>
      <c r="K38" s="1" t="inlineStr">
        <is>
          <t>2025-06</t>
        </is>
      </c>
      <c r="L38" s="1" t="n">
        <v>0</v>
      </c>
      <c r="M38" s="1" t="inlineStr">
        <is>
          <t>4010</t>
        </is>
      </c>
      <c r="N38" s="1" t="inlineStr">
        <is>
          <t>Disputed</t>
        </is>
      </c>
      <c r="O38" s="1" t="inlineStr">
        <is>
          <t>PO-GPD-3978</t>
        </is>
      </c>
    </row>
    <row r="39">
      <c r="A39" s="1" t="inlineStr">
        <is>
          <t>INV-2025-20038</t>
        </is>
      </c>
      <c r="B39" s="2" t="n">
        <v>45835</v>
      </c>
      <c r="C39" s="1" t="inlineStr">
        <is>
          <t>Union Vale Pharma</t>
        </is>
      </c>
      <c r="D39" s="1" t="inlineStr">
        <is>
          <t>UVP-MSA-2023-28</t>
        </is>
      </c>
      <c r="E39" s="1" t="inlineStr">
        <is>
          <t>Telemetry retention tier, extended</t>
        </is>
      </c>
      <c r="F39" s="1" t="n">
        <v>4</v>
      </c>
      <c r="G39" s="1" t="n">
        <v>24000</v>
      </c>
      <c r="H39" s="1">
        <f>F39*G39</f>
        <v/>
      </c>
      <c r="I39" s="1" t="n">
        <v>0.0475</v>
      </c>
      <c r="J39" s="1">
        <f>ROUND(H39*I39,2)</f>
        <v/>
      </c>
      <c r="K39" s="1" t="inlineStr">
        <is>
          <t>2025-07</t>
        </is>
      </c>
      <c r="L39" s="1" t="n">
        <v>70080</v>
      </c>
      <c r="M39" s="1" t="inlineStr">
        <is>
          <t>4020</t>
        </is>
      </c>
      <c r="N39" s="1" t="inlineStr">
        <is>
          <t>Written off</t>
        </is>
      </c>
      <c r="O39" s="1" t="inlineStr">
        <is>
          <t>PO-UVP-2266</t>
        </is>
      </c>
    </row>
    <row r="40">
      <c r="A40" s="1" t="inlineStr">
        <is>
          <t>INV-2025-20039</t>
        </is>
      </c>
      <c r="B40" s="2" t="n">
        <v>45776</v>
      </c>
      <c r="C40" s="1" t="inlineStr">
        <is>
          <t>Fathom Mobility</t>
        </is>
      </c>
      <c r="D40" s="1" t="inlineStr">
        <is>
          <t>FTM-MSA-2025-23</t>
        </is>
      </c>
      <c r="E40" s="1" t="inlineStr">
        <is>
          <t>Telemetry retention tier, extended</t>
        </is>
      </c>
      <c r="F40" s="1" t="n">
        <v>4</v>
      </c>
      <c r="G40" s="1" t="n">
        <v>24500</v>
      </c>
      <c r="H40" s="1">
        <f>F40*G40</f>
        <v/>
      </c>
      <c r="I40" s="1" t="n">
        <v>0.06</v>
      </c>
      <c r="J40" s="1">
        <f>ROUND(H40*I40,2)</f>
        <v/>
      </c>
      <c r="K40" s="1" t="inlineStr">
        <is>
          <t>2025-05</t>
        </is>
      </c>
      <c r="L40" s="1" t="n">
        <v>66640</v>
      </c>
      <c r="M40" s="1" t="inlineStr">
        <is>
          <t>4020</t>
        </is>
      </c>
      <c r="N40" s="1" t="inlineStr">
        <is>
          <t>Partially paid</t>
        </is>
      </c>
      <c r="O40" s="1" t="inlineStr">
        <is>
          <t>PO-FTM-5315</t>
        </is>
      </c>
    </row>
    <row r="41">
      <c r="A41" s="1" t="inlineStr">
        <is>
          <t>INV-2025-20040</t>
        </is>
      </c>
      <c r="B41" s="2" t="n">
        <v>45807</v>
      </c>
      <c r="C41" s="1" t="inlineStr">
        <is>
          <t>Northfield Beverage</t>
        </is>
      </c>
      <c r="D41" s="1" t="inlineStr">
        <is>
          <t>NFB-MSA-2022-45</t>
        </is>
      </c>
      <c r="E41" s="1" t="inlineStr">
        <is>
          <t>Autonomous mobile robot, 450 kg payload</t>
        </is>
      </c>
      <c r="F41" s="1" t="n">
        <v>3</v>
      </c>
      <c r="G41" s="1" t="n">
        <v>68400</v>
      </c>
      <c r="H41" s="1">
        <f>F41*G41</f>
        <v/>
      </c>
      <c r="I41" s="1" t="n">
        <v>0.07000000000000001</v>
      </c>
      <c r="J41" s="1">
        <f>ROUND(H41*I41,2)</f>
        <v/>
      </c>
      <c r="K41" s="1" t="inlineStr">
        <is>
          <t>2025-06</t>
        </is>
      </c>
      <c r="L41" s="1" t="n">
        <v>0</v>
      </c>
      <c r="M41" s="1" t="inlineStr">
        <is>
          <t>4010</t>
        </is>
      </c>
      <c r="N41" s="1" t="inlineStr">
        <is>
          <t>Credit issued</t>
        </is>
      </c>
      <c r="O41" s="1" t="inlineStr">
        <is>
          <t>PO-NFB-4872</t>
        </is>
      </c>
    </row>
    <row r="42">
      <c r="A42" s="1" t="inlineStr">
        <is>
          <t>INV-2025-20041</t>
        </is>
      </c>
      <c r="B42" s="2" t="n">
        <v>45835</v>
      </c>
      <c r="C42" s="1" t="inlineStr">
        <is>
          <t>Vantage Robotics Supply</t>
        </is>
      </c>
      <c r="D42" s="1" t="inlineStr">
        <is>
          <t>VRS-MSA-2024-15</t>
        </is>
      </c>
      <c r="E42" s="1" t="inlineStr">
        <is>
          <t>Telemetry retention tier, extended</t>
        </is>
      </c>
      <c r="F42" s="1" t="n">
        <v>4</v>
      </c>
      <c r="G42" s="1" t="n">
        <v>24500</v>
      </c>
      <c r="H42" s="1">
        <f>F42*G42</f>
        <v/>
      </c>
      <c r="I42" s="1" t="n">
        <v>0.065</v>
      </c>
      <c r="J42" s="1">
        <f>ROUND(H42*I42,2)</f>
        <v/>
      </c>
      <c r="K42" s="1" t="inlineStr">
        <is>
          <t>2025-07</t>
        </is>
      </c>
      <c r="L42" s="1" t="n">
        <v>73500</v>
      </c>
      <c r="M42" s="1" t="inlineStr">
        <is>
          <t>4020</t>
        </is>
      </c>
      <c r="N42" s="1" t="inlineStr">
        <is>
          <t>Open</t>
        </is>
      </c>
      <c r="O42" s="1" t="inlineStr">
        <is>
          <t>PO-VRS-2543</t>
        </is>
      </c>
    </row>
    <row r="43">
      <c r="A43" s="1" t="inlineStr">
        <is>
          <t>INV-2025-20042</t>
        </is>
      </c>
      <c r="B43" s="2" t="n">
        <v>45765</v>
      </c>
      <c r="C43" s="1" t="inlineStr">
        <is>
          <t>Granite Peak Distribution</t>
        </is>
      </c>
      <c r="D43" s="1" t="inlineStr">
        <is>
          <t>GPD-MSA-2022-17</t>
        </is>
      </c>
      <c r="E43" s="1" t="inlineStr">
        <is>
          <t>Warehouse management system connector</t>
        </is>
      </c>
      <c r="F43" s="1" t="n">
        <v>4</v>
      </c>
      <c r="G43" s="1" t="n">
        <v>38900</v>
      </c>
      <c r="H43" s="1">
        <f>F43*G43</f>
        <v/>
      </c>
      <c r="I43" s="1" t="n">
        <v>0.07000000000000001</v>
      </c>
      <c r="J43" s="1">
        <f>ROUND(H43*I43,2)</f>
        <v/>
      </c>
      <c r="K43" s="1" t="inlineStr">
        <is>
          <t>2025-05</t>
        </is>
      </c>
      <c r="L43" s="1" t="n">
        <v>3112</v>
      </c>
      <c r="M43" s="1" t="inlineStr">
        <is>
          <t>4030</t>
        </is>
      </c>
      <c r="N43" s="1" t="inlineStr">
        <is>
          <t>Disputed</t>
        </is>
      </c>
      <c r="O43" s="1" t="inlineStr">
        <is>
          <t>PO-GPD-2383</t>
        </is>
      </c>
    </row>
    <row r="44">
      <c r="A44" s="1" t="inlineStr">
        <is>
          <t>INV-2025-20043</t>
        </is>
      </c>
      <c r="B44" s="2" t="n">
        <v>45800</v>
      </c>
      <c r="C44" s="1" t="inlineStr">
        <is>
          <t>Calder Marine Supply</t>
        </is>
      </c>
      <c r="D44" s="1" t="inlineStr">
        <is>
          <t>CMS-MSA-2023-15</t>
        </is>
      </c>
      <c r="E44" s="1" t="inlineStr">
        <is>
          <t>Operator training programme</t>
        </is>
      </c>
      <c r="F44" s="1" t="n">
        <v>1</v>
      </c>
      <c r="G44" s="1" t="n">
        <v>3950</v>
      </c>
      <c r="H44" s="1">
        <f>F44*G44</f>
        <v/>
      </c>
      <c r="I44" s="1" t="n">
        <v>0.06</v>
      </c>
      <c r="J44" s="1">
        <f>ROUND(H44*I44,2)</f>
        <v/>
      </c>
      <c r="K44" s="1" t="inlineStr">
        <is>
          <t>2025-06</t>
        </is>
      </c>
      <c r="L44" s="1" t="n">
        <v>553</v>
      </c>
      <c r="M44" s="1" t="inlineStr">
        <is>
          <t>4030</t>
        </is>
      </c>
      <c r="N44" s="1" t="inlineStr">
        <is>
          <t>Paid</t>
        </is>
      </c>
      <c r="O44" s="1" t="inlineStr">
        <is>
          <t>PO-CMS-6627</t>
        </is>
      </c>
    </row>
    <row r="45">
      <c r="A45" s="1" t="inlineStr">
        <is>
          <t>INV-2025-20044</t>
        </is>
      </c>
      <c r="B45" s="2" t="n">
        <v>45835</v>
      </c>
      <c r="C45" s="1" t="inlineStr">
        <is>
          <t>Granite Peak Distribution</t>
        </is>
      </c>
      <c r="D45" s="1" t="inlineStr">
        <is>
          <t>GPD-MSA-2023-70</t>
        </is>
      </c>
      <c r="E45" s="1" t="inlineStr">
        <is>
          <t>Fleet orchestration platform, annual site licence</t>
        </is>
      </c>
      <c r="F45" s="1" t="n">
        <v>3</v>
      </c>
      <c r="G45" s="1" t="n">
        <v>96000</v>
      </c>
      <c r="H45" s="1">
        <f>F45*G45</f>
        <v/>
      </c>
      <c r="I45" s="1" t="n">
        <v>0.06</v>
      </c>
      <c r="J45" s="1">
        <f>ROUND(H45*I45,2)</f>
        <v/>
      </c>
      <c r="K45" s="1" t="inlineStr">
        <is>
          <t>2025-07</t>
        </is>
      </c>
      <c r="L45" s="1" t="n">
        <v>224640</v>
      </c>
      <c r="M45" s="1" t="inlineStr">
        <is>
          <t>4020</t>
        </is>
      </c>
      <c r="N45" s="1" t="inlineStr">
        <is>
          <t>Credit issued</t>
        </is>
      </c>
      <c r="O45" s="1" t="inlineStr">
        <is>
          <t>PO-GPD-8360</t>
        </is>
      </c>
    </row>
    <row r="46">
      <c r="A46" s="1" t="inlineStr">
        <is>
          <t>INV-2025-20045</t>
        </is>
      </c>
      <c r="B46" s="2" t="n">
        <v>45776</v>
      </c>
      <c r="C46" s="1" t="inlineStr">
        <is>
          <t>Vantage Robotics Supply</t>
        </is>
      </c>
      <c r="D46" s="1" t="inlineStr">
        <is>
          <t>VRS-MSA-2024-68</t>
        </is>
      </c>
      <c r="E46" s="1" t="inlineStr">
        <is>
          <t>Safety scanner retrofit kit</t>
        </is>
      </c>
      <c r="F46" s="1" t="n">
        <v>3</v>
      </c>
      <c r="G46" s="1" t="n">
        <v>6750</v>
      </c>
      <c r="H46" s="1">
        <f>F46*G46</f>
        <v/>
      </c>
      <c r="I46" s="1" t="n">
        <v>0.0475</v>
      </c>
      <c r="J46" s="1">
        <f>ROUND(H46*I46,2)</f>
        <v/>
      </c>
      <c r="K46" s="1" t="inlineStr">
        <is>
          <t>2025-05</t>
        </is>
      </c>
      <c r="L46" s="1" t="n">
        <v>0</v>
      </c>
      <c r="M46" s="1" t="inlineStr">
        <is>
          <t>4010</t>
        </is>
      </c>
      <c r="N46" s="1" t="inlineStr">
        <is>
          <t>Paid</t>
        </is>
      </c>
      <c r="O46" s="1" t="inlineStr">
        <is>
          <t>PO-VRS-7380</t>
        </is>
      </c>
    </row>
    <row r="47">
      <c r="A47" s="1" t="inlineStr">
        <is>
          <t>INV-2025-20046</t>
        </is>
      </c>
      <c r="B47" s="2" t="n">
        <v>45807</v>
      </c>
      <c r="C47" s="1" t="inlineStr">
        <is>
          <t>Summit Ridge Retail</t>
        </is>
      </c>
      <c r="D47" s="1" t="inlineStr">
        <is>
          <t>SRR-MSA-2024-11</t>
        </is>
      </c>
      <c r="E47" s="1" t="inlineStr">
        <is>
          <t>Fleet orchestration expansion pack, per robot</t>
        </is>
      </c>
      <c r="F47" s="1" t="n">
        <v>81</v>
      </c>
      <c r="G47" s="1" t="n">
        <v>3150</v>
      </c>
      <c r="H47" s="1">
        <f>F47*G47</f>
        <v/>
      </c>
      <c r="I47" s="1" t="n">
        <v>0.065</v>
      </c>
      <c r="J47" s="1">
        <f>ROUND(H47*I47,2)</f>
        <v/>
      </c>
      <c r="K47" s="1" t="inlineStr">
        <is>
          <t>2025-06</t>
        </is>
      </c>
      <c r="L47" s="1" t="n">
        <v>209223</v>
      </c>
      <c r="M47" s="1" t="inlineStr">
        <is>
          <t>4020</t>
        </is>
      </c>
      <c r="N47" s="1" t="inlineStr">
        <is>
          <t>Open</t>
        </is>
      </c>
      <c r="O47" s="1" t="inlineStr">
        <is>
          <t>PO-SRR-6220</t>
        </is>
      </c>
    </row>
    <row r="48">
      <c r="A48" s="1" t="inlineStr">
        <is>
          <t>INV-2025-20047</t>
        </is>
      </c>
      <c r="B48" s="2" t="n">
        <v>45835</v>
      </c>
      <c r="C48" s="1" t="inlineStr">
        <is>
          <t>Union Vale Pharma</t>
        </is>
      </c>
      <c r="D48" s="1" t="inlineStr">
        <is>
          <t>UVP-MSA-2025-71</t>
        </is>
      </c>
      <c r="E48" s="1" t="inlineStr">
        <is>
          <t>Warehouse management system connector</t>
        </is>
      </c>
      <c r="F48" s="1" t="n">
        <v>4</v>
      </c>
      <c r="G48" s="1" t="n">
        <v>37500</v>
      </c>
      <c r="H48" s="1">
        <f>F48*G48</f>
        <v/>
      </c>
      <c r="I48" s="1" t="n">
        <v>0.07000000000000001</v>
      </c>
      <c r="J48" s="1">
        <f>ROUND(H48*I48,2)</f>
        <v/>
      </c>
      <c r="K48" s="1" t="inlineStr">
        <is>
          <t>2025-07</t>
        </is>
      </c>
      <c r="L48" s="1" t="n">
        <v>21000</v>
      </c>
      <c r="M48" s="1" t="inlineStr">
        <is>
          <t>4030</t>
        </is>
      </c>
      <c r="N48" s="1" t="inlineStr">
        <is>
          <t>Open</t>
        </is>
      </c>
      <c r="O48" s="1" t="inlineStr">
        <is>
          <t>PO-UVP-2076</t>
        </is>
      </c>
    </row>
    <row r="49">
      <c r="A49" s="1" t="inlineStr">
        <is>
          <t>INV-2025-20048</t>
        </is>
      </c>
      <c r="B49" s="2" t="n">
        <v>45776</v>
      </c>
      <c r="C49" s="1" t="inlineStr">
        <is>
          <t>Granite Peak Distribution</t>
        </is>
      </c>
      <c r="D49" s="1" t="inlineStr">
        <is>
          <t>GPD-MSA-2024-28</t>
        </is>
      </c>
      <c r="E49" s="1" t="inlineStr">
        <is>
          <t>Opportunity charging dock</t>
        </is>
      </c>
      <c r="F49" s="1" t="n">
        <v>14</v>
      </c>
      <c r="G49" s="1" t="n">
        <v>10400</v>
      </c>
      <c r="H49" s="1">
        <f>F49*G49</f>
        <v/>
      </c>
      <c r="I49" s="1" t="n">
        <v>0.0475</v>
      </c>
      <c r="J49" s="1">
        <f>ROUND(H49*I49,2)</f>
        <v/>
      </c>
      <c r="K49" s="1" t="inlineStr">
        <is>
          <t>2025-05</t>
        </is>
      </c>
      <c r="L49" s="1" t="n">
        <v>0</v>
      </c>
      <c r="M49" s="1" t="inlineStr">
        <is>
          <t>4010</t>
        </is>
      </c>
      <c r="N49" s="1" t="inlineStr">
        <is>
          <t>Partially paid</t>
        </is>
      </c>
      <c r="O49" s="1" t="inlineStr">
        <is>
          <t>PO-GPD-2340</t>
        </is>
      </c>
    </row>
    <row r="50">
      <c r="A50" s="1" t="inlineStr">
        <is>
          <t>INV-2025-20049</t>
        </is>
      </c>
      <c r="B50" s="2" t="n">
        <v>45784</v>
      </c>
      <c r="C50" s="1" t="inlineStr">
        <is>
          <t>Dunbar Industrial</t>
        </is>
      </c>
      <c r="D50" s="1" t="inlineStr">
        <is>
          <t>DBI-MSA-2022-32</t>
        </is>
      </c>
      <c r="E50" s="1" t="inlineStr">
        <is>
          <t>Opportunity charging dock</t>
        </is>
      </c>
      <c r="F50" s="1" t="n">
        <v>6</v>
      </c>
      <c r="G50" s="1" t="n">
        <v>10900</v>
      </c>
      <c r="H50" s="1">
        <f>F50*G50</f>
        <v/>
      </c>
      <c r="I50" s="1" t="n">
        <v>0.07000000000000001</v>
      </c>
      <c r="J50" s="1">
        <f>ROUND(H50*I50,2)</f>
        <v/>
      </c>
      <c r="K50" s="1" t="inlineStr">
        <is>
          <t>2025-06</t>
        </is>
      </c>
      <c r="L50" s="1" t="n">
        <v>0</v>
      </c>
      <c r="M50" s="1" t="inlineStr">
        <is>
          <t>4010</t>
        </is>
      </c>
      <c r="N50" s="1" t="inlineStr">
        <is>
          <t>Partially paid</t>
        </is>
      </c>
      <c r="O50" s="1" t="inlineStr">
        <is>
          <t>PO-DBI-6264</t>
        </is>
      </c>
    </row>
    <row r="51">
      <c r="A51" s="1" t="inlineStr">
        <is>
          <t>INV-2025-20050</t>
        </is>
      </c>
      <c r="B51" s="2" t="n">
        <v>45835</v>
      </c>
      <c r="C51" s="1" t="inlineStr">
        <is>
          <t>Summit Ridge Retail</t>
        </is>
      </c>
      <c r="D51" s="1" t="inlineStr">
        <is>
          <t>SRR-MSA-2024-55</t>
        </is>
      </c>
      <c r="E51" s="1" t="inlineStr">
        <is>
          <t>Safety scanner retrofit kit</t>
        </is>
      </c>
      <c r="F51" s="1" t="n">
        <v>1</v>
      </c>
      <c r="G51" s="1" t="n">
        <v>6350</v>
      </c>
      <c r="H51" s="1">
        <f>F51*G51</f>
        <v/>
      </c>
      <c r="I51" s="1" t="n">
        <v>0.0475</v>
      </c>
      <c r="J51" s="1">
        <f>ROUND(H51*I51,2)</f>
        <v/>
      </c>
      <c r="K51" s="1" t="inlineStr">
        <is>
          <t>2025-07</t>
        </is>
      </c>
      <c r="L51" s="1" t="n">
        <v>0</v>
      </c>
      <c r="M51" s="1" t="inlineStr">
        <is>
          <t>4010</t>
        </is>
      </c>
      <c r="N51" s="1" t="inlineStr">
        <is>
          <t>Written off</t>
        </is>
      </c>
      <c r="O51" s="1" t="inlineStr">
        <is>
          <t>PO-SRR-6724</t>
        </is>
      </c>
    </row>
    <row r="52">
      <c r="A52" s="1" t="inlineStr">
        <is>
          <t>INV-2025-20051</t>
        </is>
      </c>
      <c r="B52" s="2" t="n">
        <v>45777</v>
      </c>
      <c r="C52" s="1" t="inlineStr">
        <is>
          <t>Bellweather Auto Group</t>
        </is>
      </c>
      <c r="D52" s="1" t="inlineStr">
        <is>
          <t>BWA-MSA-2025-29</t>
        </is>
      </c>
      <c r="E52" s="1" t="inlineStr">
        <is>
          <t>Premium support and spares pool</t>
        </is>
      </c>
      <c r="F52" s="1" t="n">
        <v>1</v>
      </c>
      <c r="G52" s="1" t="n">
        <v>56800</v>
      </c>
      <c r="H52" s="1">
        <f>F52*G52</f>
        <v/>
      </c>
      <c r="I52" s="1" t="n">
        <v>0</v>
      </c>
      <c r="J52" s="1">
        <f>ROUND(H52*I52,2)</f>
        <v/>
      </c>
      <c r="K52" s="1" t="inlineStr">
        <is>
          <t>2025-05</t>
        </is>
      </c>
      <c r="L52" s="1" t="n">
        <v>33512</v>
      </c>
      <c r="M52" s="1" t="inlineStr">
        <is>
          <t>4020</t>
        </is>
      </c>
      <c r="N52" s="1" t="inlineStr">
        <is>
          <t>Paid</t>
        </is>
      </c>
      <c r="O52" s="1" t="inlineStr">
        <is>
          <t>PO-BWA-6694</t>
        </is>
      </c>
    </row>
    <row r="53">
      <c r="A53" s="1" t="inlineStr">
        <is>
          <t>INV-2025-20052</t>
        </is>
      </c>
      <c r="B53" s="2" t="n">
        <v>45807</v>
      </c>
      <c r="C53" s="1" t="inlineStr">
        <is>
          <t>Union Vale Pharma</t>
        </is>
      </c>
      <c r="D53" s="1" t="inlineStr">
        <is>
          <t>UVP-MSA-2023-63</t>
        </is>
      </c>
      <c r="E53" s="1" t="inlineStr">
        <is>
          <t>Safety scanner retrofit kit</t>
        </is>
      </c>
      <c r="F53" s="1" t="n">
        <v>3</v>
      </c>
      <c r="G53" s="1" t="n">
        <v>7250</v>
      </c>
      <c r="H53" s="1">
        <f>F53*G53</f>
        <v/>
      </c>
      <c r="I53" s="1" t="n">
        <v>0.065</v>
      </c>
      <c r="J53" s="1">
        <f>ROUND(H53*I53,2)</f>
        <v/>
      </c>
      <c r="K53" s="1" t="inlineStr">
        <is>
          <t>2025-06</t>
        </is>
      </c>
      <c r="L53" s="1" t="n">
        <v>0</v>
      </c>
      <c r="M53" s="1" t="inlineStr">
        <is>
          <t>4010</t>
        </is>
      </c>
      <c r="N53" s="1" t="inlineStr">
        <is>
          <t>Open</t>
        </is>
      </c>
      <c r="O53" s="1" t="inlineStr">
        <is>
          <t>PO-UVP-9052</t>
        </is>
      </c>
    </row>
    <row r="54">
      <c r="A54" s="1" t="inlineStr">
        <is>
          <t>INV-2025-20053</t>
        </is>
      </c>
      <c r="B54" s="2" t="n">
        <v>45835</v>
      </c>
      <c r="C54" s="1" t="inlineStr">
        <is>
          <t>Yarrow Home Goods</t>
        </is>
      </c>
      <c r="D54" s="1" t="inlineStr">
        <is>
          <t>YHG-MSA-2024-24</t>
        </is>
      </c>
      <c r="E54" s="1" t="inlineStr">
        <is>
          <t>Fleet orchestration platform, annual site licence</t>
        </is>
      </c>
      <c r="F54" s="1" t="n">
        <v>1</v>
      </c>
      <c r="G54" s="1" t="n">
        <v>93800</v>
      </c>
      <c r="H54" s="1">
        <f>F54*G54</f>
        <v/>
      </c>
      <c r="I54" s="1" t="n">
        <v>0.065</v>
      </c>
      <c r="J54" s="1">
        <f>ROUND(H54*I54,2)</f>
        <v/>
      </c>
      <c r="K54" s="1" t="inlineStr">
        <is>
          <t>2025-07</t>
        </is>
      </c>
      <c r="L54" s="1" t="n">
        <v>71288</v>
      </c>
      <c r="M54" s="1" t="inlineStr">
        <is>
          <t>4020</t>
        </is>
      </c>
      <c r="N54" s="1" t="inlineStr">
        <is>
          <t>Paid</t>
        </is>
      </c>
      <c r="O54" s="1" t="inlineStr">
        <is>
          <t>PO-YHG-2284</t>
        </is>
      </c>
    </row>
    <row r="55">
      <c r="A55" s="1" t="inlineStr">
        <is>
          <t>INV-2025-20054</t>
        </is>
      </c>
      <c r="B55" s="2" t="n">
        <v>45771</v>
      </c>
      <c r="C55" s="1" t="inlineStr">
        <is>
          <t>Keystone Paper &amp; Pack</t>
        </is>
      </c>
      <c r="D55" s="1" t="inlineStr">
        <is>
          <t>KPP-MSA-2024-38</t>
        </is>
      </c>
      <c r="E55" s="1" t="inlineStr">
        <is>
          <t>Telemetry retention tier, extended</t>
        </is>
      </c>
      <c r="F55" s="1" t="n">
        <v>1</v>
      </c>
      <c r="G55" s="1" t="n">
        <v>24250</v>
      </c>
      <c r="H55" s="1">
        <f>F55*G55</f>
        <v/>
      </c>
      <c r="I55" s="1" t="n">
        <v>0.07000000000000001</v>
      </c>
      <c r="J55" s="1">
        <f>ROUND(H55*I55,2)</f>
        <v/>
      </c>
      <c r="K55" s="1" t="inlineStr">
        <is>
          <t>2025-05</t>
        </is>
      </c>
      <c r="L55" s="1" t="n">
        <v>18430</v>
      </c>
      <c r="M55" s="1" t="inlineStr">
        <is>
          <t>4020</t>
        </is>
      </c>
      <c r="N55" s="1" t="inlineStr">
        <is>
          <t>Paid</t>
        </is>
      </c>
      <c r="O55" s="1" t="inlineStr">
        <is>
          <t>PO-KPP-4461</t>
        </is>
      </c>
    </row>
    <row r="56">
      <c r="A56" s="1" t="inlineStr">
        <is>
          <t>INV-2025-20055</t>
        </is>
      </c>
      <c r="B56" s="2" t="n">
        <v>45807</v>
      </c>
      <c r="C56" s="1" t="inlineStr">
        <is>
          <t>Meridian Dynamics</t>
        </is>
      </c>
      <c r="D56" s="1" t="inlineStr">
        <is>
          <t>MDY-MSA-2023-84</t>
        </is>
      </c>
      <c r="E56" s="1" t="inlineStr">
        <is>
          <t>Warehouse management system connector</t>
        </is>
      </c>
      <c r="F56" s="1" t="n">
        <v>3</v>
      </c>
      <c r="G56" s="1" t="n">
        <v>38400</v>
      </c>
      <c r="H56" s="1">
        <f>F56*G56</f>
        <v/>
      </c>
      <c r="I56" s="1" t="n">
        <v>0.06</v>
      </c>
      <c r="J56" s="1">
        <f>ROUND(H56*I56,2)</f>
        <v/>
      </c>
      <c r="K56" s="1" t="inlineStr">
        <is>
          <t>2025-06</t>
        </is>
      </c>
      <c r="L56" s="1" t="n">
        <v>24192</v>
      </c>
      <c r="M56" s="1" t="inlineStr">
        <is>
          <t>4030</t>
        </is>
      </c>
      <c r="N56" s="1" t="inlineStr">
        <is>
          <t>Open</t>
        </is>
      </c>
      <c r="O56" s="1" t="inlineStr">
        <is>
          <t>PO-MDY-6829</t>
        </is>
      </c>
    </row>
    <row r="57">
      <c r="A57" s="1" t="inlineStr">
        <is>
          <t>INV-2025-20056</t>
        </is>
      </c>
      <c r="B57" s="2" t="n">
        <v>45835</v>
      </c>
      <c r="C57" s="1" t="inlineStr">
        <is>
          <t>Blue Mesa Components</t>
        </is>
      </c>
      <c r="D57" s="1" t="inlineStr">
        <is>
          <t>BMC-MSA-2022-56</t>
        </is>
      </c>
      <c r="E57" s="1" t="inlineStr">
        <is>
          <t>Telemetry retention tier, extended</t>
        </is>
      </c>
      <c r="F57" s="1" t="n">
        <v>2</v>
      </c>
      <c r="G57" s="1" t="n">
        <v>24250</v>
      </c>
      <c r="H57" s="1">
        <f>F57*G57</f>
        <v/>
      </c>
      <c r="I57" s="1" t="n">
        <v>0.065</v>
      </c>
      <c r="J57" s="1">
        <f>ROUND(H57*I57,2)</f>
        <v/>
      </c>
      <c r="K57" s="1" t="inlineStr">
        <is>
          <t>2025-07</t>
        </is>
      </c>
      <c r="L57" s="1" t="n">
        <v>29100</v>
      </c>
      <c r="M57" s="1" t="inlineStr">
        <is>
          <t>4020</t>
        </is>
      </c>
      <c r="N57" s="1" t="inlineStr">
        <is>
          <t>Open</t>
        </is>
      </c>
      <c r="O57" s="1" t="inlineStr">
        <is>
          <t>PO-BMC-2166</t>
        </is>
      </c>
    </row>
    <row r="58">
      <c r="A58" s="1" t="inlineStr">
        <is>
          <t>INV-2025-20057</t>
        </is>
      </c>
      <c r="B58" s="2" t="n">
        <v>45751</v>
      </c>
      <c r="C58" s="1" t="inlineStr">
        <is>
          <t>Yarrow Home Goods</t>
        </is>
      </c>
      <c r="D58" s="1" t="inlineStr">
        <is>
          <t>YHG-MSA-2025-26</t>
        </is>
      </c>
      <c r="E58" s="1" t="inlineStr">
        <is>
          <t>Opportunity charging dock</t>
        </is>
      </c>
      <c r="F58" s="1" t="n">
        <v>14</v>
      </c>
      <c r="G58" s="1" t="n">
        <v>11800</v>
      </c>
      <c r="H58" s="1">
        <f>F58*G58</f>
        <v/>
      </c>
      <c r="I58" s="1" t="n">
        <v>0.07000000000000001</v>
      </c>
      <c r="J58" s="1">
        <f>ROUND(H58*I58,2)</f>
        <v/>
      </c>
      <c r="K58" s="1" t="inlineStr">
        <is>
          <t>2025-05</t>
        </is>
      </c>
      <c r="L58" s="1" t="n">
        <v>0</v>
      </c>
      <c r="M58" s="1" t="inlineStr">
        <is>
          <t>4010</t>
        </is>
      </c>
      <c r="N58" s="1" t="inlineStr">
        <is>
          <t>Open</t>
        </is>
      </c>
      <c r="O58" s="1" t="inlineStr">
        <is>
          <t>PO-YHG-8872</t>
        </is>
      </c>
    </row>
    <row r="59">
      <c r="A59" s="1" t="inlineStr">
        <is>
          <t>INV-2025-20058</t>
        </is>
      </c>
      <c r="B59" s="2" t="n">
        <v>45806</v>
      </c>
      <c r="C59" s="1" t="inlineStr">
        <is>
          <t>Dorsey Grain Cooperative</t>
        </is>
      </c>
      <c r="D59" s="1" t="inlineStr">
        <is>
          <t>DGC-MSA-2023-41</t>
        </is>
      </c>
      <c r="E59" s="1" t="inlineStr">
        <is>
          <t>Opportunity charging dock</t>
        </is>
      </c>
      <c r="F59" s="1" t="n">
        <v>9</v>
      </c>
      <c r="G59" s="1" t="n">
        <v>9600</v>
      </c>
      <c r="H59" s="1">
        <f>F59*G59</f>
        <v/>
      </c>
      <c r="I59" s="1" t="n">
        <v>0.0475</v>
      </c>
      <c r="J59" s="1">
        <f>ROUND(H59*I59,2)</f>
        <v/>
      </c>
      <c r="K59" s="1" t="inlineStr">
        <is>
          <t>2025-06</t>
        </is>
      </c>
      <c r="L59" s="1" t="n">
        <v>0</v>
      </c>
      <c r="M59" s="1" t="inlineStr">
        <is>
          <t>4010</t>
        </is>
      </c>
      <c r="N59" s="1" t="inlineStr">
        <is>
          <t>Paid</t>
        </is>
      </c>
      <c r="O59" s="1" t="inlineStr">
        <is>
          <t>PO-DGC-9148</t>
        </is>
      </c>
    </row>
    <row r="60">
      <c r="A60" s="1" t="inlineStr">
        <is>
          <t>INV-2025-20059</t>
        </is>
      </c>
      <c r="B60" s="2" t="n">
        <v>45824</v>
      </c>
      <c r="C60" s="1" t="inlineStr">
        <is>
          <t>Calder Marine Supply</t>
        </is>
      </c>
      <c r="D60" s="1" t="inlineStr">
        <is>
          <t>CMS-MSA-2023-24</t>
        </is>
      </c>
      <c r="E60" s="1" t="inlineStr">
        <is>
          <t>Fleet orchestration expansion pack, per robot</t>
        </is>
      </c>
      <c r="F60" s="1" t="n">
        <v>57</v>
      </c>
      <c r="G60" s="1" t="n">
        <v>2650</v>
      </c>
      <c r="H60" s="1">
        <f>F60*G60</f>
        <v/>
      </c>
      <c r="I60" s="1" t="n">
        <v>0.0825</v>
      </c>
      <c r="J60" s="1">
        <f>ROUND(H60*I60,2)</f>
        <v/>
      </c>
      <c r="K60" s="1" t="inlineStr">
        <is>
          <t>2025-07</t>
        </is>
      </c>
      <c r="L60" s="1" t="n">
        <v>117819</v>
      </c>
      <c r="M60" s="1" t="inlineStr">
        <is>
          <t>4020</t>
        </is>
      </c>
      <c r="N60" s="1" t="inlineStr">
        <is>
          <t>Credit issued</t>
        </is>
      </c>
      <c r="O60" s="1" t="inlineStr">
        <is>
          <t>PO-CMS-2761</t>
        </is>
      </c>
    </row>
    <row r="61">
      <c r="A61" s="1" t="inlineStr">
        <is>
          <t>INV-2025-20060</t>
        </is>
      </c>
      <c r="B61" s="2" t="n">
        <v>45758</v>
      </c>
      <c r="C61" s="1" t="inlineStr">
        <is>
          <t>Quarrybridge Materials</t>
        </is>
      </c>
      <c r="D61" s="1" t="inlineStr">
        <is>
          <t>QBM-MSA-2023-76</t>
        </is>
      </c>
      <c r="E61" s="1" t="inlineStr">
        <is>
          <t>Telemetry retention tier, extended</t>
        </is>
      </c>
      <c r="F61" s="1" t="n">
        <v>2</v>
      </c>
      <c r="G61" s="1" t="n">
        <v>24500</v>
      </c>
      <c r="H61" s="1">
        <f>F61*G61</f>
        <v/>
      </c>
      <c r="I61" s="1" t="n">
        <v>0.0475</v>
      </c>
      <c r="J61" s="1">
        <f>ROUND(H61*I61,2)</f>
        <v/>
      </c>
      <c r="K61" s="1" t="inlineStr">
        <is>
          <t>2025-05</t>
        </is>
      </c>
      <c r="L61" s="1" t="n">
        <v>40180</v>
      </c>
      <c r="M61" s="1" t="inlineStr">
        <is>
          <t>4020</t>
        </is>
      </c>
      <c r="N61" s="1" t="inlineStr">
        <is>
          <t>Credit issued</t>
        </is>
      </c>
      <c r="O61" s="1" t="inlineStr">
        <is>
          <t>PO-QBM-1558</t>
        </is>
      </c>
    </row>
    <row r="62">
      <c r="A62" s="1" t="inlineStr">
        <is>
          <t>INV-2025-20061</t>
        </is>
      </c>
      <c r="B62" s="2" t="n">
        <v>45807</v>
      </c>
      <c r="C62" s="1" t="inlineStr">
        <is>
          <t>Keystone Paper &amp; Pack</t>
        </is>
      </c>
      <c r="D62" s="1" t="inlineStr">
        <is>
          <t>KPP-MSA-2025-19</t>
        </is>
      </c>
      <c r="E62" s="1" t="inlineStr">
        <is>
          <t>Fleet orchestration expansion pack, per robot</t>
        </is>
      </c>
      <c r="F62" s="1" t="n">
        <v>106</v>
      </c>
      <c r="G62" s="1" t="n">
        <v>2900</v>
      </c>
      <c r="H62" s="1">
        <f>F62*G62</f>
        <v/>
      </c>
      <c r="I62" s="1" t="n">
        <v>0.07000000000000001</v>
      </c>
      <c r="J62" s="1">
        <f>ROUND(H62*I62,2)</f>
        <v/>
      </c>
      <c r="K62" s="1" t="inlineStr">
        <is>
          <t>2025-06</t>
        </is>
      </c>
      <c r="L62" s="1" t="n">
        <v>205958</v>
      </c>
      <c r="M62" s="1" t="inlineStr">
        <is>
          <t>4020</t>
        </is>
      </c>
      <c r="N62" s="1" t="inlineStr">
        <is>
          <t>Written off</t>
        </is>
      </c>
      <c r="O62" s="1" t="inlineStr">
        <is>
          <t>PO-KPP-7285</t>
        </is>
      </c>
    </row>
    <row r="63">
      <c r="A63" s="1" t="inlineStr">
        <is>
          <t>INV-2025-20062</t>
        </is>
      </c>
      <c r="B63" s="2" t="n">
        <v>45835</v>
      </c>
      <c r="C63" s="1" t="inlineStr">
        <is>
          <t>Fathom Mobility</t>
        </is>
      </c>
      <c r="D63" s="1" t="inlineStr">
        <is>
          <t>FTM-MSA-2025-14</t>
        </is>
      </c>
      <c r="E63" s="1" t="inlineStr">
        <is>
          <t>Operator training programme</t>
        </is>
      </c>
      <c r="F63" s="1" t="n">
        <v>4</v>
      </c>
      <c r="G63" s="1" t="n">
        <v>2800</v>
      </c>
      <c r="H63" s="1">
        <f>F63*G63</f>
        <v/>
      </c>
      <c r="I63" s="1" t="n">
        <v>0.06</v>
      </c>
      <c r="J63" s="1">
        <f>ROUND(H63*I63,2)</f>
        <v/>
      </c>
      <c r="K63" s="1" t="inlineStr">
        <is>
          <t>2025-07</t>
        </is>
      </c>
      <c r="L63" s="1" t="n">
        <v>1120</v>
      </c>
      <c r="M63" s="1" t="inlineStr">
        <is>
          <t>4030</t>
        </is>
      </c>
      <c r="N63" s="1" t="inlineStr">
        <is>
          <t>Written off</t>
        </is>
      </c>
      <c r="O63" s="1" t="inlineStr">
        <is>
          <t>PO-FTM-9180</t>
        </is>
      </c>
    </row>
    <row r="64">
      <c r="A64" s="1" t="inlineStr">
        <is>
          <t>INV-2025-20063</t>
        </is>
      </c>
      <c r="B64" s="2" t="n">
        <v>45776</v>
      </c>
      <c r="C64" s="1" t="inlineStr">
        <is>
          <t>Alderbrook Textiles</t>
        </is>
      </c>
      <c r="D64" s="1" t="inlineStr">
        <is>
          <t>ABT-MSA-2024-48</t>
        </is>
      </c>
      <c r="E64" s="1" t="inlineStr">
        <is>
          <t>Remote operations desk coverage</t>
        </is>
      </c>
      <c r="F64" s="1" t="n">
        <v>2</v>
      </c>
      <c r="G64" s="1" t="n">
        <v>11200</v>
      </c>
      <c r="H64" s="1">
        <f>F64*G64</f>
        <v/>
      </c>
      <c r="I64" s="1" t="n">
        <v>0.07000000000000001</v>
      </c>
      <c r="J64" s="1">
        <f>ROUND(H64*I64,2)</f>
        <v/>
      </c>
      <c r="K64" s="1" t="inlineStr">
        <is>
          <t>2025-05</t>
        </is>
      </c>
      <c r="L64" s="1" t="n">
        <v>13216</v>
      </c>
      <c r="M64" s="1" t="inlineStr">
        <is>
          <t>4020</t>
        </is>
      </c>
      <c r="N64" s="1" t="inlineStr">
        <is>
          <t>Partially paid</t>
        </is>
      </c>
      <c r="O64" s="1" t="inlineStr">
        <is>
          <t>PO-ABT-7961</t>
        </is>
      </c>
    </row>
    <row r="65">
      <c r="A65" s="1" t="inlineStr">
        <is>
          <t>INV-2025-20064</t>
        </is>
      </c>
      <c r="B65" s="2" t="n">
        <v>45807</v>
      </c>
      <c r="C65" s="1" t="inlineStr">
        <is>
          <t>Redwood Optics</t>
        </is>
      </c>
      <c r="D65" s="1" t="inlineStr">
        <is>
          <t>RWO-MSA-2022-32</t>
        </is>
      </c>
      <c r="E65" s="1" t="inlineStr">
        <is>
          <t>Fleet orchestration expansion pack, per robot</t>
        </is>
      </c>
      <c r="F65" s="1" t="n">
        <v>50</v>
      </c>
      <c r="G65" s="1" t="n">
        <v>2900</v>
      </c>
      <c r="H65" s="1">
        <f>F65*G65</f>
        <v/>
      </c>
      <c r="I65" s="1" t="n">
        <v>0.0825</v>
      </c>
      <c r="J65" s="1">
        <f>ROUND(H65*I65,2)</f>
        <v/>
      </c>
      <c r="K65" s="1" t="inlineStr">
        <is>
          <t>2025-06</t>
        </is>
      </c>
      <c r="L65" s="1" t="n">
        <v>97150</v>
      </c>
      <c r="M65" s="1" t="inlineStr">
        <is>
          <t>4020</t>
        </is>
      </c>
      <c r="N65" s="1" t="inlineStr">
        <is>
          <t>Paid</t>
        </is>
      </c>
      <c r="O65" s="1" t="inlineStr">
        <is>
          <t>PO-RWO-8772</t>
        </is>
      </c>
    </row>
    <row r="66">
      <c r="A66" s="1" t="inlineStr">
        <is>
          <t>INV-2025-20065</t>
        </is>
      </c>
      <c r="B66" s="2" t="n">
        <v>45838</v>
      </c>
      <c r="C66" s="1" t="inlineStr">
        <is>
          <t>Keystone Paper &amp; Pack</t>
        </is>
      </c>
      <c r="D66" s="1" t="inlineStr">
        <is>
          <t>KPP-MSA-2022-67</t>
        </is>
      </c>
      <c r="E66" s="1" t="inlineStr">
        <is>
          <t>Operator training programme</t>
        </is>
      </c>
      <c r="F66" s="1" t="n">
        <v>4</v>
      </c>
      <c r="G66" s="1" t="n">
        <v>4200</v>
      </c>
      <c r="H66" s="1">
        <f>F66*G66</f>
        <v/>
      </c>
      <c r="I66" s="1" t="n">
        <v>0.06</v>
      </c>
      <c r="J66" s="1">
        <f>ROUND(H66*I66,2)</f>
        <v/>
      </c>
      <c r="K66" s="1" t="inlineStr">
        <is>
          <t>2025-07</t>
        </is>
      </c>
      <c r="L66" s="1" t="n">
        <v>2688</v>
      </c>
      <c r="M66" s="1" t="inlineStr">
        <is>
          <t>4030</t>
        </is>
      </c>
      <c r="N66" s="1" t="inlineStr">
        <is>
          <t>Disputed</t>
        </is>
      </c>
      <c r="O66" s="1" t="inlineStr">
        <is>
          <t>PO-KPP-4617</t>
        </is>
      </c>
    </row>
    <row r="67">
      <c r="A67" s="1" t="inlineStr">
        <is>
          <t>INV-2025-20066</t>
        </is>
      </c>
      <c r="B67" s="2" t="n">
        <v>45758</v>
      </c>
      <c r="C67" s="1" t="inlineStr">
        <is>
          <t>Blue Mesa Components</t>
        </is>
      </c>
      <c r="D67" s="1" t="inlineStr">
        <is>
          <t>BMC-MSA-2024-24</t>
        </is>
      </c>
      <c r="E67" s="1" t="inlineStr">
        <is>
          <t>Operator training programme</t>
        </is>
      </c>
      <c r="F67" s="1" t="n">
        <v>4</v>
      </c>
      <c r="G67" s="1" t="n">
        <v>4200</v>
      </c>
      <c r="H67" s="1">
        <f>F67*G67</f>
        <v/>
      </c>
      <c r="I67" s="1" t="n">
        <v>0.065</v>
      </c>
      <c r="J67" s="1">
        <f>ROUND(H67*I67,2)</f>
        <v/>
      </c>
      <c r="K67" s="1" t="inlineStr">
        <is>
          <t>2025-05</t>
        </is>
      </c>
      <c r="L67" s="1" t="n">
        <v>3528</v>
      </c>
      <c r="M67" s="1" t="inlineStr">
        <is>
          <t>4030</t>
        </is>
      </c>
      <c r="N67" s="1" t="inlineStr">
        <is>
          <t>Partially paid</t>
        </is>
      </c>
      <c r="O67" s="1" t="inlineStr">
        <is>
          <t>PO-BMC-1545</t>
        </is>
      </c>
    </row>
    <row r="68">
      <c r="A68" s="1" t="inlineStr">
        <is>
          <t>INV-2025-20067</t>
        </is>
      </c>
      <c r="B68" s="2" t="n">
        <v>45806</v>
      </c>
      <c r="C68" s="1" t="inlineStr">
        <is>
          <t>Yarrow Home Goods</t>
        </is>
      </c>
      <c r="D68" s="1" t="inlineStr">
        <is>
          <t>YHG-MSA-2025-86</t>
        </is>
      </c>
      <c r="E68" s="1" t="inlineStr">
        <is>
          <t>Operator training programme</t>
        </is>
      </c>
      <c r="F68" s="1" t="n">
        <v>2</v>
      </c>
      <c r="G68" s="1" t="n">
        <v>4200</v>
      </c>
      <c r="H68" s="1">
        <f>F68*G68</f>
        <v/>
      </c>
      <c r="I68" s="1" t="n">
        <v>0.065</v>
      </c>
      <c r="J68" s="1">
        <f>ROUND(H68*I68,2)</f>
        <v/>
      </c>
      <c r="K68" s="1" t="inlineStr">
        <is>
          <t>2025-06</t>
        </is>
      </c>
      <c r="L68" s="1" t="n">
        <v>1260</v>
      </c>
      <c r="M68" s="1" t="inlineStr">
        <is>
          <t>4030</t>
        </is>
      </c>
      <c r="N68" s="1" t="inlineStr">
        <is>
          <t>Written off</t>
        </is>
      </c>
      <c r="O68" s="1" t="inlineStr">
        <is>
          <t>PO-YHG-4344</t>
        </is>
      </c>
    </row>
    <row r="69">
      <c r="A69" s="1" t="inlineStr">
        <is>
          <t>INV-2025-20068</t>
        </is>
      </c>
      <c r="B69" s="2" t="n">
        <v>45835</v>
      </c>
      <c r="C69" s="1" t="inlineStr">
        <is>
          <t>Summit Ridge Retail</t>
        </is>
      </c>
      <c r="D69" s="1" t="inlineStr">
        <is>
          <t>SRR-MSA-2025-57</t>
        </is>
      </c>
      <c r="E69" s="1" t="inlineStr">
        <is>
          <t>Fleet orchestration platform, annual site licence</t>
        </is>
      </c>
      <c r="F69" s="1" t="n">
        <v>3</v>
      </c>
      <c r="G69" s="1" t="n">
        <v>95100</v>
      </c>
      <c r="H69" s="1">
        <f>F69*G69</f>
        <v/>
      </c>
      <c r="I69" s="1" t="n">
        <v>0</v>
      </c>
      <c r="J69" s="1">
        <f>ROUND(H69*I69,2)</f>
        <v/>
      </c>
      <c r="K69" s="1" t="inlineStr">
        <is>
          <t>2025-07</t>
        </is>
      </c>
      <c r="L69" s="1" t="n">
        <v>199710</v>
      </c>
      <c r="M69" s="1" t="inlineStr">
        <is>
          <t>4020</t>
        </is>
      </c>
      <c r="N69" s="1" t="inlineStr">
        <is>
          <t>Written off</t>
        </is>
      </c>
      <c r="O69" s="1" t="inlineStr">
        <is>
          <t>PO-SRR-5990</t>
        </is>
      </c>
    </row>
    <row r="70">
      <c r="A70" s="1" t="inlineStr">
        <is>
          <t>INV-2025-20069</t>
        </is>
      </c>
      <c r="B70" s="2" t="n">
        <v>45776</v>
      </c>
      <c r="C70" s="1" t="inlineStr">
        <is>
          <t>Orchard Grove Foods</t>
        </is>
      </c>
      <c r="D70" s="1" t="inlineStr">
        <is>
          <t>OGF-MSA-2025-59</t>
        </is>
      </c>
      <c r="E70" s="1" t="inlineStr">
        <is>
          <t>Fleet orchestration platform, annual site licence</t>
        </is>
      </c>
      <c r="F70" s="1" t="n">
        <v>3</v>
      </c>
      <c r="G70" s="1" t="n">
        <v>94600</v>
      </c>
      <c r="H70" s="1">
        <f>F70*G70</f>
        <v/>
      </c>
      <c r="I70" s="1" t="n">
        <v>0.09</v>
      </c>
      <c r="J70" s="1">
        <f>ROUND(H70*I70,2)</f>
        <v/>
      </c>
      <c r="K70" s="1" t="inlineStr">
        <is>
          <t>2025-05</t>
        </is>
      </c>
      <c r="L70" s="1" t="n">
        <v>235554</v>
      </c>
      <c r="M70" s="1" t="inlineStr">
        <is>
          <t>4020</t>
        </is>
      </c>
      <c r="N70" s="1" t="inlineStr">
        <is>
          <t>Paid</t>
        </is>
      </c>
      <c r="O70" s="1" t="inlineStr">
        <is>
          <t>PO-OGF-4015</t>
        </is>
      </c>
    </row>
    <row r="71">
      <c r="A71" s="1" t="inlineStr">
        <is>
          <t>INV-2025-20070</t>
        </is>
      </c>
      <c r="B71" s="2" t="n">
        <v>45807</v>
      </c>
      <c r="C71" s="1" t="inlineStr">
        <is>
          <t>Blue Mesa Components</t>
        </is>
      </c>
      <c r="D71" s="1" t="inlineStr">
        <is>
          <t>BMC-MSA-2022-33</t>
        </is>
      </c>
      <c r="E71" s="1" t="inlineStr">
        <is>
          <t>Warehouse management system connector</t>
        </is>
      </c>
      <c r="F71" s="1" t="n">
        <v>2</v>
      </c>
      <c r="G71" s="1" t="n">
        <v>38000</v>
      </c>
      <c r="H71" s="1">
        <f>F71*G71</f>
        <v/>
      </c>
      <c r="I71" s="1" t="n">
        <v>0.065</v>
      </c>
      <c r="J71" s="1">
        <f>ROUND(H71*I71,2)</f>
        <v/>
      </c>
      <c r="K71" s="1" t="inlineStr">
        <is>
          <t>2025-06</t>
        </is>
      </c>
      <c r="L71" s="1" t="n">
        <v>3800</v>
      </c>
      <c r="M71" s="1" t="inlineStr">
        <is>
          <t>4030</t>
        </is>
      </c>
      <c r="N71" s="1" t="inlineStr">
        <is>
          <t>Partially paid</t>
        </is>
      </c>
      <c r="O71" s="1" t="inlineStr">
        <is>
          <t>PO-BMC-3333</t>
        </is>
      </c>
    </row>
    <row r="72">
      <c r="A72" s="1" t="inlineStr">
        <is>
          <t>INV-2025-20071</t>
        </is>
      </c>
      <c r="B72" s="2" t="n">
        <v>45835</v>
      </c>
      <c r="C72" s="1" t="inlineStr">
        <is>
          <t>Crestline Fulfillment</t>
        </is>
      </c>
      <c r="D72" s="1" t="inlineStr">
        <is>
          <t>CFF-MSA-2023-71</t>
        </is>
      </c>
      <c r="E72" s="1" t="inlineStr">
        <is>
          <t>Fleet orchestration expansion pack, per robot</t>
        </is>
      </c>
      <c r="F72" s="1" t="n">
        <v>145</v>
      </c>
      <c r="G72" s="1" t="n">
        <v>2900</v>
      </c>
      <c r="H72" s="1">
        <f>F72*G72</f>
        <v/>
      </c>
      <c r="I72" s="1" t="n">
        <v>0</v>
      </c>
      <c r="J72" s="1">
        <f>ROUND(H72*I72,2)</f>
        <v/>
      </c>
      <c r="K72" s="1" t="inlineStr">
        <is>
          <t>2025-07</t>
        </is>
      </c>
      <c r="L72" s="1" t="n">
        <v>323785</v>
      </c>
      <c r="M72" s="1" t="inlineStr">
        <is>
          <t>4020</t>
        </is>
      </c>
      <c r="N72" s="1" t="inlineStr">
        <is>
          <t>Written off</t>
        </is>
      </c>
      <c r="O72" s="1" t="inlineStr">
        <is>
          <t>PO-CFF-2755</t>
        </is>
      </c>
    </row>
    <row r="73">
      <c r="A73" s="1" t="inlineStr">
        <is>
          <t>INV-2025-20072</t>
        </is>
      </c>
      <c r="B73" s="2" t="n">
        <v>45765</v>
      </c>
      <c r="C73" s="1" t="inlineStr">
        <is>
          <t>Fathom Mobility</t>
        </is>
      </c>
      <c r="D73" s="1" t="inlineStr">
        <is>
          <t>FTM-MSA-2025-18</t>
        </is>
      </c>
      <c r="E73" s="1" t="inlineStr">
        <is>
          <t>Operator training programme</t>
        </is>
      </c>
      <c r="F73" s="1" t="n">
        <v>3</v>
      </c>
      <c r="G73" s="1" t="n">
        <v>3950</v>
      </c>
      <c r="H73" s="1">
        <f>F73*G73</f>
        <v/>
      </c>
      <c r="I73" s="1" t="n">
        <v>0.09</v>
      </c>
      <c r="J73" s="1">
        <f>ROUND(H73*I73,2)</f>
        <v/>
      </c>
      <c r="K73" s="1" t="inlineStr">
        <is>
          <t>2025-05</t>
        </is>
      </c>
      <c r="L73" s="1" t="n">
        <v>948</v>
      </c>
      <c r="M73" s="1" t="inlineStr">
        <is>
          <t>4030</t>
        </is>
      </c>
      <c r="N73" s="1" t="inlineStr">
        <is>
          <t>Paid</t>
        </is>
      </c>
      <c r="O73" s="1" t="inlineStr">
        <is>
          <t>PO-FTM-9657</t>
        </is>
      </c>
    </row>
    <row r="74">
      <c r="A74" s="1" t="inlineStr">
        <is>
          <t>INV-2025-20073</t>
        </is>
      </c>
      <c r="B74" s="2" t="n">
        <v>45786</v>
      </c>
      <c r="C74" s="1" t="inlineStr">
        <is>
          <t>Redwood Optics</t>
        </is>
      </c>
      <c r="D74" s="1" t="inlineStr">
        <is>
          <t>RWO-MSA-2024-45</t>
        </is>
      </c>
      <c r="E74" s="1" t="inlineStr">
        <is>
          <t>Premium support and spares pool</t>
        </is>
      </c>
      <c r="F74" s="1" t="n">
        <v>2</v>
      </c>
      <c r="G74" s="1" t="n">
        <v>57050</v>
      </c>
      <c r="H74" s="1">
        <f>F74*G74</f>
        <v/>
      </c>
      <c r="I74" s="1" t="n">
        <v>0.065</v>
      </c>
      <c r="J74" s="1">
        <f>ROUND(H74*I74,2)</f>
        <v/>
      </c>
      <c r="K74" s="1" t="inlineStr">
        <is>
          <t>2025-06</t>
        </is>
      </c>
      <c r="L74" s="1" t="n">
        <v>63896</v>
      </c>
      <c r="M74" s="1" t="inlineStr">
        <is>
          <t>4020</t>
        </is>
      </c>
      <c r="N74" s="1" t="inlineStr">
        <is>
          <t>Paid</t>
        </is>
      </c>
      <c r="O74" s="1" t="inlineStr">
        <is>
          <t>PO-RWO-2258</t>
        </is>
      </c>
    </row>
    <row r="75">
      <c r="A75" s="1" t="inlineStr">
        <is>
          <t>INV-2025-20074</t>
        </is>
      </c>
      <c r="B75" s="2" t="n">
        <v>45838</v>
      </c>
      <c r="C75" s="1" t="inlineStr">
        <is>
          <t>Keystone Paper &amp; Pack</t>
        </is>
      </c>
      <c r="D75" s="1" t="inlineStr">
        <is>
          <t>KPP-MSA-2025-45</t>
        </is>
      </c>
      <c r="E75" s="1" t="inlineStr">
        <is>
          <t>Fleet orchestration platform, annual site licence</t>
        </is>
      </c>
      <c r="F75" s="1" t="n">
        <v>2</v>
      </c>
      <c r="G75" s="1" t="n">
        <v>95750</v>
      </c>
      <c r="H75" s="1">
        <f>F75*G75</f>
        <v/>
      </c>
      <c r="I75" s="1" t="n">
        <v>0.0475</v>
      </c>
      <c r="J75" s="1">
        <f>ROUND(H75*I75,2)</f>
        <v/>
      </c>
      <c r="K75" s="1" t="inlineStr">
        <is>
          <t>2025-07</t>
        </is>
      </c>
      <c r="L75" s="1" t="n">
        <v>114900</v>
      </c>
      <c r="M75" s="1" t="inlineStr">
        <is>
          <t>4020</t>
        </is>
      </c>
      <c r="N75" s="1" t="inlineStr">
        <is>
          <t>Paid</t>
        </is>
      </c>
      <c r="O75" s="1" t="inlineStr">
        <is>
          <t>PO-KPP-1104</t>
        </is>
      </c>
    </row>
    <row r="76">
      <c r="A76" s="1" t="inlineStr">
        <is>
          <t>INV-2025-20075</t>
        </is>
      </c>
      <c r="B76" s="2" t="n">
        <v>45775</v>
      </c>
      <c r="C76" s="1" t="inlineStr">
        <is>
          <t>Tamarack Electronics</t>
        </is>
      </c>
      <c r="D76" s="1" t="inlineStr">
        <is>
          <t>TCE-MSA-2025-59</t>
        </is>
      </c>
      <c r="E76" s="1" t="inlineStr">
        <is>
          <t>Premium support and spares pool</t>
        </is>
      </c>
      <c r="F76" s="1" t="n">
        <v>2</v>
      </c>
      <c r="G76" s="1" t="n">
        <v>55900</v>
      </c>
      <c r="H76" s="1">
        <f>F76*G76</f>
        <v/>
      </c>
      <c r="I76" s="1" t="n">
        <v>0.065</v>
      </c>
      <c r="J76" s="1">
        <f>ROUND(H76*I76,2)</f>
        <v/>
      </c>
      <c r="K76" s="1" t="inlineStr">
        <is>
          <t>2025-05</t>
        </is>
      </c>
      <c r="L76" s="1" t="n">
        <v>83850</v>
      </c>
      <c r="M76" s="1" t="inlineStr">
        <is>
          <t>4020</t>
        </is>
      </c>
      <c r="N76" s="1" t="inlineStr">
        <is>
          <t>Partially paid</t>
        </is>
      </c>
      <c r="O76" s="1" t="inlineStr">
        <is>
          <t>PO-TCE-1817</t>
        </is>
      </c>
    </row>
    <row r="77">
      <c r="A77" s="1" t="inlineStr">
        <is>
          <t>INV-2025-20076</t>
        </is>
      </c>
      <c r="B77" s="2" t="n">
        <v>45807</v>
      </c>
      <c r="C77" s="1" t="inlineStr">
        <is>
          <t>Larkspur Apparel</t>
        </is>
      </c>
      <c r="D77" s="1" t="inlineStr">
        <is>
          <t>LKA-MSA-2025-83</t>
        </is>
      </c>
      <c r="E77" s="1" t="inlineStr">
        <is>
          <t>Fleet orchestration expansion pack, per robot</t>
        </is>
      </c>
      <c r="F77" s="1" t="n">
        <v>120</v>
      </c>
      <c r="G77" s="1" t="n">
        <v>1953</v>
      </c>
      <c r="H77" s="1">
        <f>F77*G77</f>
        <v/>
      </c>
      <c r="I77" s="1" t="n">
        <v>0.06</v>
      </c>
      <c r="J77" s="1">
        <f>ROUND(H77*I77,2)</f>
        <v/>
      </c>
      <c r="K77" s="1" t="inlineStr">
        <is>
          <t>2025-06</t>
        </is>
      </c>
      <c r="L77" s="1" t="n">
        <v>185144.4</v>
      </c>
      <c r="M77" s="1" t="inlineStr">
        <is>
          <t>4020</t>
        </is>
      </c>
      <c r="N77" s="1" t="inlineStr">
        <is>
          <t>Written off</t>
        </is>
      </c>
      <c r="O77" s="1" t="inlineStr">
        <is>
          <t>PO-LKA-7963</t>
        </is>
      </c>
    </row>
    <row r="78">
      <c r="A78" s="1" t="inlineStr">
        <is>
          <t>INV-2025-20077</t>
        </is>
      </c>
      <c r="B78" s="2" t="n">
        <v>45813</v>
      </c>
      <c r="C78" s="1" t="inlineStr">
        <is>
          <t>Granite Peak Distribution</t>
        </is>
      </c>
      <c r="D78" s="1" t="inlineStr">
        <is>
          <t>GPD-MSA-2025-21</t>
        </is>
      </c>
      <c r="E78" s="1" t="inlineStr">
        <is>
          <t>Premium support and spares pool</t>
        </is>
      </c>
      <c r="F78" s="1" t="n">
        <v>4</v>
      </c>
      <c r="G78" s="1" t="n">
        <v>57300</v>
      </c>
      <c r="H78" s="1">
        <f>F78*G78</f>
        <v/>
      </c>
      <c r="I78" s="1" t="n">
        <v>0.09</v>
      </c>
      <c r="J78" s="1">
        <f>ROUND(H78*I78,2)</f>
        <v/>
      </c>
      <c r="K78" s="1" t="inlineStr">
        <is>
          <t>2025-07</t>
        </is>
      </c>
      <c r="L78" s="1" t="n">
        <v>137520</v>
      </c>
      <c r="M78" s="1" t="inlineStr">
        <is>
          <t>4020</t>
        </is>
      </c>
      <c r="N78" s="1" t="inlineStr">
        <is>
          <t>Open</t>
        </is>
      </c>
      <c r="O78" s="1" t="inlineStr">
        <is>
          <t>PO-GPD-4507</t>
        </is>
      </c>
    </row>
    <row r="79">
      <c r="A79" s="1" t="inlineStr">
        <is>
          <t>INV-2025-20078</t>
        </is>
      </c>
      <c r="B79" s="2" t="n">
        <v>45777</v>
      </c>
      <c r="C79" s="1" t="inlineStr">
        <is>
          <t>Fathom Mobility</t>
        </is>
      </c>
      <c r="D79" s="1" t="inlineStr">
        <is>
          <t>FTM-MSA-2024-46</t>
        </is>
      </c>
      <c r="E79" s="1" t="inlineStr">
        <is>
          <t>Deployment and commissioning services</t>
        </is>
      </c>
      <c r="F79" s="1" t="n">
        <v>34</v>
      </c>
      <c r="G79" s="1" t="n">
        <v>1850</v>
      </c>
      <c r="H79" s="1">
        <f>F79*G79</f>
        <v/>
      </c>
      <c r="I79" s="1" t="n">
        <v>0.0825</v>
      </c>
      <c r="J79" s="1">
        <f>ROUND(H79*I79,2)</f>
        <v/>
      </c>
      <c r="K79" s="1" t="inlineStr">
        <is>
          <t>2025-05</t>
        </is>
      </c>
      <c r="L79" s="1" t="n">
        <v>9435</v>
      </c>
      <c r="M79" s="1" t="inlineStr">
        <is>
          <t>4030</t>
        </is>
      </c>
      <c r="N79" s="1" t="inlineStr">
        <is>
          <t>Credit issued</t>
        </is>
      </c>
      <c r="O79" s="1" t="inlineStr">
        <is>
          <t>PO-FTM-1980</t>
        </is>
      </c>
    </row>
    <row r="80">
      <c r="A80" s="1" t="inlineStr">
        <is>
          <t>INV-2025-20079</t>
        </is>
      </c>
      <c r="B80" s="2" t="n">
        <v>45807</v>
      </c>
      <c r="C80" s="1" t="inlineStr">
        <is>
          <t>Larkspur Apparel</t>
        </is>
      </c>
      <c r="D80" s="1" t="inlineStr">
        <is>
          <t>LKA-MSA-2023-30</t>
        </is>
      </c>
      <c r="E80" s="1" t="inlineStr">
        <is>
          <t>Safety scanner retrofit kit</t>
        </is>
      </c>
      <c r="F80" s="1" t="n">
        <v>4</v>
      </c>
      <c r="G80" s="1" t="n">
        <v>7250</v>
      </c>
      <c r="H80" s="1">
        <f>F80*G80</f>
        <v/>
      </c>
      <c r="I80" s="1" t="n">
        <v>0.065</v>
      </c>
      <c r="J80" s="1">
        <f>ROUND(H80*I80,2)</f>
        <v/>
      </c>
      <c r="K80" s="1" t="inlineStr">
        <is>
          <t>2025-06</t>
        </is>
      </c>
      <c r="L80" s="1" t="n">
        <v>0</v>
      </c>
      <c r="M80" s="1" t="inlineStr">
        <is>
          <t>4010</t>
        </is>
      </c>
      <c r="N80" s="1" t="inlineStr">
        <is>
          <t>Written off</t>
        </is>
      </c>
      <c r="O80" s="1" t="inlineStr">
        <is>
          <t>PO-LKA-9194</t>
        </is>
      </c>
    </row>
    <row r="81">
      <c r="A81" s="1" t="inlineStr">
        <is>
          <t>INV-2025-20080</t>
        </is>
      </c>
      <c r="B81" s="2" t="n">
        <v>45821</v>
      </c>
      <c r="C81" s="1" t="inlineStr">
        <is>
          <t>Granite Peak Distribution</t>
        </is>
      </c>
      <c r="D81" s="1" t="inlineStr">
        <is>
          <t>GPD-MSA-2023-33</t>
        </is>
      </c>
      <c r="E81" s="1" t="inlineStr">
        <is>
          <t>Premium support and spares pool</t>
        </is>
      </c>
      <c r="F81" s="1" t="n">
        <v>4</v>
      </c>
      <c r="G81" s="1" t="n">
        <v>57050</v>
      </c>
      <c r="H81" s="1">
        <f>F81*G81</f>
        <v/>
      </c>
      <c r="I81" s="1" t="n">
        <v>0</v>
      </c>
      <c r="J81" s="1">
        <f>ROUND(H81*I81,2)</f>
        <v/>
      </c>
      <c r="K81" s="1" t="inlineStr">
        <is>
          <t>2025-07</t>
        </is>
      </c>
      <c r="L81" s="1" t="n">
        <v>180278</v>
      </c>
      <c r="M81" s="1" t="inlineStr">
        <is>
          <t>4020</t>
        </is>
      </c>
      <c r="N81" s="1" t="inlineStr">
        <is>
          <t>Paid</t>
        </is>
      </c>
      <c r="O81" s="1" t="inlineStr">
        <is>
          <t>PO-GPD-8777</t>
        </is>
      </c>
    </row>
    <row r="82">
      <c r="A82" s="1" t="inlineStr">
        <is>
          <t>INV-2025-20081</t>
        </is>
      </c>
      <c r="B82" s="2" t="n">
        <v>45751</v>
      </c>
      <c r="C82" s="1" t="inlineStr">
        <is>
          <t>Dunbar Industrial</t>
        </is>
      </c>
      <c r="D82" s="1" t="inlineStr">
        <is>
          <t>DBI-MSA-2022-38</t>
        </is>
      </c>
      <c r="E82" s="1" t="inlineStr">
        <is>
          <t>Fleet orchestration platform, annual site licence</t>
        </is>
      </c>
      <c r="F82" s="1" t="n">
        <v>2</v>
      </c>
      <c r="G82" s="1" t="n">
        <v>93800</v>
      </c>
      <c r="H82" s="1">
        <f>F82*G82</f>
        <v/>
      </c>
      <c r="I82" s="1" t="n">
        <v>0.065</v>
      </c>
      <c r="J82" s="1">
        <f>ROUND(H82*I82,2)</f>
        <v/>
      </c>
      <c r="K82" s="1" t="inlineStr">
        <is>
          <t>2025-05</t>
        </is>
      </c>
      <c r="L82" s="1" t="n">
        <v>140700</v>
      </c>
      <c r="M82" s="1" t="inlineStr">
        <is>
          <t>4020</t>
        </is>
      </c>
      <c r="N82" s="1" t="inlineStr">
        <is>
          <t>Written off</t>
        </is>
      </c>
      <c r="O82" s="1" t="inlineStr">
        <is>
          <t>PO-DBI-1088</t>
        </is>
      </c>
    </row>
    <row r="83">
      <c r="A83" s="1" t="inlineStr">
        <is>
          <t>INV-2025-20082</t>
        </is>
      </c>
      <c r="B83" s="2" t="n">
        <v>45807</v>
      </c>
      <c r="C83" s="1" t="inlineStr">
        <is>
          <t>Juniper Health Supply</t>
        </is>
      </c>
      <c r="D83" s="1" t="inlineStr">
        <is>
          <t>JHS-MSA-2024-86</t>
        </is>
      </c>
      <c r="E83" s="1" t="inlineStr">
        <is>
          <t>Deployment and commissioning services</t>
        </is>
      </c>
      <c r="F83" s="1" t="n">
        <v>31</v>
      </c>
      <c r="G83" s="1" t="n">
        <v>1147</v>
      </c>
      <c r="H83" s="1">
        <f>F83*G83</f>
        <v/>
      </c>
      <c r="I83" s="1" t="n">
        <v>0.06</v>
      </c>
      <c r="J83" s="1">
        <f>ROUND(H83*I83,2)</f>
        <v/>
      </c>
      <c r="K83" s="1" t="inlineStr">
        <is>
          <t>2025-06</t>
        </is>
      </c>
      <c r="L83" s="1" t="n">
        <v>1777.85</v>
      </c>
      <c r="M83" s="1" t="inlineStr">
        <is>
          <t>4030</t>
        </is>
      </c>
      <c r="N83" s="1" t="inlineStr">
        <is>
          <t>Open</t>
        </is>
      </c>
      <c r="O83" s="1" t="inlineStr">
        <is>
          <t>PO-JHS-5711</t>
        </is>
      </c>
    </row>
    <row r="84">
      <c r="A84" s="1" t="inlineStr">
        <is>
          <t>INV-2025-20083</t>
        </is>
      </c>
      <c r="B84" s="2" t="n">
        <v>45831</v>
      </c>
      <c r="C84" s="1" t="inlineStr">
        <is>
          <t>Harborline Systems</t>
        </is>
      </c>
      <c r="D84" s="1" t="inlineStr">
        <is>
          <t>HLS-MSA-2025-85</t>
        </is>
      </c>
      <c r="E84" s="1" t="inlineStr">
        <is>
          <t>Autonomous mobile robot, 220 kg payload</t>
        </is>
      </c>
      <c r="F84" s="1" t="n">
        <v>2</v>
      </c>
      <c r="G84" s="1" t="n">
        <v>41500</v>
      </c>
      <c r="H84" s="1">
        <f>F84*G84</f>
        <v/>
      </c>
      <c r="I84" s="1" t="n">
        <v>0</v>
      </c>
      <c r="J84" s="1">
        <f>ROUND(H84*I84,2)</f>
        <v/>
      </c>
      <c r="K84" s="1" t="inlineStr">
        <is>
          <t>2025-07</t>
        </is>
      </c>
      <c r="L84" s="1" t="n">
        <v>0</v>
      </c>
      <c r="M84" s="1" t="inlineStr">
        <is>
          <t>4010</t>
        </is>
      </c>
      <c r="N84" s="1" t="inlineStr">
        <is>
          <t>Partially paid</t>
        </is>
      </c>
      <c r="O84" s="1" t="inlineStr">
        <is>
          <t>PO-HLS-7442</t>
        </is>
      </c>
    </row>
    <row r="85">
      <c r="A85" s="1" t="inlineStr">
        <is>
          <t>INV-2025-20084</t>
        </is>
      </c>
      <c r="B85" s="2" t="n">
        <v>45777</v>
      </c>
      <c r="C85" s="1" t="inlineStr">
        <is>
          <t>Summit Ridge Retail</t>
        </is>
      </c>
      <c r="D85" s="1" t="inlineStr">
        <is>
          <t>SRR-MSA-2024-18</t>
        </is>
      </c>
      <c r="E85" s="1" t="inlineStr">
        <is>
          <t>Opportunity charging dock</t>
        </is>
      </c>
      <c r="F85" s="1" t="n">
        <v>9</v>
      </c>
      <c r="G85" s="1" t="n">
        <v>9600</v>
      </c>
      <c r="H85" s="1">
        <f>F85*G85</f>
        <v/>
      </c>
      <c r="I85" s="1" t="n">
        <v>0.0825</v>
      </c>
      <c r="J85" s="1">
        <f>ROUND(H85*I85,2)</f>
        <v/>
      </c>
      <c r="K85" s="1" t="inlineStr">
        <is>
          <t>2025-05</t>
        </is>
      </c>
      <c r="L85" s="1" t="n">
        <v>0</v>
      </c>
      <c r="M85" s="1" t="inlineStr">
        <is>
          <t>4010</t>
        </is>
      </c>
      <c r="N85" s="1" t="inlineStr">
        <is>
          <t>Open</t>
        </is>
      </c>
      <c r="O85" s="1" t="inlineStr">
        <is>
          <t>PO-SRR-8919</t>
        </is>
      </c>
    </row>
    <row r="86">
      <c r="A86" s="1" t="inlineStr">
        <is>
          <t>INV-2025-20085</t>
        </is>
      </c>
      <c r="B86" s="2" t="n">
        <v>45807</v>
      </c>
      <c r="C86" s="1" t="inlineStr">
        <is>
          <t>Juniper Health Supply</t>
        </is>
      </c>
      <c r="D86" s="1" t="inlineStr">
        <is>
          <t>JHS-MSA-2024-26</t>
        </is>
      </c>
      <c r="E86" s="1" t="inlineStr">
        <is>
          <t>Fleet orchestration platform, annual site licence</t>
        </is>
      </c>
      <c r="F86" s="1" t="n">
        <v>3</v>
      </c>
      <c r="G86" s="1" t="n">
        <v>96000</v>
      </c>
      <c r="H86" s="1">
        <f>F86*G86</f>
        <v/>
      </c>
      <c r="I86" s="1" t="n">
        <v>0.065</v>
      </c>
      <c r="J86" s="1">
        <f>ROUND(H86*I86,2)</f>
        <v/>
      </c>
      <c r="K86" s="1" t="inlineStr">
        <is>
          <t>2025-06</t>
        </is>
      </c>
      <c r="L86" s="1" t="n">
        <v>221760</v>
      </c>
      <c r="M86" s="1" t="inlineStr">
        <is>
          <t>4020</t>
        </is>
      </c>
      <c r="N86" s="1" t="inlineStr">
        <is>
          <t>Open</t>
        </is>
      </c>
      <c r="O86" s="1" t="inlineStr">
        <is>
          <t>PO-JHS-2716</t>
        </is>
      </c>
    </row>
    <row r="87">
      <c r="A87" s="1" t="inlineStr">
        <is>
          <t>INV-2025-20086</t>
        </is>
      </c>
      <c r="B87" s="2" t="n">
        <v>45835</v>
      </c>
      <c r="C87" s="1" t="inlineStr">
        <is>
          <t>Alderbrook Textiles</t>
        </is>
      </c>
      <c r="D87" s="1" t="inlineStr">
        <is>
          <t>ABT-MSA-2025-43</t>
        </is>
      </c>
      <c r="E87" s="1" t="inlineStr">
        <is>
          <t>Telemetry retention tier, extended</t>
        </is>
      </c>
      <c r="F87" s="1" t="n">
        <v>3</v>
      </c>
      <c r="G87" s="1" t="n">
        <v>23600</v>
      </c>
      <c r="H87" s="1">
        <f>F87*G87</f>
        <v/>
      </c>
      <c r="I87" s="1" t="n">
        <v>0.065</v>
      </c>
      <c r="J87" s="1">
        <f>ROUND(H87*I87,2)</f>
        <v/>
      </c>
      <c r="K87" s="1" t="inlineStr">
        <is>
          <t>2025-07</t>
        </is>
      </c>
      <c r="L87" s="1" t="n">
        <v>46020</v>
      </c>
      <c r="M87" s="1" t="inlineStr">
        <is>
          <t>4020</t>
        </is>
      </c>
      <c r="N87" s="1" t="inlineStr">
        <is>
          <t>Paid</t>
        </is>
      </c>
      <c r="O87" s="1" t="inlineStr">
        <is>
          <t>PO-ABT-2062</t>
        </is>
      </c>
    </row>
    <row r="88">
      <c r="A88" s="1" t="inlineStr">
        <is>
          <t>INV-2025-20087</t>
        </is>
      </c>
      <c r="B88" s="2" t="n">
        <v>45777</v>
      </c>
      <c r="C88" s="1" t="inlineStr">
        <is>
          <t>Ironvale Grocery Group</t>
        </is>
      </c>
      <c r="D88" s="1" t="inlineStr">
        <is>
          <t>IVG-MSA-2025-28</t>
        </is>
      </c>
      <c r="E88" s="1" t="inlineStr">
        <is>
          <t>Operator training programme</t>
        </is>
      </c>
      <c r="F88" s="1" t="n">
        <v>1</v>
      </c>
      <c r="G88" s="1" t="n">
        <v>3300</v>
      </c>
      <c r="H88" s="1">
        <f>F88*G88</f>
        <v/>
      </c>
      <c r="I88" s="1" t="n">
        <v>0.07000000000000001</v>
      </c>
      <c r="J88" s="1">
        <f>ROUND(H88*I88,2)</f>
        <v/>
      </c>
      <c r="K88" s="1" t="inlineStr">
        <is>
          <t>2025-05</t>
        </is>
      </c>
      <c r="L88" s="1" t="n">
        <v>429</v>
      </c>
      <c r="M88" s="1" t="inlineStr">
        <is>
          <t>4030</t>
        </is>
      </c>
      <c r="N88" s="1" t="inlineStr">
        <is>
          <t>Open</t>
        </is>
      </c>
      <c r="O88" s="1" t="inlineStr">
        <is>
          <t>PO-IVG-5395</t>
        </is>
      </c>
    </row>
    <row r="89">
      <c r="A89" s="1" t="inlineStr">
        <is>
          <t>INV-2025-20088</t>
        </is>
      </c>
      <c r="B89" s="2" t="n">
        <v>45807</v>
      </c>
      <c r="C89" s="1" t="inlineStr">
        <is>
          <t>Quarrybridge Materials</t>
        </is>
      </c>
      <c r="D89" s="1" t="inlineStr">
        <is>
          <t>QBM-MSA-2023-84</t>
        </is>
      </c>
      <c r="E89" s="1" t="inlineStr">
        <is>
          <t>Fleet orchestration platform, annual site licence</t>
        </is>
      </c>
      <c r="F89" s="1" t="n">
        <v>1</v>
      </c>
      <c r="G89" s="1" t="n">
        <v>94600</v>
      </c>
      <c r="H89" s="1">
        <f>F89*G89</f>
        <v/>
      </c>
      <c r="I89" s="1" t="n">
        <v>0.065</v>
      </c>
      <c r="J89" s="1">
        <f>ROUND(H89*I89,2)</f>
        <v/>
      </c>
      <c r="K89" s="1" t="inlineStr">
        <is>
          <t>2025-06</t>
        </is>
      </c>
      <c r="L89" s="1" t="n">
        <v>68112</v>
      </c>
      <c r="M89" s="1" t="inlineStr">
        <is>
          <t>4020</t>
        </is>
      </c>
      <c r="N89" s="1" t="inlineStr">
        <is>
          <t>Paid</t>
        </is>
      </c>
      <c r="O89" s="1" t="inlineStr">
        <is>
          <t>PO-QBM-9753</t>
        </is>
      </c>
    </row>
    <row r="90">
      <c r="A90" s="1" t="inlineStr">
        <is>
          <t>INV-2025-20089</t>
        </is>
      </c>
      <c r="B90" s="2" t="n">
        <v>45828</v>
      </c>
      <c r="C90" s="1" t="inlineStr">
        <is>
          <t>Dorsey Grain Cooperative</t>
        </is>
      </c>
      <c r="D90" s="1" t="inlineStr">
        <is>
          <t>DGC-MSA-2025-31</t>
        </is>
      </c>
      <c r="E90" s="1" t="inlineStr">
        <is>
          <t>Telemetry retention tier, extended</t>
        </is>
      </c>
      <c r="F90" s="1" t="n">
        <v>4</v>
      </c>
      <c r="G90" s="1" t="n">
        <v>23100</v>
      </c>
      <c r="H90" s="1">
        <f>F90*G90</f>
        <v/>
      </c>
      <c r="I90" s="1" t="n">
        <v>0.06</v>
      </c>
      <c r="J90" s="1">
        <f>ROUND(H90*I90,2)</f>
        <v/>
      </c>
      <c r="K90" s="1" t="inlineStr">
        <is>
          <t>2025-07</t>
        </is>
      </c>
      <c r="L90" s="1" t="n">
        <v>58212</v>
      </c>
      <c r="M90" s="1" t="inlineStr">
        <is>
          <t>4020</t>
        </is>
      </c>
      <c r="N90" s="1" t="inlineStr">
        <is>
          <t>Partially paid</t>
        </is>
      </c>
      <c r="O90" s="1" t="inlineStr">
        <is>
          <t>PO-DGC-1834</t>
        </is>
      </c>
    </row>
    <row r="91">
      <c r="A91" s="1" t="inlineStr">
        <is>
          <t>INV-2025-20090</t>
        </is>
      </c>
      <c r="B91" s="2" t="n">
        <v>45749</v>
      </c>
      <c r="C91" s="1" t="inlineStr">
        <is>
          <t>Redwood Optics</t>
        </is>
      </c>
      <c r="D91" s="1" t="inlineStr">
        <is>
          <t>RWO-MSA-2022-72</t>
        </is>
      </c>
      <c r="E91" s="1" t="inlineStr">
        <is>
          <t>Deployment and commissioning services</t>
        </is>
      </c>
      <c r="F91" s="1" t="n">
        <v>41</v>
      </c>
      <c r="G91" s="1" t="n">
        <v>1600</v>
      </c>
      <c r="H91" s="1">
        <f>F91*G91</f>
        <v/>
      </c>
      <c r="I91" s="1" t="n">
        <v>0.07000000000000001</v>
      </c>
      <c r="J91" s="1">
        <f>ROUND(H91*I91,2)</f>
        <v/>
      </c>
      <c r="K91" s="1" t="inlineStr">
        <is>
          <t>2025-05</t>
        </is>
      </c>
      <c r="L91" s="1" t="n">
        <v>4592</v>
      </c>
      <c r="M91" s="1" t="inlineStr">
        <is>
          <t>4030</t>
        </is>
      </c>
      <c r="N91" s="1" t="inlineStr">
        <is>
          <t>Paid</t>
        </is>
      </c>
      <c r="O91" s="1" t="inlineStr">
        <is>
          <t>PO-RWO-3272</t>
        </is>
      </c>
    </row>
    <row r="92">
      <c r="A92" s="1" t="inlineStr">
        <is>
          <t>INV-2025-20091</t>
        </is>
      </c>
      <c r="B92" s="2" t="n">
        <v>45798</v>
      </c>
      <c r="C92" s="1" t="inlineStr">
        <is>
          <t>Granite Peak Distribution</t>
        </is>
      </c>
      <c r="D92" s="1" t="inlineStr">
        <is>
          <t>GPD-MSA-2022-44</t>
        </is>
      </c>
      <c r="E92" s="1" t="inlineStr">
        <is>
          <t>Fleet orchestration expansion pack, per robot</t>
        </is>
      </c>
      <c r="F92" s="1" t="n">
        <v>108</v>
      </c>
      <c r="G92" s="1" t="n">
        <v>2250</v>
      </c>
      <c r="H92" s="1">
        <f>F92*G92</f>
        <v/>
      </c>
      <c r="I92" s="1" t="n">
        <v>0.06</v>
      </c>
      <c r="J92" s="1">
        <f>ROUND(H92*I92,2)</f>
        <v/>
      </c>
      <c r="K92" s="1" t="inlineStr">
        <is>
          <t>2025-06</t>
        </is>
      </c>
      <c r="L92" s="1" t="n">
        <v>196830</v>
      </c>
      <c r="M92" s="1" t="inlineStr">
        <is>
          <t>4020</t>
        </is>
      </c>
      <c r="N92" s="1" t="inlineStr">
        <is>
          <t>Paid</t>
        </is>
      </c>
      <c r="O92" s="1" t="inlineStr">
        <is>
          <t>PO-GPD-3690</t>
        </is>
      </c>
    </row>
    <row r="93">
      <c r="A93" s="1" t="inlineStr">
        <is>
          <t>INV-2025-20092</t>
        </is>
      </c>
      <c r="B93" s="2" t="n">
        <v>45835</v>
      </c>
      <c r="C93" s="1" t="inlineStr">
        <is>
          <t>Larkspur Apparel</t>
        </is>
      </c>
      <c r="D93" s="1" t="inlineStr">
        <is>
          <t>LKA-MSA-2023-78</t>
        </is>
      </c>
      <c r="E93" s="1" t="inlineStr">
        <is>
          <t>Warehouse management system connector</t>
        </is>
      </c>
      <c r="F93" s="1" t="n">
        <v>3</v>
      </c>
      <c r="G93" s="1" t="n">
        <v>37500</v>
      </c>
      <c r="H93" s="1">
        <f>F93*G93</f>
        <v/>
      </c>
      <c r="I93" s="1" t="n">
        <v>0.07000000000000001</v>
      </c>
      <c r="J93" s="1">
        <f>ROUND(H93*I93,2)</f>
        <v/>
      </c>
      <c r="K93" s="1" t="inlineStr">
        <is>
          <t>2025-07</t>
        </is>
      </c>
      <c r="L93" s="1" t="n">
        <v>7875</v>
      </c>
      <c r="M93" s="1" t="inlineStr">
        <is>
          <t>4030</t>
        </is>
      </c>
      <c r="N93" s="1" t="inlineStr">
        <is>
          <t>Credit issued</t>
        </is>
      </c>
      <c r="O93" s="1" t="inlineStr">
        <is>
          <t>PO-LKA-8000</t>
        </is>
      </c>
    </row>
    <row r="94">
      <c r="A94" s="1" t="inlineStr">
        <is>
          <t>INV-2025-20093</t>
        </is>
      </c>
      <c r="B94" s="2" t="n">
        <v>45775</v>
      </c>
      <c r="C94" s="1" t="inlineStr">
        <is>
          <t>Meridian Dynamics</t>
        </is>
      </c>
      <c r="D94" s="1" t="inlineStr">
        <is>
          <t>MDY-MSA-2022-39</t>
        </is>
      </c>
      <c r="E94" s="1" t="inlineStr">
        <is>
          <t>Warehouse management system connector</t>
        </is>
      </c>
      <c r="F94" s="1" t="n">
        <v>1</v>
      </c>
      <c r="G94" s="1" t="n">
        <v>38650</v>
      </c>
      <c r="H94" s="1">
        <f>F94*G94</f>
        <v/>
      </c>
      <c r="I94" s="1" t="n">
        <v>0.06</v>
      </c>
      <c r="J94" s="1">
        <f>ROUND(H94*I94,2)</f>
        <v/>
      </c>
      <c r="K94" s="1" t="inlineStr">
        <is>
          <t>2025-05</t>
        </is>
      </c>
      <c r="L94" s="1" t="n">
        <v>9276</v>
      </c>
      <c r="M94" s="1" t="inlineStr">
        <is>
          <t>4030</t>
        </is>
      </c>
      <c r="N94" s="1" t="inlineStr">
        <is>
          <t>Credit issued</t>
        </is>
      </c>
      <c r="O94" s="1" t="inlineStr">
        <is>
          <t>PO-MDY-4202</t>
        </is>
      </c>
    </row>
    <row r="95">
      <c r="A95" s="1" t="inlineStr">
        <is>
          <t>INV-2025-20094</t>
        </is>
      </c>
      <c r="B95" s="2" t="n">
        <v>45807</v>
      </c>
      <c r="C95" s="1" t="inlineStr">
        <is>
          <t>Fathom Mobility</t>
        </is>
      </c>
      <c r="D95" s="1" t="inlineStr">
        <is>
          <t>FTM-MSA-2022-84</t>
        </is>
      </c>
      <c r="E95" s="1" t="inlineStr">
        <is>
          <t>Remote operations desk coverage</t>
        </is>
      </c>
      <c r="F95" s="1" t="n">
        <v>1</v>
      </c>
      <c r="G95" s="1" t="n">
        <v>12100</v>
      </c>
      <c r="H95" s="1">
        <f>F95*G95</f>
        <v/>
      </c>
      <c r="I95" s="1" t="n">
        <v>0.065</v>
      </c>
      <c r="J95" s="1">
        <f>ROUND(H95*I95,2)</f>
        <v/>
      </c>
      <c r="K95" s="1" t="inlineStr">
        <is>
          <t>2025-06</t>
        </is>
      </c>
      <c r="L95" s="1" t="n">
        <v>8954</v>
      </c>
      <c r="M95" s="1" t="inlineStr">
        <is>
          <t>4020</t>
        </is>
      </c>
      <c r="N95" s="1" t="inlineStr">
        <is>
          <t>Partially paid</t>
        </is>
      </c>
      <c r="O95" s="1" t="inlineStr">
        <is>
          <t>PO-FTM-6077</t>
        </is>
      </c>
    </row>
    <row r="96">
      <c r="A96" s="1" t="inlineStr">
        <is>
          <t>INV-2025-20095</t>
        </is>
      </c>
      <c r="B96" s="2" t="n">
        <v>45835</v>
      </c>
      <c r="C96" s="1" t="inlineStr">
        <is>
          <t>Pioneer Freight Union</t>
        </is>
      </c>
      <c r="D96" s="1" t="inlineStr">
        <is>
          <t>PFU-MSA-2022-70</t>
        </is>
      </c>
      <c r="E96" s="1" t="inlineStr">
        <is>
          <t>Premium support and spares pool</t>
        </is>
      </c>
      <c r="F96" s="1" t="n">
        <v>4</v>
      </c>
      <c r="G96" s="1" t="n">
        <v>55900</v>
      </c>
      <c r="H96" s="1">
        <f>F96*G96</f>
        <v/>
      </c>
      <c r="I96" s="1" t="n">
        <v>0.0475</v>
      </c>
      <c r="J96" s="1">
        <f>ROUND(H96*I96,2)</f>
        <v/>
      </c>
      <c r="K96" s="1" t="inlineStr">
        <is>
          <t>2025-07</t>
        </is>
      </c>
      <c r="L96" s="1" t="n">
        <v>129688</v>
      </c>
      <c r="M96" s="1" t="inlineStr">
        <is>
          <t>4020</t>
        </is>
      </c>
      <c r="N96" s="1" t="inlineStr">
        <is>
          <t>Credit issued</t>
        </is>
      </c>
      <c r="O96" s="1" t="inlineStr">
        <is>
          <t>PO-PFU-8987</t>
        </is>
      </c>
    </row>
    <row r="97">
      <c r="A97" s="1" t="inlineStr">
        <is>
          <t>INV-2025-20096</t>
        </is>
      </c>
      <c r="B97" s="2" t="n">
        <v>45758</v>
      </c>
      <c r="C97" s="1" t="inlineStr">
        <is>
          <t>Juniper Health Supply</t>
        </is>
      </c>
      <c r="D97" s="1" t="inlineStr">
        <is>
          <t>JHS-MSA-2023-72</t>
        </is>
      </c>
      <c r="E97" s="1" t="inlineStr">
        <is>
          <t>Safety scanner retrofit kit</t>
        </is>
      </c>
      <c r="F97" s="1" t="n">
        <v>3</v>
      </c>
      <c r="G97" s="1" t="n">
        <v>6350</v>
      </c>
      <c r="H97" s="1">
        <f>F97*G97</f>
        <v/>
      </c>
      <c r="I97" s="1" t="n">
        <v>0.06</v>
      </c>
      <c r="J97" s="1">
        <f>ROUND(H97*I97,2)</f>
        <v/>
      </c>
      <c r="K97" s="1" t="inlineStr">
        <is>
          <t>2025-05</t>
        </is>
      </c>
      <c r="L97" s="1" t="n">
        <v>0</v>
      </c>
      <c r="M97" s="1" t="inlineStr">
        <is>
          <t>4010</t>
        </is>
      </c>
      <c r="N97" s="1" t="inlineStr">
        <is>
          <t>Paid</t>
        </is>
      </c>
      <c r="O97" s="1" t="inlineStr">
        <is>
          <t>PO-JHS-1688</t>
        </is>
      </c>
    </row>
    <row r="98">
      <c r="A98" s="1" t="inlineStr">
        <is>
          <t>INV-2025-20097</t>
        </is>
      </c>
      <c r="B98" s="2" t="n">
        <v>45807</v>
      </c>
      <c r="C98" s="1" t="inlineStr">
        <is>
          <t>Tamarack Electronics</t>
        </is>
      </c>
      <c r="D98" s="1" t="inlineStr">
        <is>
          <t>TCE-MSA-2022-42</t>
        </is>
      </c>
      <c r="E98" s="1" t="inlineStr">
        <is>
          <t>Safety scanner retrofit kit</t>
        </is>
      </c>
      <c r="F98" s="1" t="n">
        <v>2</v>
      </c>
      <c r="G98" s="1" t="n">
        <v>7250</v>
      </c>
      <c r="H98" s="1">
        <f>F98*G98</f>
        <v/>
      </c>
      <c r="I98" s="1" t="n">
        <v>0.06</v>
      </c>
      <c r="J98" s="1">
        <f>ROUND(H98*I98,2)</f>
        <v/>
      </c>
      <c r="K98" s="1" t="inlineStr">
        <is>
          <t>2025-06</t>
        </is>
      </c>
      <c r="L98" s="1" t="n">
        <v>0</v>
      </c>
      <c r="M98" s="1" t="inlineStr">
        <is>
          <t>4010</t>
        </is>
      </c>
      <c r="N98" s="1" t="inlineStr">
        <is>
          <t>Disputed</t>
        </is>
      </c>
      <c r="O98" s="1" t="inlineStr">
        <is>
          <t>PO-TCE-6169</t>
        </is>
      </c>
    </row>
    <row r="99">
      <c r="A99" s="1" t="inlineStr">
        <is>
          <t>INV-2025-20098</t>
        </is>
      </c>
      <c r="B99" s="2" t="n">
        <v>45835</v>
      </c>
      <c r="C99" s="1" t="inlineStr">
        <is>
          <t>Orchard Grove Foods</t>
        </is>
      </c>
      <c r="D99" s="1" t="inlineStr">
        <is>
          <t>OGF-MSA-2023-52</t>
        </is>
      </c>
      <c r="E99" s="1" t="inlineStr">
        <is>
          <t>Warehouse management system connector</t>
        </is>
      </c>
      <c r="F99" s="1" t="n">
        <v>2</v>
      </c>
      <c r="G99" s="1" t="n">
        <v>36700</v>
      </c>
      <c r="H99" s="1">
        <f>F99*G99</f>
        <v/>
      </c>
      <c r="I99" s="1" t="n">
        <v>0.07000000000000001</v>
      </c>
      <c r="J99" s="1">
        <f>ROUND(H99*I99,2)</f>
        <v/>
      </c>
      <c r="K99" s="1" t="inlineStr">
        <is>
          <t>2025-07</t>
        </is>
      </c>
      <c r="L99" s="1" t="n">
        <v>1468</v>
      </c>
      <c r="M99" s="1" t="inlineStr">
        <is>
          <t>4030</t>
        </is>
      </c>
      <c r="N99" s="1" t="inlineStr">
        <is>
          <t>Paid</t>
        </is>
      </c>
      <c r="O99" s="1" t="inlineStr">
        <is>
          <t>PO-OGF-7048</t>
        </is>
      </c>
    </row>
    <row r="100">
      <c r="A100" s="1" t="inlineStr">
        <is>
          <t>INV-2025-20099</t>
        </is>
      </c>
      <c r="B100" s="2" t="n">
        <v>45776</v>
      </c>
      <c r="C100" s="1" t="inlineStr">
        <is>
          <t>Elmsworth Publishing</t>
        </is>
      </c>
      <c r="D100" s="1" t="inlineStr">
        <is>
          <t>EWP-MSA-2024-38</t>
        </is>
      </c>
      <c r="E100" s="1" t="inlineStr">
        <is>
          <t>Autonomous mobile robot, 450 kg payload</t>
        </is>
      </c>
      <c r="F100" s="1" t="n">
        <v>13</v>
      </c>
      <c r="G100" s="1" t="n">
        <v>68150</v>
      </c>
      <c r="H100" s="1">
        <f>F100*G100</f>
        <v/>
      </c>
      <c r="I100" s="1" t="n">
        <v>0.06</v>
      </c>
      <c r="J100" s="1">
        <f>ROUND(H100*I100,2)</f>
        <v/>
      </c>
      <c r="K100" s="1" t="inlineStr">
        <is>
          <t>2025-05</t>
        </is>
      </c>
      <c r="L100" s="1" t="n">
        <v>0</v>
      </c>
      <c r="M100" s="1" t="inlineStr">
        <is>
          <t>4010</t>
        </is>
      </c>
      <c r="N100" s="1" t="inlineStr">
        <is>
          <t>Partially paid</t>
        </is>
      </c>
      <c r="O100" s="1" t="inlineStr">
        <is>
          <t>PO-EWP-9297</t>
        </is>
      </c>
    </row>
    <row r="101">
      <c r="A101" s="1" t="inlineStr">
        <is>
          <t>INV-2025-20100</t>
        </is>
      </c>
      <c r="B101" s="2" t="n">
        <v>45806</v>
      </c>
      <c r="C101" s="1" t="inlineStr">
        <is>
          <t>Evergreen Warehousing</t>
        </is>
      </c>
      <c r="D101" s="1" t="inlineStr">
        <is>
          <t>EVW-MSA-2025-85</t>
        </is>
      </c>
      <c r="E101" s="1" t="inlineStr">
        <is>
          <t>Autonomous mobile robot, 450 kg payload</t>
        </is>
      </c>
      <c r="F101" s="1" t="n">
        <v>9</v>
      </c>
      <c r="G101" s="1" t="n">
        <v>68150</v>
      </c>
      <c r="H101" s="1">
        <f>F101*G101</f>
        <v/>
      </c>
      <c r="I101" s="1" t="n">
        <v>0.065</v>
      </c>
      <c r="J101" s="1">
        <f>ROUND(H101*I101,2)</f>
        <v/>
      </c>
      <c r="K101" s="1" t="inlineStr">
        <is>
          <t>2025-06</t>
        </is>
      </c>
      <c r="L101" s="1" t="n">
        <v>0</v>
      </c>
      <c r="M101" s="1" t="inlineStr">
        <is>
          <t>4010</t>
        </is>
      </c>
      <c r="N101" s="1" t="inlineStr">
        <is>
          <t>Paid</t>
        </is>
      </c>
      <c r="O101" s="1" t="inlineStr">
        <is>
          <t>PO-EVW-7656</t>
        </is>
      </c>
    </row>
    <row r="102">
      <c r="A102" s="1" t="inlineStr">
        <is>
          <t>INV-2025-20101</t>
        </is>
      </c>
      <c r="B102" s="2" t="n">
        <v>45818</v>
      </c>
      <c r="C102" s="1" t="inlineStr">
        <is>
          <t>Juniper Health Supply</t>
        </is>
      </c>
      <c r="D102" s="1" t="inlineStr">
        <is>
          <t>JHS-MSA-2023-30</t>
        </is>
      </c>
      <c r="E102" s="1" t="inlineStr">
        <is>
          <t>Fleet orchestration expansion pack, per robot</t>
        </is>
      </c>
      <c r="F102" s="1" t="n">
        <v>99</v>
      </c>
      <c r="G102" s="1" t="n">
        <v>2250</v>
      </c>
      <c r="H102" s="1">
        <f>F102*G102</f>
        <v/>
      </c>
      <c r="I102" s="1" t="n">
        <v>0.06</v>
      </c>
      <c r="J102" s="1">
        <f>ROUND(H102*I102,2)</f>
        <v/>
      </c>
      <c r="K102" s="1" t="inlineStr">
        <is>
          <t>2025-07</t>
        </is>
      </c>
      <c r="L102" s="1" t="n">
        <v>169290</v>
      </c>
      <c r="M102" s="1" t="inlineStr">
        <is>
          <t>4020</t>
        </is>
      </c>
      <c r="N102" s="1" t="inlineStr">
        <is>
          <t>Partially paid</t>
        </is>
      </c>
      <c r="O102" s="1" t="inlineStr">
        <is>
          <t>PO-JHS-3687</t>
        </is>
      </c>
    </row>
    <row r="103">
      <c r="A103" s="1" t="inlineStr">
        <is>
          <t>INV-2025-20102</t>
        </is>
      </c>
      <c r="B103" s="2" t="n">
        <v>45776</v>
      </c>
      <c r="C103" s="1" t="inlineStr">
        <is>
          <t>Zephyr Air Cargo</t>
        </is>
      </c>
      <c r="D103" s="1" t="inlineStr">
        <is>
          <t>ZAC-MSA-2022-64</t>
        </is>
      </c>
      <c r="E103" s="1" t="inlineStr">
        <is>
          <t>Remote operations desk coverage</t>
        </is>
      </c>
      <c r="F103" s="1" t="n">
        <v>1</v>
      </c>
      <c r="G103" s="1" t="n">
        <v>11200</v>
      </c>
      <c r="H103" s="1">
        <f>F103*G103</f>
        <v/>
      </c>
      <c r="I103" s="1" t="n">
        <v>0.09</v>
      </c>
      <c r="J103" s="1">
        <f>ROUND(H103*I103,2)</f>
        <v/>
      </c>
      <c r="K103" s="1" t="inlineStr">
        <is>
          <t>2025-05</t>
        </is>
      </c>
      <c r="L103" s="1" t="n">
        <v>7168</v>
      </c>
      <c r="M103" s="1" t="inlineStr">
        <is>
          <t>4020</t>
        </is>
      </c>
      <c r="N103" s="1" t="inlineStr">
        <is>
          <t>Paid</t>
        </is>
      </c>
      <c r="O103" s="1" t="inlineStr">
        <is>
          <t>PO-ZAC-2723</t>
        </is>
      </c>
    </row>
    <row r="104">
      <c r="A104" s="1" t="inlineStr">
        <is>
          <t>INV-2025-20103</t>
        </is>
      </c>
      <c r="B104" s="2" t="n">
        <v>45786</v>
      </c>
      <c r="C104" s="1" t="inlineStr">
        <is>
          <t>Elmsworth Publishing</t>
        </is>
      </c>
      <c r="D104" s="1" t="inlineStr">
        <is>
          <t>EWP-MSA-2023-60</t>
        </is>
      </c>
      <c r="E104" s="1" t="inlineStr">
        <is>
          <t>Remote operations desk coverage</t>
        </is>
      </c>
      <c r="F104" s="1" t="n">
        <v>3</v>
      </c>
      <c r="G104" s="1" t="n">
        <v>11700</v>
      </c>
      <c r="H104" s="1">
        <f>F104*G104</f>
        <v/>
      </c>
      <c r="I104" s="1" t="n">
        <v>0.07000000000000001</v>
      </c>
      <c r="J104" s="1">
        <f>ROUND(H104*I104,2)</f>
        <v/>
      </c>
      <c r="K104" s="1" t="inlineStr">
        <is>
          <t>2025-06</t>
        </is>
      </c>
      <c r="L104" s="1" t="n">
        <v>21411</v>
      </c>
      <c r="M104" s="1" t="inlineStr">
        <is>
          <t>4020</t>
        </is>
      </c>
      <c r="N104" s="1" t="inlineStr">
        <is>
          <t>Paid</t>
        </is>
      </c>
      <c r="O104" s="1" t="inlineStr">
        <is>
          <t>PO-EWP-6030</t>
        </is>
      </c>
    </row>
    <row r="105">
      <c r="A105" s="1" t="inlineStr">
        <is>
          <t>INV-2025-20104</t>
        </is>
      </c>
      <c r="B105" s="2" t="n">
        <v>45835</v>
      </c>
      <c r="C105" s="1" t="inlineStr">
        <is>
          <t>Dorsey Grain Cooperative</t>
        </is>
      </c>
      <c r="D105" s="1" t="inlineStr">
        <is>
          <t>DGC-MSA-2022-48</t>
        </is>
      </c>
      <c r="E105" s="1" t="inlineStr">
        <is>
          <t>Warehouse management system connector</t>
        </is>
      </c>
      <c r="F105" s="1" t="n">
        <v>4</v>
      </c>
      <c r="G105" s="1" t="n">
        <v>36700</v>
      </c>
      <c r="H105" s="1">
        <f>F105*G105</f>
        <v/>
      </c>
      <c r="I105" s="1" t="n">
        <v>0.0475</v>
      </c>
      <c r="J105" s="1">
        <f>ROUND(H105*I105,2)</f>
        <v/>
      </c>
      <c r="K105" s="1" t="inlineStr">
        <is>
          <t>2025-07</t>
        </is>
      </c>
      <c r="L105" s="1" t="n">
        <v>30828</v>
      </c>
      <c r="M105" s="1" t="inlineStr">
        <is>
          <t>4030</t>
        </is>
      </c>
      <c r="N105" s="1" t="inlineStr">
        <is>
          <t>Paid</t>
        </is>
      </c>
      <c r="O105" s="1" t="inlineStr">
        <is>
          <t>PO-DGC-2504</t>
        </is>
      </c>
    </row>
    <row r="106">
      <c r="A106" s="1" t="inlineStr">
        <is>
          <t>INV-2025-20105</t>
        </is>
      </c>
      <c r="B106" s="2" t="n">
        <v>45776</v>
      </c>
      <c r="C106" s="1" t="inlineStr">
        <is>
          <t>Crestline Fulfillment</t>
        </is>
      </c>
      <c r="D106" s="1" t="inlineStr">
        <is>
          <t>CFF-MSA-2025-62</t>
        </is>
      </c>
      <c r="E106" s="1" t="inlineStr">
        <is>
          <t>Safety scanner retrofit kit</t>
        </is>
      </c>
      <c r="F106" s="1" t="n">
        <v>2</v>
      </c>
      <c r="G106" s="1" t="n">
        <v>7250</v>
      </c>
      <c r="H106" s="1">
        <f>F106*G106</f>
        <v/>
      </c>
      <c r="I106" s="1" t="n">
        <v>0.06</v>
      </c>
      <c r="J106" s="1">
        <f>ROUND(H106*I106,2)</f>
        <v/>
      </c>
      <c r="K106" s="1" t="inlineStr">
        <is>
          <t>2025-05</t>
        </is>
      </c>
      <c r="L106" s="1" t="n">
        <v>0</v>
      </c>
      <c r="M106" s="1" t="inlineStr">
        <is>
          <t>4010</t>
        </is>
      </c>
      <c r="N106" s="1" t="inlineStr">
        <is>
          <t>Open</t>
        </is>
      </c>
      <c r="O106" s="1" t="inlineStr">
        <is>
          <t>PO-CFF-2099</t>
        </is>
      </c>
    </row>
    <row r="107">
      <c r="A107" s="1" t="inlineStr">
        <is>
          <t>INV-2025-20106</t>
        </is>
      </c>
      <c r="B107" s="2" t="n">
        <v>45789</v>
      </c>
      <c r="C107" s="1" t="inlineStr">
        <is>
          <t>Elmsworth Publishing</t>
        </is>
      </c>
      <c r="D107" s="1" t="inlineStr">
        <is>
          <t>EWP-MSA-2023-80</t>
        </is>
      </c>
      <c r="E107" s="1" t="inlineStr">
        <is>
          <t>Autonomous mobile robot, 220 kg payload</t>
        </is>
      </c>
      <c r="F107" s="1" t="n">
        <v>5</v>
      </c>
      <c r="G107" s="1" t="n">
        <v>40600</v>
      </c>
      <c r="H107" s="1">
        <f>F107*G107</f>
        <v/>
      </c>
      <c r="I107" s="1" t="n">
        <v>0.0825</v>
      </c>
      <c r="J107" s="1">
        <f>ROUND(H107*I107,2)</f>
        <v/>
      </c>
      <c r="K107" s="1" t="inlineStr">
        <is>
          <t>2025-06</t>
        </is>
      </c>
      <c r="L107" s="1" t="n">
        <v>0</v>
      </c>
      <c r="M107" s="1" t="inlineStr">
        <is>
          <t>4010</t>
        </is>
      </c>
      <c r="N107" s="1" t="inlineStr">
        <is>
          <t>Open</t>
        </is>
      </c>
      <c r="O107" s="1" t="inlineStr">
        <is>
          <t>PO-EWP-6013</t>
        </is>
      </c>
    </row>
    <row r="108">
      <c r="A108" s="1" t="inlineStr">
        <is>
          <t>INV-2025-20107</t>
        </is>
      </c>
      <c r="B108" s="2" t="n">
        <v>45820</v>
      </c>
      <c r="C108" s="1" t="inlineStr">
        <is>
          <t>Westlake Chemical Depot</t>
        </is>
      </c>
      <c r="D108" s="1" t="inlineStr">
        <is>
          <t>WCD-MSA-2025-87</t>
        </is>
      </c>
      <c r="E108" s="1" t="inlineStr">
        <is>
          <t>Safety scanner retrofit kit</t>
        </is>
      </c>
      <c r="F108" s="1" t="n">
        <v>1</v>
      </c>
      <c r="G108" s="1" t="n">
        <v>6350</v>
      </c>
      <c r="H108" s="1">
        <f>F108*G108</f>
        <v/>
      </c>
      <c r="I108" s="1" t="n">
        <v>0</v>
      </c>
      <c r="J108" s="1">
        <f>ROUND(H108*I108,2)</f>
        <v/>
      </c>
      <c r="K108" s="1" t="inlineStr">
        <is>
          <t>2025-07</t>
        </is>
      </c>
      <c r="L108" s="1" t="n">
        <v>0</v>
      </c>
      <c r="M108" s="1" t="inlineStr">
        <is>
          <t>4010</t>
        </is>
      </c>
      <c r="N108" s="1" t="inlineStr">
        <is>
          <t>Partially paid</t>
        </is>
      </c>
      <c r="O108" s="1" t="inlineStr">
        <is>
          <t>PO-WCD-2772</t>
        </is>
      </c>
    </row>
    <row r="109">
      <c r="A109" s="1" t="inlineStr">
        <is>
          <t>INV-2025-20108</t>
        </is>
      </c>
      <c r="B109" s="2" t="n">
        <v>45770</v>
      </c>
      <c r="C109" s="1" t="inlineStr">
        <is>
          <t>Keystone Paper &amp; Pack</t>
        </is>
      </c>
      <c r="D109" s="1" t="inlineStr">
        <is>
          <t>KPP-MSA-2023-57</t>
        </is>
      </c>
      <c r="E109" s="1" t="inlineStr">
        <is>
          <t>Safety scanner retrofit kit</t>
        </is>
      </c>
      <c r="F109" s="1" t="n">
        <v>3</v>
      </c>
      <c r="G109" s="1" t="n">
        <v>6350</v>
      </c>
      <c r="H109" s="1">
        <f>F109*G109</f>
        <v/>
      </c>
      <c r="I109" s="1" t="n">
        <v>0.07000000000000001</v>
      </c>
      <c r="J109" s="1">
        <f>ROUND(H109*I109,2)</f>
        <v/>
      </c>
      <c r="K109" s="1" t="inlineStr">
        <is>
          <t>2025-05</t>
        </is>
      </c>
      <c r="L109" s="1" t="n">
        <v>0</v>
      </c>
      <c r="M109" s="1" t="inlineStr">
        <is>
          <t>4010</t>
        </is>
      </c>
      <c r="N109" s="1" t="inlineStr">
        <is>
          <t>Credit issued</t>
        </is>
      </c>
      <c r="O109" s="1" t="inlineStr">
        <is>
          <t>PO-KPP-9266</t>
        </is>
      </c>
    </row>
    <row r="110">
      <c r="A110" s="1" t="inlineStr">
        <is>
          <t>INV-2025-20109</t>
        </is>
      </c>
      <c r="B110" s="2" t="n">
        <v>45797</v>
      </c>
      <c r="C110" s="1" t="inlineStr">
        <is>
          <t>Meridian Dynamics</t>
        </is>
      </c>
      <c r="D110" s="1" t="inlineStr">
        <is>
          <t>MDY-MSA-2022-37</t>
        </is>
      </c>
      <c r="E110" s="1" t="inlineStr">
        <is>
          <t>Fleet orchestration expansion pack, per robot</t>
        </is>
      </c>
      <c r="F110" s="1" t="n">
        <v>152</v>
      </c>
      <c r="G110" s="1" t="n">
        <v>3150</v>
      </c>
      <c r="H110" s="1">
        <f>F110*G110</f>
        <v/>
      </c>
      <c r="I110" s="1" t="n">
        <v>0.0825</v>
      </c>
      <c r="J110" s="1">
        <f>ROUND(H110*I110,2)</f>
        <v/>
      </c>
      <c r="K110" s="1" t="inlineStr">
        <is>
          <t>2025-06</t>
        </is>
      </c>
      <c r="L110" s="1" t="n">
        <v>287280</v>
      </c>
      <c r="M110" s="1" t="inlineStr">
        <is>
          <t>4020</t>
        </is>
      </c>
      <c r="N110" s="1" t="inlineStr">
        <is>
          <t>Paid</t>
        </is>
      </c>
      <c r="O110" s="1" t="inlineStr">
        <is>
          <t>PO-MDY-9882</t>
        </is>
      </c>
    </row>
    <row r="111">
      <c r="A111" s="1" t="inlineStr">
        <is>
          <t>INV-2025-20110</t>
        </is>
      </c>
      <c r="B111" s="2" t="n">
        <v>45838</v>
      </c>
      <c r="C111" s="1" t="inlineStr">
        <is>
          <t>Elmsworth Publishing</t>
        </is>
      </c>
      <c r="D111" s="1" t="inlineStr">
        <is>
          <t>EWP-MSA-2023-32</t>
        </is>
      </c>
      <c r="E111" s="1" t="inlineStr">
        <is>
          <t>Telemetry retention tier, extended</t>
        </is>
      </c>
      <c r="F111" s="1" t="n">
        <v>4</v>
      </c>
      <c r="G111" s="1" t="n">
        <v>24000</v>
      </c>
      <c r="H111" s="1">
        <f>F111*G111</f>
        <v/>
      </c>
      <c r="I111" s="1" t="n">
        <v>0</v>
      </c>
      <c r="J111" s="1">
        <f>ROUND(H111*I111,2)</f>
        <v/>
      </c>
      <c r="K111" s="1" t="inlineStr">
        <is>
          <t>2025-07</t>
        </is>
      </c>
      <c r="L111" s="1" t="n">
        <v>55680</v>
      </c>
      <c r="M111" s="1" t="inlineStr">
        <is>
          <t>4020</t>
        </is>
      </c>
      <c r="N111" s="1" t="inlineStr">
        <is>
          <t>Paid</t>
        </is>
      </c>
      <c r="O111" s="1" t="inlineStr">
        <is>
          <t>PO-EWP-4963</t>
        </is>
      </c>
    </row>
    <row r="112">
      <c r="A112" s="1" t="inlineStr">
        <is>
          <t>INV-2025-20111</t>
        </is>
      </c>
      <c r="B112" s="2" t="n">
        <v>45777</v>
      </c>
      <c r="C112" s="1" t="inlineStr">
        <is>
          <t>Calder Marine Supply</t>
        </is>
      </c>
      <c r="D112" s="1" t="inlineStr">
        <is>
          <t>CMS-MSA-2024-21</t>
        </is>
      </c>
      <c r="E112" s="1" t="inlineStr">
        <is>
          <t>Fleet orchestration expansion pack, per robot</t>
        </is>
      </c>
      <c r="F112" s="1" t="n">
        <v>19</v>
      </c>
      <c r="G112" s="1" t="n">
        <v>1953</v>
      </c>
      <c r="H112" s="1">
        <f>F112*G112</f>
        <v/>
      </c>
      <c r="I112" s="1" t="n">
        <v>0.06</v>
      </c>
      <c r="J112" s="1">
        <f>ROUND(H112*I112,2)</f>
        <v/>
      </c>
      <c r="K112" s="1" t="inlineStr">
        <is>
          <t>2025-05</t>
        </is>
      </c>
      <c r="L112" s="1" t="n">
        <v>27830.25</v>
      </c>
      <c r="M112" s="1" t="inlineStr">
        <is>
          <t>4020</t>
        </is>
      </c>
      <c r="N112" s="1" t="inlineStr">
        <is>
          <t>Open</t>
        </is>
      </c>
      <c r="O112" s="1" t="inlineStr">
        <is>
          <t>PO-CMS-8181</t>
        </is>
      </c>
    </row>
    <row r="113">
      <c r="A113" s="1" t="inlineStr">
        <is>
          <t>INV-2025-20112</t>
        </is>
      </c>
      <c r="B113" s="2" t="n">
        <v>45806</v>
      </c>
      <c r="C113" s="1" t="inlineStr">
        <is>
          <t>Tamarack Electronics</t>
        </is>
      </c>
      <c r="D113" s="1" t="inlineStr">
        <is>
          <t>TCE-MSA-2025-14</t>
        </is>
      </c>
      <c r="E113" s="1" t="inlineStr">
        <is>
          <t>Fleet orchestration expansion pack, per robot</t>
        </is>
      </c>
      <c r="F113" s="1" t="n">
        <v>168</v>
      </c>
      <c r="G113" s="1" t="n">
        <v>2650</v>
      </c>
      <c r="H113" s="1">
        <f>F113*G113</f>
        <v/>
      </c>
      <c r="I113" s="1" t="n">
        <v>0.09</v>
      </c>
      <c r="J113" s="1">
        <f>ROUND(H113*I113,2)</f>
        <v/>
      </c>
      <c r="K113" s="1" t="inlineStr">
        <is>
          <t>2025-06</t>
        </is>
      </c>
      <c r="L113" s="1" t="n">
        <v>351708</v>
      </c>
      <c r="M113" s="1" t="inlineStr">
        <is>
          <t>4020</t>
        </is>
      </c>
      <c r="N113" s="1" t="inlineStr">
        <is>
          <t>Open</t>
        </is>
      </c>
      <c r="O113" s="1" t="inlineStr">
        <is>
          <t>PO-TCE-3181</t>
        </is>
      </c>
    </row>
    <row r="114">
      <c r="A114" s="1" t="inlineStr">
        <is>
          <t>INV-2025-20113</t>
        </is>
      </c>
      <c r="B114" s="2" t="n">
        <v>45835</v>
      </c>
      <c r="C114" s="1" t="inlineStr">
        <is>
          <t>Dorsey Grain Cooperative</t>
        </is>
      </c>
      <c r="D114" s="1" t="inlineStr">
        <is>
          <t>DGC-MSA-2024-22</t>
        </is>
      </c>
      <c r="E114" s="1" t="inlineStr">
        <is>
          <t>Fleet orchestration expansion pack, per robot</t>
        </is>
      </c>
      <c r="F114" s="1" t="n">
        <v>173</v>
      </c>
      <c r="G114" s="1" t="n">
        <v>1953</v>
      </c>
      <c r="H114" s="1">
        <f>F114*G114</f>
        <v/>
      </c>
      <c r="I114" s="1" t="n">
        <v>0.09</v>
      </c>
      <c r="J114" s="1">
        <f>ROUND(H114*I114,2)</f>
        <v/>
      </c>
      <c r="K114" s="1" t="inlineStr">
        <is>
          <t>2025-07</t>
        </is>
      </c>
      <c r="L114" s="1" t="n">
        <v>256780.44</v>
      </c>
      <c r="M114" s="1" t="inlineStr">
        <is>
          <t>4020</t>
        </is>
      </c>
      <c r="N114" s="1" t="inlineStr">
        <is>
          <t>Credit issued</t>
        </is>
      </c>
      <c r="O114" s="1" t="inlineStr">
        <is>
          <t>PO-DGC-3398</t>
        </is>
      </c>
    </row>
    <row r="115">
      <c r="A115" s="1" t="inlineStr">
        <is>
          <t>INV-2025-20114</t>
        </is>
      </c>
      <c r="B115" s="2" t="n">
        <v>45777</v>
      </c>
      <c r="C115" s="1" t="inlineStr">
        <is>
          <t>Ironvale Grocery Group</t>
        </is>
      </c>
      <c r="D115" s="1" t="inlineStr">
        <is>
          <t>IVG-MSA-2023-64</t>
        </is>
      </c>
      <c r="E115" s="1" t="inlineStr">
        <is>
          <t>Opportunity charging dock</t>
        </is>
      </c>
      <c r="F115" s="1" t="n">
        <v>13</v>
      </c>
      <c r="G115" s="1" t="n">
        <v>11800</v>
      </c>
      <c r="H115" s="1">
        <f>F115*G115</f>
        <v/>
      </c>
      <c r="I115" s="1" t="n">
        <v>0.065</v>
      </c>
      <c r="J115" s="1">
        <f>ROUND(H115*I115,2)</f>
        <v/>
      </c>
      <c r="K115" s="1" t="inlineStr">
        <is>
          <t>2025-05</t>
        </is>
      </c>
      <c r="L115" s="1" t="n">
        <v>0</v>
      </c>
      <c r="M115" s="1" t="inlineStr">
        <is>
          <t>4010</t>
        </is>
      </c>
      <c r="N115" s="1" t="inlineStr">
        <is>
          <t>Open</t>
        </is>
      </c>
      <c r="O115" s="1" t="inlineStr">
        <is>
          <t>PO-IVG-6586</t>
        </is>
      </c>
    </row>
    <row r="116">
      <c r="A116" s="1" t="inlineStr">
        <is>
          <t>INV-2025-20115</t>
        </is>
      </c>
      <c r="B116" s="2" t="n">
        <v>45806</v>
      </c>
      <c r="C116" s="1" t="inlineStr">
        <is>
          <t>Union Vale Pharma</t>
        </is>
      </c>
      <c r="D116" s="1" t="inlineStr">
        <is>
          <t>UVP-MSA-2024-56</t>
        </is>
      </c>
      <c r="E116" s="1" t="inlineStr">
        <is>
          <t>Operator training programme</t>
        </is>
      </c>
      <c r="F116" s="1" t="n">
        <v>1</v>
      </c>
      <c r="G116" s="1" t="n">
        <v>2800</v>
      </c>
      <c r="H116" s="1">
        <f>F116*G116</f>
        <v/>
      </c>
      <c r="I116" s="1" t="n">
        <v>0.06</v>
      </c>
      <c r="J116" s="1">
        <f>ROUND(H116*I116,2)</f>
        <v/>
      </c>
      <c r="K116" s="1" t="inlineStr">
        <is>
          <t>2025-06</t>
        </is>
      </c>
      <c r="L116" s="1" t="n">
        <v>308</v>
      </c>
      <c r="M116" s="1" t="inlineStr">
        <is>
          <t>4030</t>
        </is>
      </c>
      <c r="N116" s="1" t="inlineStr">
        <is>
          <t>Written off</t>
        </is>
      </c>
      <c r="O116" s="1" t="inlineStr">
        <is>
          <t>PO-UVP-1431</t>
        </is>
      </c>
    </row>
    <row r="117">
      <c r="A117" s="1" t="inlineStr">
        <is>
          <t>INV-2025-20116</t>
        </is>
      </c>
      <c r="B117" s="2" t="n">
        <v>45835</v>
      </c>
      <c r="C117" s="1" t="inlineStr">
        <is>
          <t>Pioneer Freight Union</t>
        </is>
      </c>
      <c r="D117" s="1" t="inlineStr">
        <is>
          <t>PFU-MSA-2023-18</t>
        </is>
      </c>
      <c r="E117" s="1" t="inlineStr">
        <is>
          <t>Fleet orchestration platform, annual site licence</t>
        </is>
      </c>
      <c r="F117" s="1" t="n">
        <v>2</v>
      </c>
      <c r="G117" s="1" t="n">
        <v>96000</v>
      </c>
      <c r="H117" s="1">
        <f>F117*G117</f>
        <v/>
      </c>
      <c r="I117" s="1" t="n">
        <v>0.09</v>
      </c>
      <c r="J117" s="1">
        <f>ROUND(H117*I117,2)</f>
        <v/>
      </c>
      <c r="K117" s="1" t="inlineStr">
        <is>
          <t>2025-07</t>
        </is>
      </c>
      <c r="L117" s="1" t="n">
        <v>144000</v>
      </c>
      <c r="M117" s="1" t="inlineStr">
        <is>
          <t>4020</t>
        </is>
      </c>
      <c r="N117" s="1" t="inlineStr">
        <is>
          <t>Paid</t>
        </is>
      </c>
      <c r="O117" s="1" t="inlineStr">
        <is>
          <t>PO-PFU-4168</t>
        </is>
      </c>
    </row>
    <row r="118">
      <c r="A118" s="1" t="inlineStr">
        <is>
          <t>INV-2025-20117</t>
        </is>
      </c>
      <c r="B118" s="2" t="n">
        <v>45775</v>
      </c>
      <c r="C118" s="1" t="inlineStr">
        <is>
          <t>Juniper Health Supply</t>
        </is>
      </c>
      <c r="D118" s="1" t="inlineStr">
        <is>
          <t>JHS-MSA-2022-12</t>
        </is>
      </c>
      <c r="E118" s="1" t="inlineStr">
        <is>
          <t>Autonomous mobile robot, 450 kg payload</t>
        </is>
      </c>
      <c r="F118" s="1" t="n">
        <v>1</v>
      </c>
      <c r="G118" s="1" t="n">
        <v>67500</v>
      </c>
      <c r="H118" s="1">
        <f>F118*G118</f>
        <v/>
      </c>
      <c r="I118" s="1" t="n">
        <v>0.0825</v>
      </c>
      <c r="J118" s="1">
        <f>ROUND(H118*I118,2)</f>
        <v/>
      </c>
      <c r="K118" s="1" t="inlineStr">
        <is>
          <t>2025-05</t>
        </is>
      </c>
      <c r="L118" s="1" t="n">
        <v>0</v>
      </c>
      <c r="M118" s="1" t="inlineStr">
        <is>
          <t>4010</t>
        </is>
      </c>
      <c r="N118" s="1" t="inlineStr">
        <is>
          <t>Partially paid</t>
        </is>
      </c>
      <c r="O118" s="1" t="inlineStr">
        <is>
          <t>PO-JHS-6307</t>
        </is>
      </c>
    </row>
    <row r="119">
      <c r="A119" s="1" t="inlineStr">
        <is>
          <t>INV-2025-20118</t>
        </is>
      </c>
      <c r="B119" s="2" t="n">
        <v>45779</v>
      </c>
      <c r="C119" s="1" t="inlineStr">
        <is>
          <t>Elmsworth Publishing</t>
        </is>
      </c>
      <c r="D119" s="1" t="inlineStr">
        <is>
          <t>EWP-MSA-2022-12</t>
        </is>
      </c>
      <c r="E119" s="1" t="inlineStr">
        <is>
          <t>Autonomous mobile robot, 450 kg payload</t>
        </is>
      </c>
      <c r="F119" s="1" t="n">
        <v>13</v>
      </c>
      <c r="G119" s="1" t="n">
        <v>68400</v>
      </c>
      <c r="H119" s="1">
        <f>F119*G119</f>
        <v/>
      </c>
      <c r="I119" s="1" t="n">
        <v>0.09</v>
      </c>
      <c r="J119" s="1">
        <f>ROUND(H119*I119,2)</f>
        <v/>
      </c>
      <c r="K119" s="1" t="inlineStr">
        <is>
          <t>2025-06</t>
        </is>
      </c>
      <c r="L119" s="1" t="n">
        <v>0</v>
      </c>
      <c r="M119" s="1" t="inlineStr">
        <is>
          <t>4010</t>
        </is>
      </c>
      <c r="N119" s="1" t="inlineStr">
        <is>
          <t>Open</t>
        </is>
      </c>
      <c r="O119" s="1" t="inlineStr">
        <is>
          <t>PO-EWP-1124</t>
        </is>
      </c>
    </row>
    <row r="120">
      <c r="A120" s="1" t="inlineStr">
        <is>
          <t>INV-2025-20119</t>
        </is>
      </c>
      <c r="B120" s="2" t="n">
        <v>45838</v>
      </c>
      <c r="C120" s="1" t="inlineStr">
        <is>
          <t>Yarrow Home Goods</t>
        </is>
      </c>
      <c r="D120" s="1" t="inlineStr">
        <is>
          <t>YHG-MSA-2023-29</t>
        </is>
      </c>
      <c r="E120" s="1" t="inlineStr">
        <is>
          <t>Deployment and commissioning services</t>
        </is>
      </c>
      <c r="F120" s="1" t="n">
        <v>8</v>
      </c>
      <c r="G120" s="1" t="n">
        <v>1600</v>
      </c>
      <c r="H120" s="1">
        <f>F120*G120</f>
        <v/>
      </c>
      <c r="I120" s="1" t="n">
        <v>0.065</v>
      </c>
      <c r="J120" s="1">
        <f>ROUND(H120*I120,2)</f>
        <v/>
      </c>
      <c r="K120" s="1" t="inlineStr">
        <is>
          <t>2025-07</t>
        </is>
      </c>
      <c r="L120" s="1" t="n">
        <v>3072</v>
      </c>
      <c r="M120" s="1" t="inlineStr">
        <is>
          <t>4030</t>
        </is>
      </c>
      <c r="N120" s="1" t="inlineStr">
        <is>
          <t>Disputed</t>
        </is>
      </c>
      <c r="O120" s="1" t="inlineStr">
        <is>
          <t>PO-YHG-4244</t>
        </is>
      </c>
    </row>
    <row r="121">
      <c r="A121" s="1" t="inlineStr">
        <is>
          <t>INV-2025-20120</t>
        </is>
      </c>
      <c r="B121" s="2" t="n">
        <v>45776</v>
      </c>
      <c r="C121" s="1" t="inlineStr">
        <is>
          <t>Larkspur Apparel</t>
        </is>
      </c>
      <c r="D121" s="1" t="inlineStr">
        <is>
          <t>LKA-MSA-2024-51</t>
        </is>
      </c>
      <c r="E121" s="1" t="inlineStr">
        <is>
          <t>Opportunity charging dock</t>
        </is>
      </c>
      <c r="F121" s="1" t="n">
        <v>13</v>
      </c>
      <c r="G121" s="1" t="n">
        <v>11550</v>
      </c>
      <c r="H121" s="1">
        <f>F121*G121</f>
        <v/>
      </c>
      <c r="I121" s="1" t="n">
        <v>0.06</v>
      </c>
      <c r="J121" s="1">
        <f>ROUND(H121*I121,2)</f>
        <v/>
      </c>
      <c r="K121" s="1" t="inlineStr">
        <is>
          <t>2025-05</t>
        </is>
      </c>
      <c r="L121" s="1" t="n">
        <v>0</v>
      </c>
      <c r="M121" s="1" t="inlineStr">
        <is>
          <t>4010</t>
        </is>
      </c>
      <c r="N121" s="1" t="inlineStr">
        <is>
          <t>Paid</t>
        </is>
      </c>
      <c r="O121" s="1" t="inlineStr">
        <is>
          <t>PO-LKA-6874</t>
        </is>
      </c>
    </row>
    <row r="122">
      <c r="A122" s="1" t="inlineStr">
        <is>
          <t>FY25Q2 Invoices subtotal</t>
        </is>
      </c>
      <c r="B122" s="1" t="inlineStr"/>
      <c r="C122" s="1" t="inlineStr"/>
      <c r="D122" s="1" t="inlineStr"/>
      <c r="E122" s="1" t="inlineStr"/>
      <c r="F122" s="1" t="inlineStr"/>
      <c r="G122" s="1" t="inlineStr"/>
      <c r="H122" s="1">
        <f>SUM(H2:H121)</f>
        <v/>
      </c>
      <c r="I122" s="1" t="inlineStr"/>
      <c r="J122" s="1">
        <f>SUM(J2:J121)</f>
        <v/>
      </c>
      <c r="K122" s="1" t="inlineStr"/>
      <c r="L122" s="1">
        <f>SUM(L2:L121)</f>
        <v/>
      </c>
      <c r="M122" s="1" t="inlineStr"/>
      <c r="N122" s="1" t="inlineStr">
        <is>
          <t>Subtotal</t>
        </is>
      </c>
      <c r="O122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invoice_date</t>
        </is>
      </c>
      <c r="C1" s="1" t="inlineStr">
        <is>
          <t>customer</t>
        </is>
      </c>
      <c r="D1" s="1" t="inlineStr">
        <is>
          <t>contract_ref</t>
        </is>
      </c>
      <c r="E1" s="1" t="inlineStr">
        <is>
          <t>line_description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extended_amount</t>
        </is>
      </c>
      <c r="I1" s="1" t="inlineStr">
        <is>
          <t>tax_rate</t>
        </is>
      </c>
      <c r="J1" s="1" t="inlineStr">
        <is>
          <t>tax_amount</t>
        </is>
      </c>
      <c r="K1" s="1" t="inlineStr">
        <is>
          <t>revenue_recognition_period</t>
        </is>
      </c>
      <c r="L1" s="1" t="inlineStr">
        <is>
          <t>deferred_portion</t>
        </is>
      </c>
      <c r="M1" s="1" t="inlineStr">
        <is>
          <t>gl_account</t>
        </is>
      </c>
      <c r="N1" s="1" t="inlineStr">
        <is>
          <t>status</t>
        </is>
      </c>
      <c r="O1" s="1" t="inlineStr">
        <is>
          <t>po_reference</t>
        </is>
      </c>
    </row>
    <row r="2">
      <c r="A2" s="1" t="inlineStr">
        <is>
          <t>INV-2025-30001</t>
        </is>
      </c>
      <c r="B2" s="2" t="n">
        <v>45898</v>
      </c>
      <c r="C2" s="1" t="inlineStr">
        <is>
          <t>Vantage Robotics Supply</t>
        </is>
      </c>
      <c r="D2" s="1" t="inlineStr">
        <is>
          <t>VRS-MSA-2023-24</t>
        </is>
      </c>
      <c r="E2" s="1" t="inlineStr">
        <is>
          <t>Opportunity charging dock</t>
        </is>
      </c>
      <c r="F2" s="1" t="n">
        <v>14</v>
      </c>
      <c r="G2" s="1" t="n">
        <v>11800</v>
      </c>
      <c r="H2" s="1">
        <f>F2*G2</f>
        <v/>
      </c>
      <c r="I2" s="1" t="n">
        <v>0</v>
      </c>
      <c r="J2" s="1">
        <f>ROUND(H2*I2,2)</f>
        <v/>
      </c>
      <c r="K2" s="1" t="inlineStr">
        <is>
          <t>2025-09</t>
        </is>
      </c>
      <c r="L2" s="1" t="n">
        <v>0</v>
      </c>
      <c r="M2" s="1" t="inlineStr">
        <is>
          <t>4010</t>
        </is>
      </c>
      <c r="N2" s="1" t="inlineStr">
        <is>
          <t>Disputed</t>
        </is>
      </c>
      <c r="O2" s="1" t="inlineStr">
        <is>
          <t>PO-VRS-6631</t>
        </is>
      </c>
    </row>
    <row r="3">
      <c r="A3" s="1" t="inlineStr">
        <is>
          <t>INV-2025-30002</t>
        </is>
      </c>
      <c r="B3" s="2" t="n">
        <v>45923</v>
      </c>
      <c r="C3" s="1" t="inlineStr">
        <is>
          <t>Fathom Mobility</t>
        </is>
      </c>
      <c r="D3" s="1" t="inlineStr">
        <is>
          <t>FTM-MSA-2023-73</t>
        </is>
      </c>
      <c r="E3" s="1" t="inlineStr">
        <is>
          <t>Safety scanner retrofit kit</t>
        </is>
      </c>
      <c r="F3" s="1" t="n">
        <v>3</v>
      </c>
      <c r="G3" s="1" t="n">
        <v>6750</v>
      </c>
      <c r="H3" s="1">
        <f>F3*G3</f>
        <v/>
      </c>
      <c r="I3" s="1" t="n">
        <v>0.0475</v>
      </c>
      <c r="J3" s="1">
        <f>ROUND(H3*I3,2)</f>
        <v/>
      </c>
      <c r="K3" s="1" t="inlineStr">
        <is>
          <t>2025-10</t>
        </is>
      </c>
      <c r="L3" s="1" t="n">
        <v>0</v>
      </c>
      <c r="M3" s="1" t="inlineStr">
        <is>
          <t>4010</t>
        </is>
      </c>
      <c r="N3" s="1" t="inlineStr">
        <is>
          <t>Paid</t>
        </is>
      </c>
      <c r="O3" s="1" t="inlineStr">
        <is>
          <t>PO-FTM-5679</t>
        </is>
      </c>
    </row>
    <row r="4">
      <c r="A4" s="1" t="inlineStr">
        <is>
          <t>INV-2025-30003</t>
        </is>
      </c>
      <c r="B4" s="2" t="n">
        <v>45867</v>
      </c>
      <c r="C4" s="1" t="inlineStr">
        <is>
          <t>Asterion Logistics</t>
        </is>
      </c>
      <c r="D4" s="1" t="inlineStr">
        <is>
          <t>AST-MSA-2025-35</t>
        </is>
      </c>
      <c r="E4" s="1" t="inlineStr">
        <is>
          <t>Autonomous mobile robot, 220 kg payload</t>
        </is>
      </c>
      <c r="F4" s="1" t="n">
        <v>7</v>
      </c>
      <c r="G4" s="1" t="n">
        <v>39300</v>
      </c>
      <c r="H4" s="1">
        <f>F4*G4</f>
        <v/>
      </c>
      <c r="I4" s="1" t="n">
        <v>0</v>
      </c>
      <c r="J4" s="1">
        <f>ROUND(H4*I4,2)</f>
        <v/>
      </c>
      <c r="K4" s="1" t="inlineStr">
        <is>
          <t>2025-08</t>
        </is>
      </c>
      <c r="L4" s="1" t="n">
        <v>0</v>
      </c>
      <c r="M4" s="1" t="inlineStr">
        <is>
          <t>4010</t>
        </is>
      </c>
      <c r="N4" s="1" t="inlineStr">
        <is>
          <t>Paid</t>
        </is>
      </c>
      <c r="O4" s="1" t="inlineStr">
        <is>
          <t>PO-AST-4175</t>
        </is>
      </c>
    </row>
    <row r="5">
      <c r="A5" s="1" t="inlineStr">
        <is>
          <t>INV-2025-30004</t>
        </is>
      </c>
      <c r="B5" s="2" t="n">
        <v>45898</v>
      </c>
      <c r="C5" s="1" t="inlineStr">
        <is>
          <t>Ironvale Grocery Group</t>
        </is>
      </c>
      <c r="D5" s="1" t="inlineStr">
        <is>
          <t>IVG-MSA-2023-71</t>
        </is>
      </c>
      <c r="E5" s="1" t="inlineStr">
        <is>
          <t>Operator training programme</t>
        </is>
      </c>
      <c r="F5" s="1" t="n">
        <v>3</v>
      </c>
      <c r="G5" s="1" t="n">
        <v>4200</v>
      </c>
      <c r="H5" s="1">
        <f>F5*G5</f>
        <v/>
      </c>
      <c r="I5" s="1" t="n">
        <v>0.065</v>
      </c>
      <c r="J5" s="1">
        <f>ROUND(H5*I5,2)</f>
        <v/>
      </c>
      <c r="K5" s="1" t="inlineStr">
        <is>
          <t>2025-09</t>
        </is>
      </c>
      <c r="L5" s="1" t="n">
        <v>2016</v>
      </c>
      <c r="M5" s="1" t="inlineStr">
        <is>
          <t>4030</t>
        </is>
      </c>
      <c r="N5" s="1" t="inlineStr">
        <is>
          <t>Open</t>
        </is>
      </c>
      <c r="O5" s="1" t="inlineStr">
        <is>
          <t>PO-IVG-2897</t>
        </is>
      </c>
    </row>
    <row r="6">
      <c r="A6" s="1" t="inlineStr">
        <is>
          <t>INV-2025-30005</t>
        </is>
      </c>
      <c r="B6" s="2" t="n">
        <v>45930</v>
      </c>
      <c r="C6" s="1" t="inlineStr">
        <is>
          <t>Juniper Health Supply</t>
        </is>
      </c>
      <c r="D6" s="1" t="inlineStr">
        <is>
          <t>JHS-MSA-2022-89</t>
        </is>
      </c>
      <c r="E6" s="1" t="inlineStr">
        <is>
          <t>Fleet orchestration expansion pack, per robot</t>
        </is>
      </c>
      <c r="F6" s="1" t="n">
        <v>108</v>
      </c>
      <c r="G6" s="1" t="n">
        <v>3150</v>
      </c>
      <c r="H6" s="1">
        <f>F6*G6</f>
        <v/>
      </c>
      <c r="I6" s="1" t="n">
        <v>0</v>
      </c>
      <c r="J6" s="1">
        <f>ROUND(H6*I6,2)</f>
        <v/>
      </c>
      <c r="K6" s="1" t="inlineStr">
        <is>
          <t>2025-10</t>
        </is>
      </c>
      <c r="L6" s="1" t="n">
        <v>207522</v>
      </c>
      <c r="M6" s="1" t="inlineStr">
        <is>
          <t>4020</t>
        </is>
      </c>
      <c r="N6" s="1" t="inlineStr">
        <is>
          <t>Paid</t>
        </is>
      </c>
      <c r="O6" s="1" t="inlineStr">
        <is>
          <t>PO-JHS-4115</t>
        </is>
      </c>
    </row>
    <row r="7">
      <c r="A7" s="1" t="inlineStr">
        <is>
          <t>INV-2025-30006</t>
        </is>
      </c>
      <c r="B7" s="2" t="n">
        <v>45869</v>
      </c>
      <c r="C7" s="1" t="inlineStr">
        <is>
          <t>Union Vale Pharma</t>
        </is>
      </c>
      <c r="D7" s="1" t="inlineStr">
        <is>
          <t>UVP-MSA-2023-66</t>
        </is>
      </c>
      <c r="E7" s="1" t="inlineStr">
        <is>
          <t>Fleet orchestration platform, annual site licence</t>
        </is>
      </c>
      <c r="F7" s="1" t="n">
        <v>1</v>
      </c>
      <c r="G7" s="1" t="n">
        <v>95500</v>
      </c>
      <c r="H7" s="1">
        <f>F7*G7</f>
        <v/>
      </c>
      <c r="I7" s="1" t="n">
        <v>0.0825</v>
      </c>
      <c r="J7" s="1">
        <f>ROUND(H7*I7,2)</f>
        <v/>
      </c>
      <c r="K7" s="1" t="inlineStr">
        <is>
          <t>2025-08</t>
        </is>
      </c>
      <c r="L7" s="1" t="n">
        <v>60165</v>
      </c>
      <c r="M7" s="1" t="inlineStr">
        <is>
          <t>4020</t>
        </is>
      </c>
      <c r="N7" s="1" t="inlineStr">
        <is>
          <t>Open</t>
        </is>
      </c>
      <c r="O7" s="1" t="inlineStr">
        <is>
          <t>PO-UVP-2085</t>
        </is>
      </c>
    </row>
    <row r="8">
      <c r="A8" s="1" t="inlineStr">
        <is>
          <t>INV-2025-30007</t>
        </is>
      </c>
      <c r="B8" s="2" t="n">
        <v>45898</v>
      </c>
      <c r="C8" s="1" t="inlineStr">
        <is>
          <t>Keystone Paper &amp; Pack</t>
        </is>
      </c>
      <c r="D8" s="1" t="inlineStr">
        <is>
          <t>KPP-MSA-2023-37</t>
        </is>
      </c>
      <c r="E8" s="1" t="inlineStr">
        <is>
          <t>Operator training programme</t>
        </is>
      </c>
      <c r="F8" s="1" t="n">
        <v>2</v>
      </c>
      <c r="G8" s="1" t="n">
        <v>3700</v>
      </c>
      <c r="H8" s="1">
        <f>F8*G8</f>
        <v/>
      </c>
      <c r="I8" s="1" t="n">
        <v>0.07000000000000001</v>
      </c>
      <c r="J8" s="1">
        <f>ROUND(H8*I8,2)</f>
        <v/>
      </c>
      <c r="K8" s="1" t="inlineStr">
        <is>
          <t>2025-09</t>
        </is>
      </c>
      <c r="L8" s="1" t="n">
        <v>666</v>
      </c>
      <c r="M8" s="1" t="inlineStr">
        <is>
          <t>4030</t>
        </is>
      </c>
      <c r="N8" s="1" t="inlineStr">
        <is>
          <t>Credit issued</t>
        </is>
      </c>
      <c r="O8" s="1" t="inlineStr">
        <is>
          <t>PO-KPP-9098</t>
        </is>
      </c>
    </row>
    <row r="9">
      <c r="A9" s="1" t="inlineStr">
        <is>
          <t>INV-2025-30008</t>
        </is>
      </c>
      <c r="B9" s="2" t="n">
        <v>45930</v>
      </c>
      <c r="C9" s="1" t="inlineStr">
        <is>
          <t>Alderbrook Textiles</t>
        </is>
      </c>
      <c r="D9" s="1" t="inlineStr">
        <is>
          <t>ABT-MSA-2025-69</t>
        </is>
      </c>
      <c r="E9" s="1" t="inlineStr">
        <is>
          <t>Autonomous mobile robot, 220 kg payload</t>
        </is>
      </c>
      <c r="F9" s="1" t="n">
        <v>13</v>
      </c>
      <c r="G9" s="1" t="n">
        <v>41250</v>
      </c>
      <c r="H9" s="1">
        <f>F9*G9</f>
        <v/>
      </c>
      <c r="I9" s="1" t="n">
        <v>0.06</v>
      </c>
      <c r="J9" s="1">
        <f>ROUND(H9*I9,2)</f>
        <v/>
      </c>
      <c r="K9" s="1" t="inlineStr">
        <is>
          <t>2025-10</t>
        </is>
      </c>
      <c r="L9" s="1" t="n">
        <v>0</v>
      </c>
      <c r="M9" s="1" t="inlineStr">
        <is>
          <t>4010</t>
        </is>
      </c>
      <c r="N9" s="1" t="inlineStr">
        <is>
          <t>Written off</t>
        </is>
      </c>
      <c r="O9" s="1" t="inlineStr">
        <is>
          <t>PO-ABT-6532</t>
        </is>
      </c>
    </row>
    <row r="10">
      <c r="A10" s="1" t="inlineStr">
        <is>
          <t>INV-2025-30009</t>
        </is>
      </c>
      <c r="B10" s="2" t="n">
        <v>45868</v>
      </c>
      <c r="C10" s="1" t="inlineStr">
        <is>
          <t>Orchard Grove Foods</t>
        </is>
      </c>
      <c r="D10" s="1" t="inlineStr">
        <is>
          <t>OGF-MSA-2022-52</t>
        </is>
      </c>
      <c r="E10" s="1" t="inlineStr">
        <is>
          <t>Premium support and spares pool</t>
        </is>
      </c>
      <c r="F10" s="1" t="n">
        <v>1</v>
      </c>
      <c r="G10" s="1" t="n">
        <v>55900</v>
      </c>
      <c r="H10" s="1">
        <f>F10*G10</f>
        <v/>
      </c>
      <c r="I10" s="1" t="n">
        <v>0.065</v>
      </c>
      <c r="J10" s="1">
        <f>ROUND(H10*I10,2)</f>
        <v/>
      </c>
      <c r="K10" s="1" t="inlineStr">
        <is>
          <t>2025-08</t>
        </is>
      </c>
      <c r="L10" s="1" t="n">
        <v>41925</v>
      </c>
      <c r="M10" s="1" t="inlineStr">
        <is>
          <t>4020</t>
        </is>
      </c>
      <c r="N10" s="1" t="inlineStr">
        <is>
          <t>Open</t>
        </is>
      </c>
      <c r="O10" s="1" t="inlineStr">
        <is>
          <t>PO-OGF-6565</t>
        </is>
      </c>
    </row>
    <row r="11">
      <c r="A11" s="1" t="inlineStr">
        <is>
          <t>INV-2025-30010</t>
        </is>
      </c>
      <c r="B11" s="2" t="n">
        <v>45877</v>
      </c>
      <c r="C11" s="1" t="inlineStr">
        <is>
          <t>Larkspur Apparel</t>
        </is>
      </c>
      <c r="D11" s="1" t="inlineStr">
        <is>
          <t>LKA-MSA-2024-81</t>
        </is>
      </c>
      <c r="E11" s="1" t="inlineStr">
        <is>
          <t>Autonomous mobile robot, 450 kg payload</t>
        </is>
      </c>
      <c r="F11" s="1" t="n">
        <v>10</v>
      </c>
      <c r="G11" s="1" t="n">
        <v>67500</v>
      </c>
      <c r="H11" s="1">
        <f>F11*G11</f>
        <v/>
      </c>
      <c r="I11" s="1" t="n">
        <v>0.09</v>
      </c>
      <c r="J11" s="1">
        <f>ROUND(H11*I11,2)</f>
        <v/>
      </c>
      <c r="K11" s="1" t="inlineStr">
        <is>
          <t>2025-09</t>
        </is>
      </c>
      <c r="L11" s="1" t="n">
        <v>0</v>
      </c>
      <c r="M11" s="1" t="inlineStr">
        <is>
          <t>4010</t>
        </is>
      </c>
      <c r="N11" s="1" t="inlineStr">
        <is>
          <t>Credit issued</t>
        </is>
      </c>
      <c r="O11" s="1" t="inlineStr">
        <is>
          <t>PO-LKA-2409</t>
        </is>
      </c>
    </row>
    <row r="12">
      <c r="A12" s="1" t="inlineStr">
        <is>
          <t>INV-2025-30011</t>
        </is>
      </c>
      <c r="B12" s="2" t="n">
        <v>45905</v>
      </c>
      <c r="C12" s="1" t="inlineStr">
        <is>
          <t>Pioneer Freight Union</t>
        </is>
      </c>
      <c r="D12" s="1" t="inlineStr">
        <is>
          <t>PFU-MSA-2024-51</t>
        </is>
      </c>
      <c r="E12" s="1" t="inlineStr">
        <is>
          <t>Autonomous mobile robot, 220 kg payload</t>
        </is>
      </c>
      <c r="F12" s="1" t="n">
        <v>11</v>
      </c>
      <c r="G12" s="1" t="n">
        <v>41250</v>
      </c>
      <c r="H12" s="1">
        <f>F12*G12</f>
        <v/>
      </c>
      <c r="I12" s="1" t="n">
        <v>0.065</v>
      </c>
      <c r="J12" s="1">
        <f>ROUND(H12*I12,2)</f>
        <v/>
      </c>
      <c r="K12" s="1" t="inlineStr">
        <is>
          <t>2025-10</t>
        </is>
      </c>
      <c r="L12" s="1" t="n">
        <v>0</v>
      </c>
      <c r="M12" s="1" t="inlineStr">
        <is>
          <t>4010</t>
        </is>
      </c>
      <c r="N12" s="1" t="inlineStr">
        <is>
          <t>Open</t>
        </is>
      </c>
      <c r="O12" s="1" t="inlineStr">
        <is>
          <t>PO-PFU-7719</t>
        </is>
      </c>
    </row>
    <row r="13">
      <c r="A13" s="1" t="inlineStr">
        <is>
          <t>INV-2025-30012</t>
        </is>
      </c>
      <c r="B13" s="2" t="n">
        <v>45856</v>
      </c>
      <c r="C13" s="1" t="inlineStr">
        <is>
          <t>Keystone Paper &amp; Pack</t>
        </is>
      </c>
      <c r="D13" s="1" t="inlineStr">
        <is>
          <t>KPP-MSA-2025-46</t>
        </is>
      </c>
      <c r="E13" s="1" t="inlineStr">
        <is>
          <t>Operator training programme</t>
        </is>
      </c>
      <c r="F13" s="1" t="n">
        <v>2</v>
      </c>
      <c r="G13" s="1" t="n">
        <v>3300</v>
      </c>
      <c r="H13" s="1">
        <f>F13*G13</f>
        <v/>
      </c>
      <c r="I13" s="1" t="n">
        <v>0.0825</v>
      </c>
      <c r="J13" s="1">
        <f>ROUND(H13*I13,2)</f>
        <v/>
      </c>
      <c r="K13" s="1" t="inlineStr">
        <is>
          <t>2025-08</t>
        </is>
      </c>
      <c r="L13" s="1" t="n">
        <v>0</v>
      </c>
      <c r="M13" s="1" t="inlineStr">
        <is>
          <t>4030</t>
        </is>
      </c>
      <c r="N13" s="1" t="inlineStr">
        <is>
          <t>Paid</t>
        </is>
      </c>
      <c r="O13" s="1" t="inlineStr">
        <is>
          <t>PO-KPP-2745</t>
        </is>
      </c>
    </row>
    <row r="14">
      <c r="A14" s="1" t="inlineStr">
        <is>
          <t>INV-2025-30013</t>
        </is>
      </c>
      <c r="B14" s="2" t="n">
        <v>45898</v>
      </c>
      <c r="C14" s="1" t="inlineStr">
        <is>
          <t>Keystone Paper &amp; Pack</t>
        </is>
      </c>
      <c r="D14" s="1" t="inlineStr">
        <is>
          <t>KPP-MSA-2024-23</t>
        </is>
      </c>
      <c r="E14" s="1" t="inlineStr">
        <is>
          <t>Fleet orchestration expansion pack, per robot</t>
        </is>
      </c>
      <c r="F14" s="1" t="n">
        <v>155</v>
      </c>
      <c r="G14" s="1" t="n">
        <v>2250</v>
      </c>
      <c r="H14" s="1">
        <f>F14*G14</f>
        <v/>
      </c>
      <c r="I14" s="1" t="n">
        <v>0</v>
      </c>
      <c r="J14" s="1">
        <f>ROUND(H14*I14,2)</f>
        <v/>
      </c>
      <c r="K14" s="1" t="inlineStr">
        <is>
          <t>2025-09</t>
        </is>
      </c>
      <c r="L14" s="1" t="n">
        <v>279000</v>
      </c>
      <c r="M14" s="1" t="inlineStr">
        <is>
          <t>4020</t>
        </is>
      </c>
      <c r="N14" s="1" t="inlineStr">
        <is>
          <t>Open</t>
        </is>
      </c>
      <c r="O14" s="1" t="inlineStr">
        <is>
          <t>PO-KPP-9219</t>
        </is>
      </c>
    </row>
    <row r="15">
      <c r="A15" s="1" t="inlineStr">
        <is>
          <t>INV-2025-30014</t>
        </is>
      </c>
      <c r="B15" s="2" t="n">
        <v>45926</v>
      </c>
      <c r="C15" s="1" t="inlineStr">
        <is>
          <t>Meridian Dynamics</t>
        </is>
      </c>
      <c r="D15" s="1" t="inlineStr">
        <is>
          <t>MDY-MSA-2023-33</t>
        </is>
      </c>
      <c r="E15" s="1" t="inlineStr">
        <is>
          <t>Warehouse management system connector</t>
        </is>
      </c>
      <c r="F15" s="1" t="n">
        <v>4</v>
      </c>
      <c r="G15" s="1" t="n">
        <v>38900</v>
      </c>
      <c r="H15" s="1">
        <f>F15*G15</f>
        <v/>
      </c>
      <c r="I15" s="1" t="n">
        <v>0</v>
      </c>
      <c r="J15" s="1">
        <f>ROUND(H15*I15,2)</f>
        <v/>
      </c>
      <c r="K15" s="1" t="inlineStr">
        <is>
          <t>2025-10</t>
        </is>
      </c>
      <c r="L15" s="1" t="n">
        <v>14004</v>
      </c>
      <c r="M15" s="1" t="inlineStr">
        <is>
          <t>4030</t>
        </is>
      </c>
      <c r="N15" s="1" t="inlineStr">
        <is>
          <t>Partially paid</t>
        </is>
      </c>
      <c r="O15" s="1" t="inlineStr">
        <is>
          <t>PO-MDY-8917</t>
        </is>
      </c>
    </row>
    <row r="16">
      <c r="A16" s="1" t="inlineStr">
        <is>
          <t>INV-2025-30015</t>
        </is>
      </c>
      <c r="B16" s="2" t="n">
        <v>45867</v>
      </c>
      <c r="C16" s="1" t="inlineStr">
        <is>
          <t>Pioneer Freight Union</t>
        </is>
      </c>
      <c r="D16" s="1" t="inlineStr">
        <is>
          <t>PFU-MSA-2024-79</t>
        </is>
      </c>
      <c r="E16" s="1" t="inlineStr">
        <is>
          <t>Autonomous mobile robot, 450 kg payload</t>
        </is>
      </c>
      <c r="F16" s="1" t="n">
        <v>8</v>
      </c>
      <c r="G16" s="1" t="n">
        <v>67000</v>
      </c>
      <c r="H16" s="1">
        <f>F16*G16</f>
        <v/>
      </c>
      <c r="I16" s="1" t="n">
        <v>0.065</v>
      </c>
      <c r="J16" s="1">
        <f>ROUND(H16*I16,2)</f>
        <v/>
      </c>
      <c r="K16" s="1" t="inlineStr">
        <is>
          <t>2025-08</t>
        </is>
      </c>
      <c r="L16" s="1" t="n">
        <v>0</v>
      </c>
      <c r="M16" s="1" t="inlineStr">
        <is>
          <t>4010</t>
        </is>
      </c>
      <c r="N16" s="1" t="inlineStr">
        <is>
          <t>Credit issued</t>
        </is>
      </c>
      <c r="O16" s="1" t="inlineStr">
        <is>
          <t>PO-PFU-2359</t>
        </is>
      </c>
    </row>
    <row r="17">
      <c r="A17" s="1" t="inlineStr">
        <is>
          <t>INV-2025-30016</t>
        </is>
      </c>
      <c r="B17" s="2" t="n">
        <v>45898</v>
      </c>
      <c r="C17" s="1" t="inlineStr">
        <is>
          <t>Blue Mesa Components</t>
        </is>
      </c>
      <c r="D17" s="1" t="inlineStr">
        <is>
          <t>BMC-MSA-2023-77</t>
        </is>
      </c>
      <c r="E17" s="1" t="inlineStr">
        <is>
          <t>Remote operations desk coverage</t>
        </is>
      </c>
      <c r="F17" s="1" t="n">
        <v>3</v>
      </c>
      <c r="G17" s="1" t="n">
        <v>12100</v>
      </c>
      <c r="H17" s="1">
        <f>F17*G17</f>
        <v/>
      </c>
      <c r="I17" s="1" t="n">
        <v>0</v>
      </c>
      <c r="J17" s="1">
        <f>ROUND(H17*I17,2)</f>
        <v/>
      </c>
      <c r="K17" s="1" t="inlineStr">
        <is>
          <t>2025-09</t>
        </is>
      </c>
      <c r="L17" s="1" t="n">
        <v>30129</v>
      </c>
      <c r="M17" s="1" t="inlineStr">
        <is>
          <t>4020</t>
        </is>
      </c>
      <c r="N17" s="1" t="inlineStr">
        <is>
          <t>Paid</t>
        </is>
      </c>
      <c r="O17" s="1" t="inlineStr">
        <is>
          <t>PO-BMC-6693</t>
        </is>
      </c>
    </row>
    <row r="18">
      <c r="A18" s="1" t="inlineStr">
        <is>
          <t>INV-2025-30017</t>
        </is>
      </c>
      <c r="B18" s="2" t="n">
        <v>45929</v>
      </c>
      <c r="C18" s="1" t="inlineStr">
        <is>
          <t>Keystone Paper &amp; Pack</t>
        </is>
      </c>
      <c r="D18" s="1" t="inlineStr">
        <is>
          <t>KPP-MSA-2023-59</t>
        </is>
      </c>
      <c r="E18" s="1" t="inlineStr">
        <is>
          <t>Autonomous mobile robot, 450 kg payload</t>
        </is>
      </c>
      <c r="F18" s="1" t="n">
        <v>12</v>
      </c>
      <c r="G18" s="1" t="n">
        <v>67500</v>
      </c>
      <c r="H18" s="1">
        <f>F18*G18</f>
        <v/>
      </c>
      <c r="I18" s="1" t="n">
        <v>0.09</v>
      </c>
      <c r="J18" s="1">
        <f>ROUND(H18*I18,2)</f>
        <v/>
      </c>
      <c r="K18" s="1" t="inlineStr">
        <is>
          <t>2025-10</t>
        </is>
      </c>
      <c r="L18" s="1" t="n">
        <v>0</v>
      </c>
      <c r="M18" s="1" t="inlineStr">
        <is>
          <t>4010</t>
        </is>
      </c>
      <c r="N18" s="1" t="inlineStr">
        <is>
          <t>Credit issued</t>
        </is>
      </c>
      <c r="O18" s="1" t="inlineStr">
        <is>
          <t>PO-KPP-8738</t>
        </is>
      </c>
    </row>
    <row r="19">
      <c r="A19" s="1" t="inlineStr">
        <is>
          <t>INV-2025-30018</t>
        </is>
      </c>
      <c r="B19" s="2" t="n">
        <v>45867</v>
      </c>
      <c r="C19" s="1" t="inlineStr">
        <is>
          <t>Union Vale Pharma</t>
        </is>
      </c>
      <c r="D19" s="1" t="inlineStr">
        <is>
          <t>UVP-MSA-2023-55</t>
        </is>
      </c>
      <c r="E19" s="1" t="inlineStr">
        <is>
          <t>Warehouse management system connector</t>
        </is>
      </c>
      <c r="F19" s="1" t="n">
        <v>3</v>
      </c>
      <c r="G19" s="1" t="n">
        <v>38900</v>
      </c>
      <c r="H19" s="1">
        <f>F19*G19</f>
        <v/>
      </c>
      <c r="I19" s="1" t="n">
        <v>0.0825</v>
      </c>
      <c r="J19" s="1">
        <f>ROUND(H19*I19,2)</f>
        <v/>
      </c>
      <c r="K19" s="1" t="inlineStr">
        <is>
          <t>2025-08</t>
        </is>
      </c>
      <c r="L19" s="1" t="n">
        <v>9336</v>
      </c>
      <c r="M19" s="1" t="inlineStr">
        <is>
          <t>4030</t>
        </is>
      </c>
      <c r="N19" s="1" t="inlineStr">
        <is>
          <t>Partially paid</t>
        </is>
      </c>
      <c r="O19" s="1" t="inlineStr">
        <is>
          <t>PO-UVP-2768</t>
        </is>
      </c>
    </row>
    <row r="20">
      <c r="A20" s="1" t="inlineStr">
        <is>
          <t>INV-2025-30019</t>
        </is>
      </c>
      <c r="B20" s="2" t="n">
        <v>45898</v>
      </c>
      <c r="C20" s="1" t="inlineStr">
        <is>
          <t>Orchard Grove Foods</t>
        </is>
      </c>
      <c r="D20" s="1" t="inlineStr">
        <is>
          <t>OGF-MSA-2022-23</t>
        </is>
      </c>
      <c r="E20" s="1" t="inlineStr">
        <is>
          <t>Telemetry retention tier, extended</t>
        </is>
      </c>
      <c r="F20" s="1" t="n">
        <v>2</v>
      </c>
      <c r="G20" s="1" t="n">
        <v>24500</v>
      </c>
      <c r="H20" s="1">
        <f>F20*G20</f>
        <v/>
      </c>
      <c r="I20" s="1" t="n">
        <v>0.0475</v>
      </c>
      <c r="J20" s="1">
        <f>ROUND(H20*I20,2)</f>
        <v/>
      </c>
      <c r="K20" s="1" t="inlineStr">
        <is>
          <t>2025-09</t>
        </is>
      </c>
      <c r="L20" s="1" t="n">
        <v>39690</v>
      </c>
      <c r="M20" s="1" t="inlineStr">
        <is>
          <t>4020</t>
        </is>
      </c>
      <c r="N20" s="1" t="inlineStr">
        <is>
          <t>Partially paid</t>
        </is>
      </c>
      <c r="O20" s="1" t="inlineStr">
        <is>
          <t>PO-OGF-5314</t>
        </is>
      </c>
    </row>
    <row r="21">
      <c r="A21" s="1" t="inlineStr">
        <is>
          <t>INV-2025-30020</t>
        </is>
      </c>
      <c r="B21" s="2" t="n">
        <v>45912</v>
      </c>
      <c r="C21" s="1" t="inlineStr">
        <is>
          <t>Crestline Fulfillment</t>
        </is>
      </c>
      <c r="D21" s="1" t="inlineStr">
        <is>
          <t>CFF-MSA-2022-36</t>
        </is>
      </c>
      <c r="E21" s="1" t="inlineStr">
        <is>
          <t>Fleet orchestration expansion pack, per robot</t>
        </is>
      </c>
      <c r="F21" s="1" t="n">
        <v>100</v>
      </c>
      <c r="G21" s="1" t="n">
        <v>1953</v>
      </c>
      <c r="H21" s="1">
        <f>F21*G21</f>
        <v/>
      </c>
      <c r="I21" s="1" t="n">
        <v>0</v>
      </c>
      <c r="J21" s="1">
        <f>ROUND(H21*I21,2)</f>
        <v/>
      </c>
      <c r="K21" s="1" t="inlineStr">
        <is>
          <t>2025-10</t>
        </is>
      </c>
      <c r="L21" s="1" t="n">
        <v>138663</v>
      </c>
      <c r="M21" s="1" t="inlineStr">
        <is>
          <t>4020</t>
        </is>
      </c>
      <c r="N21" s="1" t="inlineStr">
        <is>
          <t>Paid</t>
        </is>
      </c>
      <c r="O21" s="1" t="inlineStr">
        <is>
          <t>PO-CFF-1622</t>
        </is>
      </c>
    </row>
    <row r="22">
      <c r="A22" s="1" t="inlineStr">
        <is>
          <t>INV-2025-30021</t>
        </is>
      </c>
      <c r="B22" s="2" t="n">
        <v>45867</v>
      </c>
      <c r="C22" s="1" t="inlineStr">
        <is>
          <t>Evergreen Warehousing</t>
        </is>
      </c>
      <c r="D22" s="1" t="inlineStr">
        <is>
          <t>EVW-MSA-2022-58</t>
        </is>
      </c>
      <c r="E22" s="1" t="inlineStr">
        <is>
          <t>Autonomous mobile robot, 450 kg payload</t>
        </is>
      </c>
      <c r="F22" s="1" t="n">
        <v>9</v>
      </c>
      <c r="G22" s="1" t="n">
        <v>67900</v>
      </c>
      <c r="H22" s="1">
        <f>F22*G22</f>
        <v/>
      </c>
      <c r="I22" s="1" t="n">
        <v>0.065</v>
      </c>
      <c r="J22" s="1">
        <f>ROUND(H22*I22,2)</f>
        <v/>
      </c>
      <c r="K22" s="1" t="inlineStr">
        <is>
          <t>2025-08</t>
        </is>
      </c>
      <c r="L22" s="1" t="n">
        <v>0</v>
      </c>
      <c r="M22" s="1" t="inlineStr">
        <is>
          <t>4010</t>
        </is>
      </c>
      <c r="N22" s="1" t="inlineStr">
        <is>
          <t>Disputed</t>
        </is>
      </c>
      <c r="O22" s="1" t="inlineStr">
        <is>
          <t>PO-EVW-7906</t>
        </is>
      </c>
    </row>
    <row r="23">
      <c r="A23" s="1" t="inlineStr">
        <is>
          <t>INV-2025-30022</t>
        </is>
      </c>
      <c r="B23" s="2" t="n">
        <v>45876</v>
      </c>
      <c r="C23" s="1" t="inlineStr">
        <is>
          <t>Meridian Dynamics</t>
        </is>
      </c>
      <c r="D23" s="1" t="inlineStr">
        <is>
          <t>MDY-MSA-2024-55</t>
        </is>
      </c>
      <c r="E23" s="1" t="inlineStr">
        <is>
          <t>Telemetry retention tier, extended</t>
        </is>
      </c>
      <c r="F23" s="1" t="n">
        <v>2</v>
      </c>
      <c r="G23" s="1" t="n">
        <v>24250</v>
      </c>
      <c r="H23" s="1">
        <f>F23*G23</f>
        <v/>
      </c>
      <c r="I23" s="1" t="n">
        <v>0.065</v>
      </c>
      <c r="J23" s="1">
        <f>ROUND(H23*I23,2)</f>
        <v/>
      </c>
      <c r="K23" s="1" t="inlineStr">
        <is>
          <t>2025-09</t>
        </is>
      </c>
      <c r="L23" s="1" t="n">
        <v>29100</v>
      </c>
      <c r="M23" s="1" t="inlineStr">
        <is>
          <t>4020</t>
        </is>
      </c>
      <c r="N23" s="1" t="inlineStr">
        <is>
          <t>Credit issued</t>
        </is>
      </c>
      <c r="O23" s="1" t="inlineStr">
        <is>
          <t>PO-MDY-4898</t>
        </is>
      </c>
    </row>
    <row r="24">
      <c r="A24" s="1" t="inlineStr">
        <is>
          <t>INV-2025-30023</t>
        </is>
      </c>
      <c r="B24" s="2" t="n">
        <v>45904</v>
      </c>
      <c r="C24" s="1" t="inlineStr">
        <is>
          <t>Calder Marine Supply</t>
        </is>
      </c>
      <c r="D24" s="1" t="inlineStr">
        <is>
          <t>CMS-MSA-2024-44</t>
        </is>
      </c>
      <c r="E24" s="1" t="inlineStr">
        <is>
          <t>Remote operations desk coverage</t>
        </is>
      </c>
      <c r="F24" s="1" t="n">
        <v>2</v>
      </c>
      <c r="G24" s="1" t="n">
        <v>12600</v>
      </c>
      <c r="H24" s="1">
        <f>F24*G24</f>
        <v/>
      </c>
      <c r="I24" s="1" t="n">
        <v>0.07000000000000001</v>
      </c>
      <c r="J24" s="1">
        <f>ROUND(H24*I24,2)</f>
        <v/>
      </c>
      <c r="K24" s="1" t="inlineStr">
        <is>
          <t>2025-10</t>
        </is>
      </c>
      <c r="L24" s="1" t="n">
        <v>16128</v>
      </c>
      <c r="M24" s="1" t="inlineStr">
        <is>
          <t>4020</t>
        </is>
      </c>
      <c r="N24" s="1" t="inlineStr">
        <is>
          <t>Open</t>
        </is>
      </c>
      <c r="O24" s="1" t="inlineStr">
        <is>
          <t>PO-CMS-6806</t>
        </is>
      </c>
    </row>
    <row r="25">
      <c r="A25" s="1" t="inlineStr">
        <is>
          <t>INV-2025-30024</t>
        </is>
      </c>
      <c r="B25" s="2" t="n">
        <v>45856</v>
      </c>
      <c r="C25" s="1" t="inlineStr">
        <is>
          <t>Asterion Logistics</t>
        </is>
      </c>
      <c r="D25" s="1" t="inlineStr">
        <is>
          <t>AST-MSA-2025-78</t>
        </is>
      </c>
      <c r="E25" s="1" t="inlineStr">
        <is>
          <t>Autonomous mobile robot, 220 kg payload</t>
        </is>
      </c>
      <c r="F25" s="1" t="n">
        <v>12</v>
      </c>
      <c r="G25" s="1" t="n">
        <v>41500</v>
      </c>
      <c r="H25" s="1">
        <f>F25*G25</f>
        <v/>
      </c>
      <c r="I25" s="1" t="n">
        <v>0.06</v>
      </c>
      <c r="J25" s="1">
        <f>ROUND(H25*I25,2)</f>
        <v/>
      </c>
      <c r="K25" s="1" t="inlineStr">
        <is>
          <t>2025-08</t>
        </is>
      </c>
      <c r="L25" s="1" t="n">
        <v>0</v>
      </c>
      <c r="M25" s="1" t="inlineStr">
        <is>
          <t>4010</t>
        </is>
      </c>
      <c r="N25" s="1" t="inlineStr">
        <is>
          <t>Credit issued</t>
        </is>
      </c>
      <c r="O25" s="1" t="inlineStr">
        <is>
          <t>PO-AST-4262</t>
        </is>
      </c>
    </row>
    <row r="26">
      <c r="A26" s="1" t="inlineStr">
        <is>
          <t>INV-2025-30025</t>
        </is>
      </c>
      <c r="B26" s="2" t="n">
        <v>45898</v>
      </c>
      <c r="C26" s="1" t="inlineStr">
        <is>
          <t>Crestline Fulfillment</t>
        </is>
      </c>
      <c r="D26" s="1" t="inlineStr">
        <is>
          <t>CFF-MSA-2022-72</t>
        </is>
      </c>
      <c r="E26" s="1" t="inlineStr">
        <is>
          <t>Telemetry retention tier, extended</t>
        </is>
      </c>
      <c r="F26" s="1" t="n">
        <v>4</v>
      </c>
      <c r="G26" s="1" t="n">
        <v>23600</v>
      </c>
      <c r="H26" s="1">
        <f>F26*G26</f>
        <v/>
      </c>
      <c r="I26" s="1" t="n">
        <v>0.06</v>
      </c>
      <c r="J26" s="1">
        <f>ROUND(H26*I26,2)</f>
        <v/>
      </c>
      <c r="K26" s="1" t="inlineStr">
        <is>
          <t>2025-09</t>
        </is>
      </c>
      <c r="L26" s="1" t="n">
        <v>74576</v>
      </c>
      <c r="M26" s="1" t="inlineStr">
        <is>
          <t>4020</t>
        </is>
      </c>
      <c r="N26" s="1" t="inlineStr">
        <is>
          <t>Paid</t>
        </is>
      </c>
      <c r="O26" s="1" t="inlineStr">
        <is>
          <t>PO-CFF-2102</t>
        </is>
      </c>
    </row>
    <row r="27">
      <c r="A27" s="1" t="inlineStr">
        <is>
          <t>INV-2025-30026</t>
        </is>
      </c>
      <c r="B27" s="2" t="n">
        <v>45926</v>
      </c>
      <c r="C27" s="1" t="inlineStr">
        <is>
          <t>Crestline Fulfillment</t>
        </is>
      </c>
      <c r="D27" s="1" t="inlineStr">
        <is>
          <t>CFF-MSA-2023-62</t>
        </is>
      </c>
      <c r="E27" s="1" t="inlineStr">
        <is>
          <t>Deployment and commissioning services</t>
        </is>
      </c>
      <c r="F27" s="1" t="n">
        <v>23</v>
      </c>
      <c r="G27" s="1" t="n">
        <v>1147</v>
      </c>
      <c r="H27" s="1">
        <f>F27*G27</f>
        <v/>
      </c>
      <c r="I27" s="1" t="n">
        <v>0.065</v>
      </c>
      <c r="J27" s="1">
        <f>ROUND(H27*I27,2)</f>
        <v/>
      </c>
      <c r="K27" s="1" t="inlineStr">
        <is>
          <t>2025-10</t>
        </is>
      </c>
      <c r="L27" s="1" t="n">
        <v>3165.72</v>
      </c>
      <c r="M27" s="1" t="inlineStr">
        <is>
          <t>4030</t>
        </is>
      </c>
      <c r="N27" s="1" t="inlineStr">
        <is>
          <t>Written off</t>
        </is>
      </c>
      <c r="O27" s="1" t="inlineStr">
        <is>
          <t>PO-CFF-4642</t>
        </is>
      </c>
    </row>
    <row r="28">
      <c r="A28" s="1" t="inlineStr">
        <is>
          <t>INV-2025-30027</t>
        </is>
      </c>
      <c r="B28" s="2" t="n">
        <v>45868</v>
      </c>
      <c r="C28" s="1" t="inlineStr">
        <is>
          <t>Dorsey Grain Cooperative</t>
        </is>
      </c>
      <c r="D28" s="1" t="inlineStr">
        <is>
          <t>DGC-MSA-2022-78</t>
        </is>
      </c>
      <c r="E28" s="1" t="inlineStr">
        <is>
          <t>Premium support and spares pool</t>
        </is>
      </c>
      <c r="F28" s="1" t="n">
        <v>3</v>
      </c>
      <c r="G28" s="1" t="n">
        <v>56400</v>
      </c>
      <c r="H28" s="1">
        <f>F28*G28</f>
        <v/>
      </c>
      <c r="I28" s="1" t="n">
        <v>0.09</v>
      </c>
      <c r="J28" s="1">
        <f>ROUND(H28*I28,2)</f>
        <v/>
      </c>
      <c r="K28" s="1" t="inlineStr">
        <is>
          <t>2025-08</t>
        </is>
      </c>
      <c r="L28" s="1" t="n">
        <v>137052</v>
      </c>
      <c r="M28" s="1" t="inlineStr">
        <is>
          <t>4020</t>
        </is>
      </c>
      <c r="N28" s="1" t="inlineStr">
        <is>
          <t>Credit issued</t>
        </is>
      </c>
      <c r="O28" s="1" t="inlineStr">
        <is>
          <t>PO-DGC-8712</t>
        </is>
      </c>
    </row>
    <row r="29">
      <c r="A29" s="1" t="inlineStr">
        <is>
          <t>INV-2025-30028</t>
        </is>
      </c>
      <c r="B29" s="2" t="n">
        <v>45898</v>
      </c>
      <c r="C29" s="1" t="inlineStr">
        <is>
          <t>Evergreen Warehousing</t>
        </is>
      </c>
      <c r="D29" s="1" t="inlineStr">
        <is>
          <t>EVW-MSA-2024-39</t>
        </is>
      </c>
      <c r="E29" s="1" t="inlineStr">
        <is>
          <t>Fleet orchestration platform, annual site licence</t>
        </is>
      </c>
      <c r="F29" s="1" t="n">
        <v>2</v>
      </c>
      <c r="G29" s="1" t="n">
        <v>95500</v>
      </c>
      <c r="H29" s="1">
        <f>F29*G29</f>
        <v/>
      </c>
      <c r="I29" s="1" t="n">
        <v>0</v>
      </c>
      <c r="J29" s="1">
        <f>ROUND(H29*I29,2)</f>
        <v/>
      </c>
      <c r="K29" s="1" t="inlineStr">
        <is>
          <t>2025-09</t>
        </is>
      </c>
      <c r="L29" s="1" t="n">
        <v>126060</v>
      </c>
      <c r="M29" s="1" t="inlineStr">
        <is>
          <t>4020</t>
        </is>
      </c>
      <c r="N29" s="1" t="inlineStr">
        <is>
          <t>Paid</t>
        </is>
      </c>
      <c r="O29" s="1" t="inlineStr">
        <is>
          <t>PO-EVW-3552</t>
        </is>
      </c>
    </row>
    <row r="30">
      <c r="A30" s="1" t="inlineStr">
        <is>
          <t>INV-2025-30029</t>
        </is>
      </c>
      <c r="B30" s="2" t="n">
        <v>45930</v>
      </c>
      <c r="C30" s="1" t="inlineStr">
        <is>
          <t>Asterion Logistics</t>
        </is>
      </c>
      <c r="D30" s="1" t="inlineStr">
        <is>
          <t>AST-MSA-2024-70</t>
        </is>
      </c>
      <c r="E30" s="1" t="inlineStr">
        <is>
          <t>Premium support and spares pool</t>
        </is>
      </c>
      <c r="F30" s="1" t="n">
        <v>2</v>
      </c>
      <c r="G30" s="1" t="n">
        <v>55100</v>
      </c>
      <c r="H30" s="1">
        <f>F30*G30</f>
        <v/>
      </c>
      <c r="I30" s="1" t="n">
        <v>0.07000000000000001</v>
      </c>
      <c r="J30" s="1">
        <f>ROUND(H30*I30,2)</f>
        <v/>
      </c>
      <c r="K30" s="1" t="inlineStr">
        <is>
          <t>2025-10</t>
        </is>
      </c>
      <c r="L30" s="1" t="n">
        <v>77140</v>
      </c>
      <c r="M30" s="1" t="inlineStr">
        <is>
          <t>4020</t>
        </is>
      </c>
      <c r="N30" s="1" t="inlineStr">
        <is>
          <t>Paid</t>
        </is>
      </c>
      <c r="O30" s="1" t="inlineStr">
        <is>
          <t>PO-AST-7812</t>
        </is>
      </c>
    </row>
    <row r="31">
      <c r="A31" s="1" t="inlineStr">
        <is>
          <t>INV-2025-30030</t>
        </is>
      </c>
      <c r="B31" s="2" t="n">
        <v>45868</v>
      </c>
      <c r="C31" s="1" t="inlineStr">
        <is>
          <t>Bellweather Auto Group</t>
        </is>
      </c>
      <c r="D31" s="1" t="inlineStr">
        <is>
          <t>BWA-MSA-2024-53</t>
        </is>
      </c>
      <c r="E31" s="1" t="inlineStr">
        <is>
          <t>Premium support and spares pool</t>
        </is>
      </c>
      <c r="F31" s="1" t="n">
        <v>3</v>
      </c>
      <c r="G31" s="1" t="n">
        <v>56800</v>
      </c>
      <c r="H31" s="1">
        <f>F31*G31</f>
        <v/>
      </c>
      <c r="I31" s="1" t="n">
        <v>0.0825</v>
      </c>
      <c r="J31" s="1">
        <f>ROUND(H31*I31,2)</f>
        <v/>
      </c>
      <c r="K31" s="1" t="inlineStr">
        <is>
          <t>2025-08</t>
        </is>
      </c>
      <c r="L31" s="1" t="n">
        <v>98832</v>
      </c>
      <c r="M31" s="1" t="inlineStr">
        <is>
          <t>4020</t>
        </is>
      </c>
      <c r="N31" s="1" t="inlineStr">
        <is>
          <t>Paid</t>
        </is>
      </c>
      <c r="O31" s="1" t="inlineStr">
        <is>
          <t>PO-BWA-4073</t>
        </is>
      </c>
    </row>
    <row r="32">
      <c r="A32" s="1" t="inlineStr">
        <is>
          <t>INV-2025-30031</t>
        </is>
      </c>
      <c r="B32" s="2" t="n">
        <v>45898</v>
      </c>
      <c r="C32" s="1" t="inlineStr">
        <is>
          <t>Summit Ridge Retail</t>
        </is>
      </c>
      <c r="D32" s="1" t="inlineStr">
        <is>
          <t>SRR-MSA-2024-63</t>
        </is>
      </c>
      <c r="E32" s="1" t="inlineStr">
        <is>
          <t>Telemetry retention tier, extended</t>
        </is>
      </c>
      <c r="F32" s="1" t="n">
        <v>1</v>
      </c>
      <c r="G32" s="1" t="n">
        <v>22300</v>
      </c>
      <c r="H32" s="1">
        <f>F32*G32</f>
        <v/>
      </c>
      <c r="I32" s="1" t="n">
        <v>0.065</v>
      </c>
      <c r="J32" s="1">
        <f>ROUND(H32*I32,2)</f>
        <v/>
      </c>
      <c r="K32" s="1" t="inlineStr">
        <is>
          <t>2025-09</t>
        </is>
      </c>
      <c r="L32" s="1" t="n">
        <v>17171</v>
      </c>
      <c r="M32" s="1" t="inlineStr">
        <is>
          <t>4020</t>
        </is>
      </c>
      <c r="N32" s="1" t="inlineStr">
        <is>
          <t>Disputed</t>
        </is>
      </c>
      <c r="O32" s="1" t="inlineStr">
        <is>
          <t>PO-SRR-4420</t>
        </is>
      </c>
    </row>
    <row r="33">
      <c r="A33" s="1" t="inlineStr">
        <is>
          <t>INV-2025-30032</t>
        </is>
      </c>
      <c r="B33" s="2" t="n">
        <v>45929</v>
      </c>
      <c r="C33" s="1" t="inlineStr">
        <is>
          <t>Dunbar Industrial</t>
        </is>
      </c>
      <c r="D33" s="1" t="inlineStr">
        <is>
          <t>DBI-MSA-2023-78</t>
        </is>
      </c>
      <c r="E33" s="1" t="inlineStr">
        <is>
          <t>Fleet orchestration platform, annual site licence</t>
        </is>
      </c>
      <c r="F33" s="1" t="n">
        <v>1</v>
      </c>
      <c r="G33" s="1" t="n">
        <v>93800</v>
      </c>
      <c r="H33" s="1">
        <f>F33*G33</f>
        <v/>
      </c>
      <c r="I33" s="1" t="n">
        <v>0.07000000000000001</v>
      </c>
      <c r="J33" s="1">
        <f>ROUND(H33*I33,2)</f>
        <v/>
      </c>
      <c r="K33" s="1" t="inlineStr">
        <is>
          <t>2025-10</t>
        </is>
      </c>
      <c r="L33" s="1" t="n">
        <v>76916</v>
      </c>
      <c r="M33" s="1" t="inlineStr">
        <is>
          <t>4020</t>
        </is>
      </c>
      <c r="N33" s="1" t="inlineStr">
        <is>
          <t>Disputed</t>
        </is>
      </c>
      <c r="O33" s="1" t="inlineStr">
        <is>
          <t>PO-DBI-5607</t>
        </is>
      </c>
    </row>
    <row r="34">
      <c r="A34" s="1" t="inlineStr">
        <is>
          <t>INV-2025-30033</t>
        </is>
      </c>
      <c r="B34" s="2" t="n">
        <v>45849</v>
      </c>
      <c r="C34" s="1" t="inlineStr">
        <is>
          <t>Summit Ridge Retail</t>
        </is>
      </c>
      <c r="D34" s="1" t="inlineStr">
        <is>
          <t>SRR-MSA-2023-52</t>
        </is>
      </c>
      <c r="E34" s="1" t="inlineStr">
        <is>
          <t>Fleet orchestration platform, annual site licence</t>
        </is>
      </c>
      <c r="F34" s="1" t="n">
        <v>4</v>
      </c>
      <c r="G34" s="1" t="n">
        <v>95500</v>
      </c>
      <c r="H34" s="1">
        <f>F34*G34</f>
        <v/>
      </c>
      <c r="I34" s="1" t="n">
        <v>0.07000000000000001</v>
      </c>
      <c r="J34" s="1">
        <f>ROUND(H34*I34,2)</f>
        <v/>
      </c>
      <c r="K34" s="1" t="inlineStr">
        <is>
          <t>2025-08</t>
        </is>
      </c>
      <c r="L34" s="1" t="n">
        <v>309420</v>
      </c>
      <c r="M34" s="1" t="inlineStr">
        <is>
          <t>4020</t>
        </is>
      </c>
      <c r="N34" s="1" t="inlineStr">
        <is>
          <t>Paid</t>
        </is>
      </c>
      <c r="O34" s="1" t="inlineStr">
        <is>
          <t>PO-SRR-1369</t>
        </is>
      </c>
    </row>
    <row r="35">
      <c r="A35" s="1" t="inlineStr">
        <is>
          <t>INV-2025-30034</t>
        </is>
      </c>
      <c r="B35" s="2" t="n">
        <v>45898</v>
      </c>
      <c r="C35" s="1" t="inlineStr">
        <is>
          <t>Union Vale Pharma</t>
        </is>
      </c>
      <c r="D35" s="1" t="inlineStr">
        <is>
          <t>UVP-MSA-2024-58</t>
        </is>
      </c>
      <c r="E35" s="1" t="inlineStr">
        <is>
          <t>Warehouse management system connector</t>
        </is>
      </c>
      <c r="F35" s="1" t="n">
        <v>4</v>
      </c>
      <c r="G35" s="1" t="n">
        <v>38650</v>
      </c>
      <c r="H35" s="1">
        <f>F35*G35</f>
        <v/>
      </c>
      <c r="I35" s="1" t="n">
        <v>0.065</v>
      </c>
      <c r="J35" s="1">
        <f>ROUND(H35*I35,2)</f>
        <v/>
      </c>
      <c r="K35" s="1" t="inlineStr">
        <is>
          <t>2025-09</t>
        </is>
      </c>
      <c r="L35" s="1" t="n">
        <v>27828</v>
      </c>
      <c r="M35" s="1" t="inlineStr">
        <is>
          <t>4030</t>
        </is>
      </c>
      <c r="N35" s="1" t="inlineStr">
        <is>
          <t>Open</t>
        </is>
      </c>
      <c r="O35" s="1" t="inlineStr">
        <is>
          <t>PO-UVP-7041</t>
        </is>
      </c>
    </row>
    <row r="36">
      <c r="A36" s="1" t="inlineStr">
        <is>
          <t>INV-2025-30035</t>
        </is>
      </c>
      <c r="B36" s="2" t="n">
        <v>45926</v>
      </c>
      <c r="C36" s="1" t="inlineStr">
        <is>
          <t>Evergreen Warehousing</t>
        </is>
      </c>
      <c r="D36" s="1" t="inlineStr">
        <is>
          <t>EVW-MSA-2024-15</t>
        </is>
      </c>
      <c r="E36" s="1" t="inlineStr">
        <is>
          <t>Deployment and commissioning services</t>
        </is>
      </c>
      <c r="F36" s="1" t="n">
        <v>35</v>
      </c>
      <c r="G36" s="1" t="n">
        <v>1350</v>
      </c>
      <c r="H36" s="1">
        <f>F36*G36</f>
        <v/>
      </c>
      <c r="I36" s="1" t="n">
        <v>0</v>
      </c>
      <c r="J36" s="1">
        <f>ROUND(H36*I36,2)</f>
        <v/>
      </c>
      <c r="K36" s="1" t="inlineStr">
        <is>
          <t>2025-10</t>
        </is>
      </c>
      <c r="L36" s="1" t="n">
        <v>0</v>
      </c>
      <c r="M36" s="1" t="inlineStr">
        <is>
          <t>4030</t>
        </is>
      </c>
      <c r="N36" s="1" t="inlineStr">
        <is>
          <t>Paid</t>
        </is>
      </c>
      <c r="O36" s="1" t="inlineStr">
        <is>
          <t>PO-EVW-3874</t>
        </is>
      </c>
    </row>
    <row r="37">
      <c r="A37" s="1" t="inlineStr">
        <is>
          <t>INV-2025-30036</t>
        </is>
      </c>
      <c r="B37" s="2" t="n">
        <v>45869</v>
      </c>
      <c r="C37" s="1" t="inlineStr">
        <is>
          <t>Pioneer Freight Union</t>
        </is>
      </c>
      <c r="D37" s="1" t="inlineStr">
        <is>
          <t>PFU-MSA-2023-88</t>
        </is>
      </c>
      <c r="E37" s="1" t="inlineStr">
        <is>
          <t>Telemetry retention tier, extended</t>
        </is>
      </c>
      <c r="F37" s="1" t="n">
        <v>3</v>
      </c>
      <c r="G37" s="1" t="n">
        <v>24500</v>
      </c>
      <c r="H37" s="1">
        <f>F37*G37</f>
        <v/>
      </c>
      <c r="I37" s="1" t="n">
        <v>0.0475</v>
      </c>
      <c r="J37" s="1">
        <f>ROUND(H37*I37,2)</f>
        <v/>
      </c>
      <c r="K37" s="1" t="inlineStr">
        <is>
          <t>2025-08</t>
        </is>
      </c>
      <c r="L37" s="1" t="n">
        <v>52920</v>
      </c>
      <c r="M37" s="1" t="inlineStr">
        <is>
          <t>4020</t>
        </is>
      </c>
      <c r="N37" s="1" t="inlineStr">
        <is>
          <t>Written off</t>
        </is>
      </c>
      <c r="O37" s="1" t="inlineStr">
        <is>
          <t>PO-PFU-3574</t>
        </is>
      </c>
    </row>
    <row r="38">
      <c r="A38" s="1" t="inlineStr">
        <is>
          <t>INV-2025-30037</t>
        </is>
      </c>
      <c r="B38" s="2" t="n">
        <v>45898</v>
      </c>
      <c r="C38" s="1" t="inlineStr">
        <is>
          <t>Fathom Mobility</t>
        </is>
      </c>
      <c r="D38" s="1" t="inlineStr">
        <is>
          <t>FTM-MSA-2023-82</t>
        </is>
      </c>
      <c r="E38" s="1" t="inlineStr">
        <is>
          <t>Fleet orchestration platform, annual site licence</t>
        </is>
      </c>
      <c r="F38" s="1" t="n">
        <v>3</v>
      </c>
      <c r="G38" s="1" t="n">
        <v>96000</v>
      </c>
      <c r="H38" s="1">
        <f>F38*G38</f>
        <v/>
      </c>
      <c r="I38" s="1" t="n">
        <v>0.06</v>
      </c>
      <c r="J38" s="1">
        <f>ROUND(H38*I38,2)</f>
        <v/>
      </c>
      <c r="K38" s="1" t="inlineStr">
        <is>
          <t>2025-09</t>
        </is>
      </c>
      <c r="L38" s="1" t="n">
        <v>216000</v>
      </c>
      <c r="M38" s="1" t="inlineStr">
        <is>
          <t>4020</t>
        </is>
      </c>
      <c r="N38" s="1" t="inlineStr">
        <is>
          <t>Paid</t>
        </is>
      </c>
      <c r="O38" s="1" t="inlineStr">
        <is>
          <t>PO-FTM-3826</t>
        </is>
      </c>
    </row>
    <row r="39">
      <c r="A39" s="1" t="inlineStr">
        <is>
          <t>INV-2025-30038</t>
        </is>
      </c>
      <c r="B39" s="2" t="n">
        <v>45929</v>
      </c>
      <c r="C39" s="1" t="inlineStr">
        <is>
          <t>Tamarack Electronics</t>
        </is>
      </c>
      <c r="D39" s="1" t="inlineStr">
        <is>
          <t>TCE-MSA-2024-60</t>
        </is>
      </c>
      <c r="E39" s="1" t="inlineStr">
        <is>
          <t>Remote operations desk coverage</t>
        </is>
      </c>
      <c r="F39" s="1" t="n">
        <v>1</v>
      </c>
      <c r="G39" s="1" t="n">
        <v>11200</v>
      </c>
      <c r="H39" s="1">
        <f>F39*G39</f>
        <v/>
      </c>
      <c r="I39" s="1" t="n">
        <v>0.06</v>
      </c>
      <c r="J39" s="1">
        <f>ROUND(H39*I39,2)</f>
        <v/>
      </c>
      <c r="K39" s="1" t="inlineStr">
        <is>
          <t>2025-10</t>
        </is>
      </c>
      <c r="L39" s="1" t="n">
        <v>6160</v>
      </c>
      <c r="M39" s="1" t="inlineStr">
        <is>
          <t>4020</t>
        </is>
      </c>
      <c r="N39" s="1" t="inlineStr">
        <is>
          <t>Disputed</t>
        </is>
      </c>
      <c r="O39" s="1" t="inlineStr">
        <is>
          <t>PO-TCE-1168</t>
        </is>
      </c>
    </row>
    <row r="40">
      <c r="A40" s="1" t="inlineStr">
        <is>
          <t>INV-2025-30039</t>
        </is>
      </c>
      <c r="B40" s="2" t="n">
        <v>45860</v>
      </c>
      <c r="C40" s="1" t="inlineStr">
        <is>
          <t>Asterion Logistics</t>
        </is>
      </c>
      <c r="D40" s="1" t="inlineStr">
        <is>
          <t>AST-MSA-2023-44</t>
        </is>
      </c>
      <c r="E40" s="1" t="inlineStr">
        <is>
          <t>Premium support and spares pool</t>
        </is>
      </c>
      <c r="F40" s="1" t="n">
        <v>1</v>
      </c>
      <c r="G40" s="1" t="n">
        <v>57050</v>
      </c>
      <c r="H40" s="1">
        <f>F40*G40</f>
        <v/>
      </c>
      <c r="I40" s="1" t="n">
        <v>0.0825</v>
      </c>
      <c r="J40" s="1">
        <f>ROUND(H40*I40,2)</f>
        <v/>
      </c>
      <c r="K40" s="1" t="inlineStr">
        <is>
          <t>2025-08</t>
        </is>
      </c>
      <c r="L40" s="1" t="n">
        <v>45640</v>
      </c>
      <c r="M40" s="1" t="inlineStr">
        <is>
          <t>4020</t>
        </is>
      </c>
      <c r="N40" s="1" t="inlineStr">
        <is>
          <t>Partially paid</t>
        </is>
      </c>
      <c r="O40" s="1" t="inlineStr">
        <is>
          <t>PO-AST-1636</t>
        </is>
      </c>
    </row>
    <row r="41">
      <c r="A41" s="1" t="inlineStr">
        <is>
          <t>INV-2025-30040</t>
        </is>
      </c>
      <c r="B41" s="2" t="n">
        <v>45881</v>
      </c>
      <c r="C41" s="1" t="inlineStr">
        <is>
          <t>Dunbar Industrial</t>
        </is>
      </c>
      <c r="D41" s="1" t="inlineStr">
        <is>
          <t>DBI-MSA-2025-65</t>
        </is>
      </c>
      <c r="E41" s="1" t="inlineStr">
        <is>
          <t>Opportunity charging dock</t>
        </is>
      </c>
      <c r="F41" s="1" t="n">
        <v>7</v>
      </c>
      <c r="G41" s="1" t="n">
        <v>11550</v>
      </c>
      <c r="H41" s="1">
        <f>F41*G41</f>
        <v/>
      </c>
      <c r="I41" s="1" t="n">
        <v>0.0475</v>
      </c>
      <c r="J41" s="1">
        <f>ROUND(H41*I41,2)</f>
        <v/>
      </c>
      <c r="K41" s="1" t="inlineStr">
        <is>
          <t>2025-09</t>
        </is>
      </c>
      <c r="L41" s="1" t="n">
        <v>0</v>
      </c>
      <c r="M41" s="1" t="inlineStr">
        <is>
          <t>4010</t>
        </is>
      </c>
      <c r="N41" s="1" t="inlineStr">
        <is>
          <t>Open</t>
        </is>
      </c>
      <c r="O41" s="1" t="inlineStr">
        <is>
          <t>PO-DBI-1490</t>
        </is>
      </c>
    </row>
    <row r="42">
      <c r="A42" s="1" t="inlineStr">
        <is>
          <t>INV-2025-30041</t>
        </is>
      </c>
      <c r="B42" s="2" t="n">
        <v>45929</v>
      </c>
      <c r="C42" s="1" t="inlineStr">
        <is>
          <t>Dorsey Grain Cooperative</t>
        </is>
      </c>
      <c r="D42" s="1" t="inlineStr">
        <is>
          <t>DGC-MSA-2023-82</t>
        </is>
      </c>
      <c r="E42" s="1" t="inlineStr">
        <is>
          <t>Deployment and commissioning services</t>
        </is>
      </c>
      <c r="F42" s="1" t="n">
        <v>12</v>
      </c>
      <c r="G42" s="1" t="n">
        <v>1600</v>
      </c>
      <c r="H42" s="1">
        <f>F42*G42</f>
        <v/>
      </c>
      <c r="I42" s="1" t="n">
        <v>0</v>
      </c>
      <c r="J42" s="1">
        <f>ROUND(H42*I42,2)</f>
        <v/>
      </c>
      <c r="K42" s="1" t="inlineStr">
        <is>
          <t>2025-10</t>
        </is>
      </c>
      <c r="L42" s="1" t="n">
        <v>1920</v>
      </c>
      <c r="M42" s="1" t="inlineStr">
        <is>
          <t>4030</t>
        </is>
      </c>
      <c r="N42" s="1" t="inlineStr">
        <is>
          <t>Paid</t>
        </is>
      </c>
      <c r="O42" s="1" t="inlineStr">
        <is>
          <t>PO-DGC-6101</t>
        </is>
      </c>
    </row>
    <row r="43">
      <c r="A43" s="1" t="inlineStr">
        <is>
          <t>INV-2025-30042</t>
        </is>
      </c>
      <c r="B43" s="2" t="n">
        <v>45849</v>
      </c>
      <c r="C43" s="1" t="inlineStr">
        <is>
          <t>Summit Ridge Retail</t>
        </is>
      </c>
      <c r="D43" s="1" t="inlineStr">
        <is>
          <t>SRR-MSA-2023-27</t>
        </is>
      </c>
      <c r="E43" s="1" t="inlineStr">
        <is>
          <t>Safety scanner retrofit kit</t>
        </is>
      </c>
      <c r="F43" s="1" t="n">
        <v>1</v>
      </c>
      <c r="G43" s="1" t="n">
        <v>7250</v>
      </c>
      <c r="H43" s="1">
        <f>F43*G43</f>
        <v/>
      </c>
      <c r="I43" s="1" t="n">
        <v>0.07000000000000001</v>
      </c>
      <c r="J43" s="1">
        <f>ROUND(H43*I43,2)</f>
        <v/>
      </c>
      <c r="K43" s="1" t="inlineStr">
        <is>
          <t>2025-08</t>
        </is>
      </c>
      <c r="L43" s="1" t="n">
        <v>0</v>
      </c>
      <c r="M43" s="1" t="inlineStr">
        <is>
          <t>4010</t>
        </is>
      </c>
      <c r="N43" s="1" t="inlineStr">
        <is>
          <t>Open</t>
        </is>
      </c>
      <c r="O43" s="1" t="inlineStr">
        <is>
          <t>PO-SRR-1202</t>
        </is>
      </c>
    </row>
    <row r="44">
      <c r="A44" s="1" t="inlineStr">
        <is>
          <t>INV-2025-30043</t>
        </is>
      </c>
      <c r="B44" s="2" t="n">
        <v>45898</v>
      </c>
      <c r="C44" s="1" t="inlineStr">
        <is>
          <t>Quarrybridge Materials</t>
        </is>
      </c>
      <c r="D44" s="1" t="inlineStr">
        <is>
          <t>QBM-MSA-2023-40</t>
        </is>
      </c>
      <c r="E44" s="1" t="inlineStr">
        <is>
          <t>Deployment and commissioning services</t>
        </is>
      </c>
      <c r="F44" s="1" t="n">
        <v>5</v>
      </c>
      <c r="G44" s="1" t="n">
        <v>1147</v>
      </c>
      <c r="H44" s="1">
        <f>F44*G44</f>
        <v/>
      </c>
      <c r="I44" s="1" t="n">
        <v>0.09</v>
      </c>
      <c r="J44" s="1">
        <f>ROUND(H44*I44,2)</f>
        <v/>
      </c>
      <c r="K44" s="1" t="inlineStr">
        <is>
          <t>2025-09</t>
        </is>
      </c>
      <c r="L44" s="1" t="n">
        <v>630.85</v>
      </c>
      <c r="M44" s="1" t="inlineStr">
        <is>
          <t>4030</t>
        </is>
      </c>
      <c r="N44" s="1" t="inlineStr">
        <is>
          <t>Paid</t>
        </is>
      </c>
      <c r="O44" s="1" t="inlineStr">
        <is>
          <t>PO-QBM-5050</t>
        </is>
      </c>
    </row>
    <row r="45">
      <c r="A45" s="1" t="inlineStr">
        <is>
          <t>INV-2025-30044</t>
        </is>
      </c>
      <c r="B45" s="2" t="n">
        <v>45930</v>
      </c>
      <c r="C45" s="1" t="inlineStr">
        <is>
          <t>Blue Mesa Components</t>
        </is>
      </c>
      <c r="D45" s="1" t="inlineStr">
        <is>
          <t>BMC-MSA-2025-45</t>
        </is>
      </c>
      <c r="E45" s="1" t="inlineStr">
        <is>
          <t>Remote operations desk coverage</t>
        </is>
      </c>
      <c r="F45" s="1" t="n">
        <v>2</v>
      </c>
      <c r="G45" s="1" t="n">
        <v>10400</v>
      </c>
      <c r="H45" s="1">
        <f>F45*G45</f>
        <v/>
      </c>
      <c r="I45" s="1" t="n">
        <v>0.06</v>
      </c>
      <c r="J45" s="1">
        <f>ROUND(H45*I45,2)</f>
        <v/>
      </c>
      <c r="K45" s="1" t="inlineStr">
        <is>
          <t>2025-10</t>
        </is>
      </c>
      <c r="L45" s="1" t="n">
        <v>14560</v>
      </c>
      <c r="M45" s="1" t="inlineStr">
        <is>
          <t>4020</t>
        </is>
      </c>
      <c r="N45" s="1" t="inlineStr">
        <is>
          <t>Disputed</t>
        </is>
      </c>
      <c r="O45" s="1" t="inlineStr">
        <is>
          <t>PO-BMC-8070</t>
        </is>
      </c>
    </row>
    <row r="46">
      <c r="A46" s="1" t="inlineStr">
        <is>
          <t>INV-2025-30045</t>
        </is>
      </c>
      <c r="B46" s="2" t="n">
        <v>45856</v>
      </c>
      <c r="C46" s="1" t="inlineStr">
        <is>
          <t>Blue Mesa Components</t>
        </is>
      </c>
      <c r="D46" s="1" t="inlineStr">
        <is>
          <t>BMC-MSA-2025-56</t>
        </is>
      </c>
      <c r="E46" s="1" t="inlineStr">
        <is>
          <t>Premium support and spares pool</t>
        </is>
      </c>
      <c r="F46" s="1" t="n">
        <v>4</v>
      </c>
      <c r="G46" s="1" t="n">
        <v>56800</v>
      </c>
      <c r="H46" s="1">
        <f>F46*G46</f>
        <v/>
      </c>
      <c r="I46" s="1" t="n">
        <v>0.09</v>
      </c>
      <c r="J46" s="1">
        <f>ROUND(H46*I46,2)</f>
        <v/>
      </c>
      <c r="K46" s="1" t="inlineStr">
        <is>
          <t>2025-08</t>
        </is>
      </c>
      <c r="L46" s="1" t="n">
        <v>190848</v>
      </c>
      <c r="M46" s="1" t="inlineStr">
        <is>
          <t>4020</t>
        </is>
      </c>
      <c r="N46" s="1" t="inlineStr">
        <is>
          <t>Paid</t>
        </is>
      </c>
      <c r="O46" s="1" t="inlineStr">
        <is>
          <t>PO-BMC-7645</t>
        </is>
      </c>
    </row>
    <row r="47">
      <c r="A47" s="1" t="inlineStr">
        <is>
          <t>INV-2025-30046</t>
        </is>
      </c>
      <c r="B47" s="2" t="n">
        <v>45884</v>
      </c>
      <c r="C47" s="1" t="inlineStr">
        <is>
          <t>Pioneer Freight Union</t>
        </is>
      </c>
      <c r="D47" s="1" t="inlineStr">
        <is>
          <t>PFU-MSA-2024-11</t>
        </is>
      </c>
      <c r="E47" s="1" t="inlineStr">
        <is>
          <t>Autonomous mobile robot, 220 kg payload</t>
        </is>
      </c>
      <c r="F47" s="1" t="n">
        <v>1</v>
      </c>
      <c r="G47" s="1" t="n">
        <v>41250</v>
      </c>
      <c r="H47" s="1">
        <f>F47*G47</f>
        <v/>
      </c>
      <c r="I47" s="1" t="n">
        <v>0.09</v>
      </c>
      <c r="J47" s="1">
        <f>ROUND(H47*I47,2)</f>
        <v/>
      </c>
      <c r="K47" s="1" t="inlineStr">
        <is>
          <t>2025-09</t>
        </is>
      </c>
      <c r="L47" s="1" t="n">
        <v>0</v>
      </c>
      <c r="M47" s="1" t="inlineStr">
        <is>
          <t>4010</t>
        </is>
      </c>
      <c r="N47" s="1" t="inlineStr">
        <is>
          <t>Open</t>
        </is>
      </c>
      <c r="O47" s="1" t="inlineStr">
        <is>
          <t>PO-PFU-8520</t>
        </is>
      </c>
    </row>
    <row r="48">
      <c r="A48" s="1" t="inlineStr">
        <is>
          <t>INV-2025-30047</t>
        </is>
      </c>
      <c r="B48" s="2" t="n">
        <v>45910</v>
      </c>
      <c r="C48" s="1" t="inlineStr">
        <is>
          <t>Orchard Grove Foods</t>
        </is>
      </c>
      <c r="D48" s="1" t="inlineStr">
        <is>
          <t>OGF-MSA-2025-87</t>
        </is>
      </c>
      <c r="E48" s="1" t="inlineStr">
        <is>
          <t>Autonomous mobile robot, 220 kg payload</t>
        </is>
      </c>
      <c r="F48" s="1" t="n">
        <v>6</v>
      </c>
      <c r="G48" s="1" t="n">
        <v>39300</v>
      </c>
      <c r="H48" s="1">
        <f>F48*G48</f>
        <v/>
      </c>
      <c r="I48" s="1" t="n">
        <v>0.0825</v>
      </c>
      <c r="J48" s="1">
        <f>ROUND(H48*I48,2)</f>
        <v/>
      </c>
      <c r="K48" s="1" t="inlineStr">
        <is>
          <t>2025-10</t>
        </is>
      </c>
      <c r="L48" s="1" t="n">
        <v>0</v>
      </c>
      <c r="M48" s="1" t="inlineStr">
        <is>
          <t>4010</t>
        </is>
      </c>
      <c r="N48" s="1" t="inlineStr">
        <is>
          <t>Open</t>
        </is>
      </c>
      <c r="O48" s="1" t="inlineStr">
        <is>
          <t>PO-OGF-7043</t>
        </is>
      </c>
    </row>
    <row r="49">
      <c r="A49" s="1" t="inlineStr">
        <is>
          <t>INV-2025-30048</t>
        </is>
      </c>
      <c r="B49" s="2" t="n">
        <v>45867</v>
      </c>
      <c r="C49" s="1" t="inlineStr">
        <is>
          <t>Pioneer Freight Union</t>
        </is>
      </c>
      <c r="D49" s="1" t="inlineStr">
        <is>
          <t>PFU-MSA-2024-71</t>
        </is>
      </c>
      <c r="E49" s="1" t="inlineStr">
        <is>
          <t>Opportunity charging dock</t>
        </is>
      </c>
      <c r="F49" s="1" t="n">
        <v>7</v>
      </c>
      <c r="G49" s="1" t="n">
        <v>11300</v>
      </c>
      <c r="H49" s="1">
        <f>F49*G49</f>
        <v/>
      </c>
      <c r="I49" s="1" t="n">
        <v>0.065</v>
      </c>
      <c r="J49" s="1">
        <f>ROUND(H49*I49,2)</f>
        <v/>
      </c>
      <c r="K49" s="1" t="inlineStr">
        <is>
          <t>2025-08</t>
        </is>
      </c>
      <c r="L49" s="1" t="n">
        <v>0</v>
      </c>
      <c r="M49" s="1" t="inlineStr">
        <is>
          <t>4010</t>
        </is>
      </c>
      <c r="N49" s="1" t="inlineStr">
        <is>
          <t>Paid</t>
        </is>
      </c>
      <c r="O49" s="1" t="inlineStr">
        <is>
          <t>PO-PFU-5522</t>
        </is>
      </c>
    </row>
    <row r="50">
      <c r="A50" s="1" t="inlineStr">
        <is>
          <t>INV-2025-30049</t>
        </is>
      </c>
      <c r="B50" s="2" t="n">
        <v>45870</v>
      </c>
      <c r="C50" s="1" t="inlineStr">
        <is>
          <t>Blue Mesa Components</t>
        </is>
      </c>
      <c r="D50" s="1" t="inlineStr">
        <is>
          <t>BMC-MSA-2022-54</t>
        </is>
      </c>
      <c r="E50" s="1" t="inlineStr">
        <is>
          <t>Safety scanner retrofit kit</t>
        </is>
      </c>
      <c r="F50" s="1" t="n">
        <v>4</v>
      </c>
      <c r="G50" s="1" t="n">
        <v>7250</v>
      </c>
      <c r="H50" s="1">
        <f>F50*G50</f>
        <v/>
      </c>
      <c r="I50" s="1" t="n">
        <v>0.09</v>
      </c>
      <c r="J50" s="1">
        <f>ROUND(H50*I50,2)</f>
        <v/>
      </c>
      <c r="K50" s="1" t="inlineStr">
        <is>
          <t>2025-09</t>
        </is>
      </c>
      <c r="L50" s="1" t="n">
        <v>0</v>
      </c>
      <c r="M50" s="1" t="inlineStr">
        <is>
          <t>4010</t>
        </is>
      </c>
      <c r="N50" s="1" t="inlineStr">
        <is>
          <t>Paid</t>
        </is>
      </c>
      <c r="O50" s="1" t="inlineStr">
        <is>
          <t>PO-BMC-6394</t>
        </is>
      </c>
    </row>
    <row r="51">
      <c r="A51" s="1" t="inlineStr">
        <is>
          <t>INV-2025-30050</t>
        </is>
      </c>
      <c r="B51" s="2" t="n">
        <v>45929</v>
      </c>
      <c r="C51" s="1" t="inlineStr">
        <is>
          <t>Redwood Optics</t>
        </is>
      </c>
      <c r="D51" s="1" t="inlineStr">
        <is>
          <t>RWO-MSA-2024-83</t>
        </is>
      </c>
      <c r="E51" s="1" t="inlineStr">
        <is>
          <t>Premium support and spares pool</t>
        </is>
      </c>
      <c r="F51" s="1" t="n">
        <v>1</v>
      </c>
      <c r="G51" s="1" t="n">
        <v>57300</v>
      </c>
      <c r="H51" s="1">
        <f>F51*G51</f>
        <v/>
      </c>
      <c r="I51" s="1" t="n">
        <v>0.0475</v>
      </c>
      <c r="J51" s="1">
        <f>ROUND(H51*I51,2)</f>
        <v/>
      </c>
      <c r="K51" s="1" t="inlineStr">
        <is>
          <t>2025-10</t>
        </is>
      </c>
      <c r="L51" s="1" t="n">
        <v>44694</v>
      </c>
      <c r="M51" s="1" t="inlineStr">
        <is>
          <t>4020</t>
        </is>
      </c>
      <c r="N51" s="1" t="inlineStr">
        <is>
          <t>Open</t>
        </is>
      </c>
      <c r="O51" s="1" t="inlineStr">
        <is>
          <t>PO-RWO-2065</t>
        </is>
      </c>
    </row>
    <row r="52">
      <c r="A52" s="1" t="inlineStr">
        <is>
          <t>INV-2025-30051</t>
        </is>
      </c>
      <c r="B52" s="2" t="n">
        <v>45867</v>
      </c>
      <c r="C52" s="1" t="inlineStr">
        <is>
          <t>Keystone Paper &amp; Pack</t>
        </is>
      </c>
      <c r="D52" s="1" t="inlineStr">
        <is>
          <t>KPP-MSA-2023-55</t>
        </is>
      </c>
      <c r="E52" s="1" t="inlineStr">
        <is>
          <t>Safety scanner retrofit kit</t>
        </is>
      </c>
      <c r="F52" s="1" t="n">
        <v>2</v>
      </c>
      <c r="G52" s="1" t="n">
        <v>5850</v>
      </c>
      <c r="H52" s="1">
        <f>F52*G52</f>
        <v/>
      </c>
      <c r="I52" s="1" t="n">
        <v>0.0475</v>
      </c>
      <c r="J52" s="1">
        <f>ROUND(H52*I52,2)</f>
        <v/>
      </c>
      <c r="K52" s="1" t="inlineStr">
        <is>
          <t>2025-08</t>
        </is>
      </c>
      <c r="L52" s="1" t="n">
        <v>0</v>
      </c>
      <c r="M52" s="1" t="inlineStr">
        <is>
          <t>4010</t>
        </is>
      </c>
      <c r="N52" s="1" t="inlineStr">
        <is>
          <t>Open</t>
        </is>
      </c>
      <c r="O52" s="1" t="inlineStr">
        <is>
          <t>PO-KPP-6581</t>
        </is>
      </c>
    </row>
    <row r="53">
      <c r="A53" s="1" t="inlineStr">
        <is>
          <t>INV-2025-30052</t>
        </is>
      </c>
      <c r="B53" s="2" t="n">
        <v>45898</v>
      </c>
      <c r="C53" s="1" t="inlineStr">
        <is>
          <t>Pioneer Freight Union</t>
        </is>
      </c>
      <c r="D53" s="1" t="inlineStr">
        <is>
          <t>PFU-MSA-2025-19</t>
        </is>
      </c>
      <c r="E53" s="1" t="inlineStr">
        <is>
          <t>Premium support and spares pool</t>
        </is>
      </c>
      <c r="F53" s="1" t="n">
        <v>4</v>
      </c>
      <c r="G53" s="1" t="n">
        <v>57300</v>
      </c>
      <c r="H53" s="1">
        <f>F53*G53</f>
        <v/>
      </c>
      <c r="I53" s="1" t="n">
        <v>0.0475</v>
      </c>
      <c r="J53" s="1">
        <f>ROUND(H53*I53,2)</f>
        <v/>
      </c>
      <c r="K53" s="1" t="inlineStr">
        <is>
          <t>2025-09</t>
        </is>
      </c>
      <c r="L53" s="1" t="n">
        <v>162732</v>
      </c>
      <c r="M53" s="1" t="inlineStr">
        <is>
          <t>4020</t>
        </is>
      </c>
      <c r="N53" s="1" t="inlineStr">
        <is>
          <t>Paid</t>
        </is>
      </c>
      <c r="O53" s="1" t="inlineStr">
        <is>
          <t>PO-PFU-5182</t>
        </is>
      </c>
    </row>
    <row r="54">
      <c r="A54" s="1" t="inlineStr">
        <is>
          <t>INV-2025-30053</t>
        </is>
      </c>
      <c r="B54" s="2" t="n">
        <v>45905</v>
      </c>
      <c r="C54" s="1" t="inlineStr">
        <is>
          <t>Juniper Health Supply</t>
        </is>
      </c>
      <c r="D54" s="1" t="inlineStr">
        <is>
          <t>JHS-MSA-2022-22</t>
        </is>
      </c>
      <c r="E54" s="1" t="inlineStr">
        <is>
          <t>Warehouse management system connector</t>
        </is>
      </c>
      <c r="F54" s="1" t="n">
        <v>4</v>
      </c>
      <c r="G54" s="1" t="n">
        <v>38650</v>
      </c>
      <c r="H54" s="1">
        <f>F54*G54</f>
        <v/>
      </c>
      <c r="I54" s="1" t="n">
        <v>0.07000000000000001</v>
      </c>
      <c r="J54" s="1">
        <f>ROUND(H54*I54,2)</f>
        <v/>
      </c>
      <c r="K54" s="1" t="inlineStr">
        <is>
          <t>2025-10</t>
        </is>
      </c>
      <c r="L54" s="1" t="n">
        <v>18552</v>
      </c>
      <c r="M54" s="1" t="inlineStr">
        <is>
          <t>4030</t>
        </is>
      </c>
      <c r="N54" s="1" t="inlineStr">
        <is>
          <t>Paid</t>
        </is>
      </c>
      <c r="O54" s="1" t="inlineStr">
        <is>
          <t>PO-JHS-4833</t>
        </is>
      </c>
    </row>
    <row r="55">
      <c r="A55" s="1" t="inlineStr">
        <is>
          <t>INV-2025-30054</t>
        </is>
      </c>
      <c r="B55" s="2" t="n">
        <v>45868</v>
      </c>
      <c r="C55" s="1" t="inlineStr">
        <is>
          <t>Larkspur Apparel</t>
        </is>
      </c>
      <c r="D55" s="1" t="inlineStr">
        <is>
          <t>LKA-MSA-2023-66</t>
        </is>
      </c>
      <c r="E55" s="1" t="inlineStr">
        <is>
          <t>Safety scanner retrofit kit</t>
        </is>
      </c>
      <c r="F55" s="1" t="n">
        <v>1</v>
      </c>
      <c r="G55" s="1" t="n">
        <v>7000</v>
      </c>
      <c r="H55" s="1">
        <f>F55*G55</f>
        <v/>
      </c>
      <c r="I55" s="1" t="n">
        <v>0.065</v>
      </c>
      <c r="J55" s="1">
        <f>ROUND(H55*I55,2)</f>
        <v/>
      </c>
      <c r="K55" s="1" t="inlineStr">
        <is>
          <t>2025-08</t>
        </is>
      </c>
      <c r="L55" s="1" t="n">
        <v>0</v>
      </c>
      <c r="M55" s="1" t="inlineStr">
        <is>
          <t>4010</t>
        </is>
      </c>
      <c r="N55" s="1" t="inlineStr">
        <is>
          <t>Written off</t>
        </is>
      </c>
      <c r="O55" s="1" t="inlineStr">
        <is>
          <t>PO-LKA-2873</t>
        </is>
      </c>
    </row>
    <row r="56">
      <c r="A56" s="1" t="inlineStr">
        <is>
          <t>INV-2025-30055</t>
        </is>
      </c>
      <c r="B56" s="2" t="n">
        <v>45898</v>
      </c>
      <c r="C56" s="1" t="inlineStr">
        <is>
          <t>Tamarack Electronics</t>
        </is>
      </c>
      <c r="D56" s="1" t="inlineStr">
        <is>
          <t>TCE-MSA-2025-71</t>
        </is>
      </c>
      <c r="E56" s="1" t="inlineStr">
        <is>
          <t>Warehouse management system connector</t>
        </is>
      </c>
      <c r="F56" s="1" t="n">
        <v>1</v>
      </c>
      <c r="G56" s="1" t="n">
        <v>37500</v>
      </c>
      <c r="H56" s="1">
        <f>F56*G56</f>
        <v/>
      </c>
      <c r="I56" s="1" t="n">
        <v>0.06</v>
      </c>
      <c r="J56" s="1">
        <f>ROUND(H56*I56,2)</f>
        <v/>
      </c>
      <c r="K56" s="1" t="inlineStr">
        <is>
          <t>2025-09</t>
        </is>
      </c>
      <c r="L56" s="1" t="n">
        <v>5250</v>
      </c>
      <c r="M56" s="1" t="inlineStr">
        <is>
          <t>4030</t>
        </is>
      </c>
      <c r="N56" s="1" t="inlineStr">
        <is>
          <t>Disputed</t>
        </is>
      </c>
      <c r="O56" s="1" t="inlineStr">
        <is>
          <t>PO-TCE-5492</t>
        </is>
      </c>
    </row>
    <row r="57">
      <c r="A57" s="1" t="inlineStr">
        <is>
          <t>INV-2025-30056</t>
        </is>
      </c>
      <c r="B57" s="2" t="n">
        <v>45930</v>
      </c>
      <c r="C57" s="1" t="inlineStr">
        <is>
          <t>Elmsworth Publishing</t>
        </is>
      </c>
      <c r="D57" s="1" t="inlineStr">
        <is>
          <t>EWP-MSA-2023-54</t>
        </is>
      </c>
      <c r="E57" s="1" t="inlineStr">
        <is>
          <t>Autonomous mobile robot, 220 kg payload</t>
        </is>
      </c>
      <c r="F57" s="1" t="n">
        <v>14</v>
      </c>
      <c r="G57" s="1" t="n">
        <v>40100</v>
      </c>
      <c r="H57" s="1">
        <f>F57*G57</f>
        <v/>
      </c>
      <c r="I57" s="1" t="n">
        <v>0.09</v>
      </c>
      <c r="J57" s="1">
        <f>ROUND(H57*I57,2)</f>
        <v/>
      </c>
      <c r="K57" s="1" t="inlineStr">
        <is>
          <t>2025-10</t>
        </is>
      </c>
      <c r="L57" s="1" t="n">
        <v>0</v>
      </c>
      <c r="M57" s="1" t="inlineStr">
        <is>
          <t>4010</t>
        </is>
      </c>
      <c r="N57" s="1" t="inlineStr">
        <is>
          <t>Written off</t>
        </is>
      </c>
      <c r="O57" s="1" t="inlineStr">
        <is>
          <t>PO-EWP-6628</t>
        </is>
      </c>
    </row>
    <row r="58">
      <c r="A58" s="1" t="inlineStr">
        <is>
          <t>INV-2025-30057</t>
        </is>
      </c>
      <c r="B58" s="2" t="n">
        <v>45868</v>
      </c>
      <c r="C58" s="1" t="inlineStr">
        <is>
          <t>Blue Mesa Components</t>
        </is>
      </c>
      <c r="D58" s="1" t="inlineStr">
        <is>
          <t>BMC-MSA-2022-52</t>
        </is>
      </c>
      <c r="E58" s="1" t="inlineStr">
        <is>
          <t>Telemetry retention tier, extended</t>
        </is>
      </c>
      <c r="F58" s="1" t="n">
        <v>3</v>
      </c>
      <c r="G58" s="1" t="n">
        <v>24250</v>
      </c>
      <c r="H58" s="1">
        <f>F58*G58</f>
        <v/>
      </c>
      <c r="I58" s="1" t="n">
        <v>0.0825</v>
      </c>
      <c r="J58" s="1">
        <f>ROUND(H58*I58,2)</f>
        <v/>
      </c>
      <c r="K58" s="1" t="inlineStr">
        <is>
          <t>2025-08</t>
        </is>
      </c>
      <c r="L58" s="1" t="n">
        <v>41467.5</v>
      </c>
      <c r="M58" s="1" t="inlineStr">
        <is>
          <t>4020</t>
        </is>
      </c>
      <c r="N58" s="1" t="inlineStr">
        <is>
          <t>Written off</t>
        </is>
      </c>
      <c r="O58" s="1" t="inlineStr">
        <is>
          <t>PO-BMC-9650</t>
        </is>
      </c>
    </row>
    <row r="59">
      <c r="A59" s="1" t="inlineStr">
        <is>
          <t>INV-2025-30058</t>
        </is>
      </c>
      <c r="B59" s="2" t="n">
        <v>45898</v>
      </c>
      <c r="C59" s="1" t="inlineStr">
        <is>
          <t>Elmsworth Publishing</t>
        </is>
      </c>
      <c r="D59" s="1" t="inlineStr">
        <is>
          <t>EWP-MSA-2023-52</t>
        </is>
      </c>
      <c r="E59" s="1" t="inlineStr">
        <is>
          <t>Deployment and commissioning services</t>
        </is>
      </c>
      <c r="F59" s="1" t="n">
        <v>31</v>
      </c>
      <c r="G59" s="1" t="n">
        <v>1147</v>
      </c>
      <c r="H59" s="1">
        <f>F59*G59</f>
        <v/>
      </c>
      <c r="I59" s="1" t="n">
        <v>0.07000000000000001</v>
      </c>
      <c r="J59" s="1">
        <f>ROUND(H59*I59,2)</f>
        <v/>
      </c>
      <c r="K59" s="1" t="inlineStr">
        <is>
          <t>2025-09</t>
        </is>
      </c>
      <c r="L59" s="1" t="n">
        <v>4266.84</v>
      </c>
      <c r="M59" s="1" t="inlineStr">
        <is>
          <t>4030</t>
        </is>
      </c>
      <c r="N59" s="1" t="inlineStr">
        <is>
          <t>Paid</t>
        </is>
      </c>
      <c r="O59" s="1" t="inlineStr">
        <is>
          <t>PO-EWP-1939</t>
        </is>
      </c>
    </row>
    <row r="60">
      <c r="A60" s="1" t="inlineStr">
        <is>
          <t>INV-2025-30059</t>
        </is>
      </c>
      <c r="B60" s="2" t="n">
        <v>45905</v>
      </c>
      <c r="C60" s="1" t="inlineStr">
        <is>
          <t>Northfield Beverage</t>
        </is>
      </c>
      <c r="D60" s="1" t="inlineStr">
        <is>
          <t>NFB-MSA-2024-25</t>
        </is>
      </c>
      <c r="E60" s="1" t="inlineStr">
        <is>
          <t>Premium support and spares pool</t>
        </is>
      </c>
      <c r="F60" s="1" t="n">
        <v>2</v>
      </c>
      <c r="G60" s="1" t="n">
        <v>57300</v>
      </c>
      <c r="H60" s="1">
        <f>F60*G60</f>
        <v/>
      </c>
      <c r="I60" s="1" t="n">
        <v>0.09</v>
      </c>
      <c r="J60" s="1">
        <f>ROUND(H60*I60,2)</f>
        <v/>
      </c>
      <c r="K60" s="1" t="inlineStr">
        <is>
          <t>2025-10</t>
        </is>
      </c>
      <c r="L60" s="1" t="n">
        <v>96264</v>
      </c>
      <c r="M60" s="1" t="inlineStr">
        <is>
          <t>4020</t>
        </is>
      </c>
      <c r="N60" s="1" t="inlineStr">
        <is>
          <t>Paid</t>
        </is>
      </c>
      <c r="O60" s="1" t="inlineStr">
        <is>
          <t>PO-NFB-2330</t>
        </is>
      </c>
    </row>
    <row r="61">
      <c r="A61" s="1" t="inlineStr">
        <is>
          <t>INV-2025-30060</t>
        </is>
      </c>
      <c r="B61" s="2" t="n">
        <v>45839</v>
      </c>
      <c r="C61" s="1" t="inlineStr">
        <is>
          <t>Juniper Health Supply</t>
        </is>
      </c>
      <c r="D61" s="1" t="inlineStr">
        <is>
          <t>JHS-MSA-2024-81</t>
        </is>
      </c>
      <c r="E61" s="1" t="inlineStr">
        <is>
          <t>Remote operations desk coverage</t>
        </is>
      </c>
      <c r="F61" s="1" t="n">
        <v>3</v>
      </c>
      <c r="G61" s="1" t="n">
        <v>12350</v>
      </c>
      <c r="H61" s="1">
        <f>F61*G61</f>
        <v/>
      </c>
      <c r="I61" s="1" t="n">
        <v>0.07000000000000001</v>
      </c>
      <c r="J61" s="1">
        <f>ROUND(H61*I61,2)</f>
        <v/>
      </c>
      <c r="K61" s="1" t="inlineStr">
        <is>
          <t>2025-08</t>
        </is>
      </c>
      <c r="L61" s="1" t="n">
        <v>22600.5</v>
      </c>
      <c r="M61" s="1" t="inlineStr">
        <is>
          <t>4020</t>
        </is>
      </c>
      <c r="N61" s="1" t="inlineStr">
        <is>
          <t>Paid</t>
        </is>
      </c>
      <c r="O61" s="1" t="inlineStr">
        <is>
          <t>PO-JHS-3671</t>
        </is>
      </c>
    </row>
    <row r="62">
      <c r="A62" s="1" t="inlineStr">
        <is>
          <t>INV-2025-30061</t>
        </is>
      </c>
      <c r="B62" s="2" t="n">
        <v>45898</v>
      </c>
      <c r="C62" s="1" t="inlineStr">
        <is>
          <t>Dorsey Grain Cooperative</t>
        </is>
      </c>
      <c r="D62" s="1" t="inlineStr">
        <is>
          <t>DGC-MSA-2022-66</t>
        </is>
      </c>
      <c r="E62" s="1" t="inlineStr">
        <is>
          <t>Fleet orchestration expansion pack, per robot</t>
        </is>
      </c>
      <c r="F62" s="1" t="n">
        <v>137</v>
      </c>
      <c r="G62" s="1" t="n">
        <v>1953</v>
      </c>
      <c r="H62" s="1">
        <f>F62*G62</f>
        <v/>
      </c>
      <c r="I62" s="1" t="n">
        <v>0.0825</v>
      </c>
      <c r="J62" s="1">
        <f>ROUND(H62*I62,2)</f>
        <v/>
      </c>
      <c r="K62" s="1" t="inlineStr">
        <is>
          <t>2025-09</t>
        </is>
      </c>
      <c r="L62" s="1" t="n">
        <v>214048.8</v>
      </c>
      <c r="M62" s="1" t="inlineStr">
        <is>
          <t>4020</t>
        </is>
      </c>
      <c r="N62" s="1" t="inlineStr">
        <is>
          <t>Paid</t>
        </is>
      </c>
      <c r="O62" s="1" t="inlineStr">
        <is>
          <t>PO-DGC-4562</t>
        </is>
      </c>
    </row>
    <row r="63">
      <c r="A63" s="1" t="inlineStr">
        <is>
          <t>INV-2025-30062</t>
        </is>
      </c>
      <c r="B63" s="2" t="n">
        <v>45915</v>
      </c>
      <c r="C63" s="1" t="inlineStr">
        <is>
          <t>Asterion Logistics</t>
        </is>
      </c>
      <c r="D63" s="1" t="inlineStr">
        <is>
          <t>AST-MSA-2023-40</t>
        </is>
      </c>
      <c r="E63" s="1" t="inlineStr">
        <is>
          <t>Operator training programme</t>
        </is>
      </c>
      <c r="F63" s="1" t="n">
        <v>4</v>
      </c>
      <c r="G63" s="1" t="n">
        <v>3700</v>
      </c>
      <c r="H63" s="1">
        <f>F63*G63</f>
        <v/>
      </c>
      <c r="I63" s="1" t="n">
        <v>0.09</v>
      </c>
      <c r="J63" s="1">
        <f>ROUND(H63*I63,2)</f>
        <v/>
      </c>
      <c r="K63" s="1" t="inlineStr">
        <is>
          <t>2025-10</t>
        </is>
      </c>
      <c r="L63" s="1" t="n">
        <v>0</v>
      </c>
      <c r="M63" s="1" t="inlineStr">
        <is>
          <t>4030</t>
        </is>
      </c>
      <c r="N63" s="1" t="inlineStr">
        <is>
          <t>Credit issued</t>
        </is>
      </c>
      <c r="O63" s="1" t="inlineStr">
        <is>
          <t>PO-AST-5501</t>
        </is>
      </c>
    </row>
    <row r="64">
      <c r="A64" s="1" t="inlineStr">
        <is>
          <t>INV-2025-30063</t>
        </is>
      </c>
      <c r="B64" s="2" t="n">
        <v>45867</v>
      </c>
      <c r="C64" s="1" t="inlineStr">
        <is>
          <t>Bellweather Auto Group</t>
        </is>
      </c>
      <c r="D64" s="1" t="inlineStr">
        <is>
          <t>BWA-MSA-2025-18</t>
        </is>
      </c>
      <c r="E64" s="1" t="inlineStr">
        <is>
          <t>Remote operations desk coverage</t>
        </is>
      </c>
      <c r="F64" s="1" t="n">
        <v>3</v>
      </c>
      <c r="G64" s="1" t="n">
        <v>12100</v>
      </c>
      <c r="H64" s="1">
        <f>F64*G64</f>
        <v/>
      </c>
      <c r="I64" s="1" t="n">
        <v>0.065</v>
      </c>
      <c r="J64" s="1">
        <f>ROUND(H64*I64,2)</f>
        <v/>
      </c>
      <c r="K64" s="1" t="inlineStr">
        <is>
          <t>2025-08</t>
        </is>
      </c>
      <c r="L64" s="1" t="n">
        <v>24684</v>
      </c>
      <c r="M64" s="1" t="inlineStr">
        <is>
          <t>4020</t>
        </is>
      </c>
      <c r="N64" s="1" t="inlineStr">
        <is>
          <t>Paid</t>
        </is>
      </c>
      <c r="O64" s="1" t="inlineStr">
        <is>
          <t>PO-BWA-9797</t>
        </is>
      </c>
    </row>
    <row r="65">
      <c r="A65" s="1" t="inlineStr">
        <is>
          <t>INV-2025-30064</t>
        </is>
      </c>
      <c r="B65" s="2" t="n">
        <v>45898</v>
      </c>
      <c r="C65" s="1" t="inlineStr">
        <is>
          <t>Granite Peak Distribution</t>
        </is>
      </c>
      <c r="D65" s="1" t="inlineStr">
        <is>
          <t>GPD-MSA-2022-42</t>
        </is>
      </c>
      <c r="E65" s="1" t="inlineStr">
        <is>
          <t>Autonomous mobile robot, 450 kg payload</t>
        </is>
      </c>
      <c r="F65" s="1" t="n">
        <v>10</v>
      </c>
      <c r="G65" s="1" t="n">
        <v>67500</v>
      </c>
      <c r="H65" s="1">
        <f>F65*G65</f>
        <v/>
      </c>
      <c r="I65" s="1" t="n">
        <v>0.06</v>
      </c>
      <c r="J65" s="1">
        <f>ROUND(H65*I65,2)</f>
        <v/>
      </c>
      <c r="K65" s="1" t="inlineStr">
        <is>
          <t>2025-09</t>
        </is>
      </c>
      <c r="L65" s="1" t="n">
        <v>0</v>
      </c>
      <c r="M65" s="1" t="inlineStr">
        <is>
          <t>4010</t>
        </is>
      </c>
      <c r="N65" s="1" t="inlineStr">
        <is>
          <t>Paid</t>
        </is>
      </c>
      <c r="O65" s="1" t="inlineStr">
        <is>
          <t>PO-GPD-9619</t>
        </is>
      </c>
    </row>
    <row r="66">
      <c r="A66" s="1" t="inlineStr">
        <is>
          <t>INV-2025-30065</t>
        </is>
      </c>
      <c r="B66" s="2" t="n">
        <v>45929</v>
      </c>
      <c r="C66" s="1" t="inlineStr">
        <is>
          <t>Harborline Systems</t>
        </is>
      </c>
      <c r="D66" s="1" t="inlineStr">
        <is>
          <t>HLS-MSA-2025-47</t>
        </is>
      </c>
      <c r="E66" s="1" t="inlineStr">
        <is>
          <t>Deployment and commissioning services</t>
        </is>
      </c>
      <c r="F66" s="1" t="n">
        <v>22</v>
      </c>
      <c r="G66" s="1" t="n">
        <v>1147</v>
      </c>
      <c r="H66" s="1">
        <f>F66*G66</f>
        <v/>
      </c>
      <c r="I66" s="1" t="n">
        <v>0.09</v>
      </c>
      <c r="J66" s="1">
        <f>ROUND(H66*I66,2)</f>
        <v/>
      </c>
      <c r="K66" s="1" t="inlineStr">
        <is>
          <t>2025-10</t>
        </is>
      </c>
      <c r="L66" s="1" t="n">
        <v>5299.14</v>
      </c>
      <c r="M66" s="1" t="inlineStr">
        <is>
          <t>4030</t>
        </is>
      </c>
      <c r="N66" s="1" t="inlineStr">
        <is>
          <t>Paid</t>
        </is>
      </c>
      <c r="O66" s="1" t="inlineStr">
        <is>
          <t>PO-HLS-6660</t>
        </is>
      </c>
    </row>
    <row r="67">
      <c r="A67" s="1" t="inlineStr">
        <is>
          <t>INV-2025-30066</t>
        </is>
      </c>
      <c r="B67" s="2" t="n">
        <v>45869</v>
      </c>
      <c r="C67" s="1" t="inlineStr">
        <is>
          <t>Harborline Systems</t>
        </is>
      </c>
      <c r="D67" s="1" t="inlineStr">
        <is>
          <t>HLS-MSA-2023-86</t>
        </is>
      </c>
      <c r="E67" s="1" t="inlineStr">
        <is>
          <t>Telemetry retention tier, extended</t>
        </is>
      </c>
      <c r="F67" s="1" t="n">
        <v>3</v>
      </c>
      <c r="G67" s="1" t="n">
        <v>22300</v>
      </c>
      <c r="H67" s="1">
        <f>F67*G67</f>
        <v/>
      </c>
      <c r="I67" s="1" t="n">
        <v>0.065</v>
      </c>
      <c r="J67" s="1">
        <f>ROUND(H67*I67,2)</f>
        <v/>
      </c>
      <c r="K67" s="1" t="inlineStr">
        <is>
          <t>2025-08</t>
        </is>
      </c>
      <c r="L67" s="1" t="n">
        <v>38802</v>
      </c>
      <c r="M67" s="1" t="inlineStr">
        <is>
          <t>4020</t>
        </is>
      </c>
      <c r="N67" s="1" t="inlineStr">
        <is>
          <t>Written off</t>
        </is>
      </c>
      <c r="O67" s="1" t="inlineStr">
        <is>
          <t>PO-HLS-1622</t>
        </is>
      </c>
    </row>
    <row r="68">
      <c r="A68" s="1" t="inlineStr">
        <is>
          <t>INV-2025-30067</t>
        </is>
      </c>
      <c r="B68" s="2" t="n">
        <v>45898</v>
      </c>
      <c r="C68" s="1" t="inlineStr">
        <is>
          <t>Blue Mesa Components</t>
        </is>
      </c>
      <c r="D68" s="1" t="inlineStr">
        <is>
          <t>BMC-MSA-2022-89</t>
        </is>
      </c>
      <c r="E68" s="1" t="inlineStr">
        <is>
          <t>Safety scanner retrofit kit</t>
        </is>
      </c>
      <c r="F68" s="1" t="n">
        <v>4</v>
      </c>
      <c r="G68" s="1" t="n">
        <v>5050</v>
      </c>
      <c r="H68" s="1">
        <f>F68*G68</f>
        <v/>
      </c>
      <c r="I68" s="1" t="n">
        <v>0.065</v>
      </c>
      <c r="J68" s="1">
        <f>ROUND(H68*I68,2)</f>
        <v/>
      </c>
      <c r="K68" s="1" t="inlineStr">
        <is>
          <t>2025-09</t>
        </is>
      </c>
      <c r="L68" s="1" t="n">
        <v>0</v>
      </c>
      <c r="M68" s="1" t="inlineStr">
        <is>
          <t>4010</t>
        </is>
      </c>
      <c r="N68" s="1" t="inlineStr">
        <is>
          <t>Paid</t>
        </is>
      </c>
      <c r="O68" s="1" t="inlineStr">
        <is>
          <t>PO-BMC-5096</t>
        </is>
      </c>
    </row>
    <row r="69">
      <c r="A69" s="1" t="inlineStr">
        <is>
          <t>INV-2025-30068</t>
        </is>
      </c>
      <c r="B69" s="2" t="n">
        <v>45930</v>
      </c>
      <c r="C69" s="1" t="inlineStr">
        <is>
          <t>Dunbar Industrial</t>
        </is>
      </c>
      <c r="D69" s="1" t="inlineStr">
        <is>
          <t>DBI-MSA-2024-23</t>
        </is>
      </c>
      <c r="E69" s="1" t="inlineStr">
        <is>
          <t>Fleet orchestration expansion pack, per robot</t>
        </is>
      </c>
      <c r="F69" s="1" t="n">
        <v>80</v>
      </c>
      <c r="G69" s="1" t="n">
        <v>2250</v>
      </c>
      <c r="H69" s="1">
        <f>F69*G69</f>
        <v/>
      </c>
      <c r="I69" s="1" t="n">
        <v>0.07000000000000001</v>
      </c>
      <c r="J69" s="1">
        <f>ROUND(H69*I69,2)</f>
        <v/>
      </c>
      <c r="K69" s="1" t="inlineStr">
        <is>
          <t>2025-10</t>
        </is>
      </c>
      <c r="L69" s="1" t="n">
        <v>106200</v>
      </c>
      <c r="M69" s="1" t="inlineStr">
        <is>
          <t>4020</t>
        </is>
      </c>
      <c r="N69" s="1" t="inlineStr">
        <is>
          <t>Partially paid</t>
        </is>
      </c>
      <c r="O69" s="1" t="inlineStr">
        <is>
          <t>PO-DBI-4631</t>
        </is>
      </c>
    </row>
    <row r="70">
      <c r="A70" s="1" t="inlineStr">
        <is>
          <t>INV-2025-30069</t>
        </is>
      </c>
      <c r="B70" s="2" t="n">
        <v>45868</v>
      </c>
      <c r="C70" s="1" t="inlineStr">
        <is>
          <t>Granite Peak Distribution</t>
        </is>
      </c>
      <c r="D70" s="1" t="inlineStr">
        <is>
          <t>GPD-MSA-2023-75</t>
        </is>
      </c>
      <c r="E70" s="1" t="inlineStr">
        <is>
          <t>Deployment and commissioning services</t>
        </is>
      </c>
      <c r="F70" s="1" t="n">
        <v>27</v>
      </c>
      <c r="G70" s="1" t="n">
        <v>1350</v>
      </c>
      <c r="H70" s="1">
        <f>F70*G70</f>
        <v/>
      </c>
      <c r="I70" s="1" t="n">
        <v>0.0475</v>
      </c>
      <c r="J70" s="1">
        <f>ROUND(H70*I70,2)</f>
        <v/>
      </c>
      <c r="K70" s="1" t="inlineStr">
        <is>
          <t>2025-08</t>
        </is>
      </c>
      <c r="L70" s="1" t="n">
        <v>729</v>
      </c>
      <c r="M70" s="1" t="inlineStr">
        <is>
          <t>4030</t>
        </is>
      </c>
      <c r="N70" s="1" t="inlineStr">
        <is>
          <t>Open</t>
        </is>
      </c>
      <c r="O70" s="1" t="inlineStr">
        <is>
          <t>PO-GPD-5683</t>
        </is>
      </c>
    </row>
    <row r="71">
      <c r="A71" s="1" t="inlineStr">
        <is>
          <t>INV-2025-30070</t>
        </is>
      </c>
      <c r="B71" s="2" t="n">
        <v>45884</v>
      </c>
      <c r="C71" s="1" t="inlineStr">
        <is>
          <t>Yarrow Home Goods</t>
        </is>
      </c>
      <c r="D71" s="1" t="inlineStr">
        <is>
          <t>YHG-MSA-2022-58</t>
        </is>
      </c>
      <c r="E71" s="1" t="inlineStr">
        <is>
          <t>Deployment and commissioning services</t>
        </is>
      </c>
      <c r="F71" s="1" t="n">
        <v>43</v>
      </c>
      <c r="G71" s="1" t="n">
        <v>1147</v>
      </c>
      <c r="H71" s="1">
        <f>F71*G71</f>
        <v/>
      </c>
      <c r="I71" s="1" t="n">
        <v>0.06</v>
      </c>
      <c r="J71" s="1">
        <f>ROUND(H71*I71,2)</f>
        <v/>
      </c>
      <c r="K71" s="1" t="inlineStr">
        <is>
          <t>2025-09</t>
        </is>
      </c>
      <c r="L71" s="1" t="n">
        <v>11343.83</v>
      </c>
      <c r="M71" s="1" t="inlineStr">
        <is>
          <t>4030</t>
        </is>
      </c>
      <c r="N71" s="1" t="inlineStr">
        <is>
          <t>Written off</t>
        </is>
      </c>
      <c r="O71" s="1" t="inlineStr">
        <is>
          <t>PO-YHG-3568</t>
        </is>
      </c>
    </row>
    <row r="72">
      <c r="A72" s="1" t="inlineStr">
        <is>
          <t>INV-2025-30071</t>
        </is>
      </c>
      <c r="B72" s="2" t="n">
        <v>45926</v>
      </c>
      <c r="C72" s="1" t="inlineStr">
        <is>
          <t>Dorsey Grain Cooperative</t>
        </is>
      </c>
      <c r="D72" s="1" t="inlineStr">
        <is>
          <t>DGC-MSA-2025-29</t>
        </is>
      </c>
      <c r="E72" s="1" t="inlineStr">
        <is>
          <t>Remote operations desk coverage</t>
        </is>
      </c>
      <c r="F72" s="1" t="n">
        <v>2</v>
      </c>
      <c r="G72" s="1" t="n">
        <v>12100</v>
      </c>
      <c r="H72" s="1">
        <f>F72*G72</f>
        <v/>
      </c>
      <c r="I72" s="1" t="n">
        <v>0.0475</v>
      </c>
      <c r="J72" s="1">
        <f>ROUND(H72*I72,2)</f>
        <v/>
      </c>
      <c r="K72" s="1" t="inlineStr">
        <is>
          <t>2025-10</t>
        </is>
      </c>
      <c r="L72" s="1" t="n">
        <v>15246</v>
      </c>
      <c r="M72" s="1" t="inlineStr">
        <is>
          <t>4020</t>
        </is>
      </c>
      <c r="N72" s="1" t="inlineStr">
        <is>
          <t>Paid</t>
        </is>
      </c>
      <c r="O72" s="1" t="inlineStr">
        <is>
          <t>PO-DGC-2441</t>
        </is>
      </c>
    </row>
    <row r="73">
      <c r="A73" s="1" t="inlineStr">
        <is>
          <t>INV-2025-30072</t>
        </is>
      </c>
      <c r="B73" s="2" t="n">
        <v>45849</v>
      </c>
      <c r="C73" s="1" t="inlineStr">
        <is>
          <t>Northfield Beverage</t>
        </is>
      </c>
      <c r="D73" s="1" t="inlineStr">
        <is>
          <t>NFB-MSA-2025-53</t>
        </is>
      </c>
      <c r="E73" s="1" t="inlineStr">
        <is>
          <t>Telemetry retention tier, extended</t>
        </is>
      </c>
      <c r="F73" s="1" t="n">
        <v>1</v>
      </c>
      <c r="G73" s="1" t="n">
        <v>24500</v>
      </c>
      <c r="H73" s="1">
        <f>F73*G73</f>
        <v/>
      </c>
      <c r="I73" s="1" t="n">
        <v>0</v>
      </c>
      <c r="J73" s="1">
        <f>ROUND(H73*I73,2)</f>
        <v/>
      </c>
      <c r="K73" s="1" t="inlineStr">
        <is>
          <t>2025-08</t>
        </is>
      </c>
      <c r="L73" s="1" t="n">
        <v>19355</v>
      </c>
      <c r="M73" s="1" t="inlineStr">
        <is>
          <t>4020</t>
        </is>
      </c>
      <c r="N73" s="1" t="inlineStr">
        <is>
          <t>Paid</t>
        </is>
      </c>
      <c r="O73" s="1" t="inlineStr">
        <is>
          <t>PO-NFB-9126</t>
        </is>
      </c>
    </row>
    <row r="74">
      <c r="A74" s="1" t="inlineStr">
        <is>
          <t>INV-2025-30073</t>
        </is>
      </c>
      <c r="B74" s="2" t="n">
        <v>45898</v>
      </c>
      <c r="C74" s="1" t="inlineStr">
        <is>
          <t>Summit Ridge Retail</t>
        </is>
      </c>
      <c r="D74" s="1" t="inlineStr">
        <is>
          <t>SRR-MSA-2024-13</t>
        </is>
      </c>
      <c r="E74" s="1" t="inlineStr">
        <is>
          <t>Deployment and commissioning services</t>
        </is>
      </c>
      <c r="F74" s="1" t="n">
        <v>35</v>
      </c>
      <c r="G74" s="1" t="n">
        <v>1147</v>
      </c>
      <c r="H74" s="1">
        <f>F74*G74</f>
        <v/>
      </c>
      <c r="I74" s="1" t="n">
        <v>0.0825</v>
      </c>
      <c r="J74" s="1">
        <f>ROUND(H74*I74,2)</f>
        <v/>
      </c>
      <c r="K74" s="1" t="inlineStr">
        <is>
          <t>2025-09</t>
        </is>
      </c>
      <c r="L74" s="1" t="n">
        <v>8029</v>
      </c>
      <c r="M74" s="1" t="inlineStr">
        <is>
          <t>4030</t>
        </is>
      </c>
      <c r="N74" s="1" t="inlineStr">
        <is>
          <t>Written off</t>
        </is>
      </c>
      <c r="O74" s="1" t="inlineStr">
        <is>
          <t>PO-SRR-4721</t>
        </is>
      </c>
    </row>
    <row r="75">
      <c r="A75" s="1" t="inlineStr">
        <is>
          <t>INV-2025-30074</t>
        </is>
      </c>
      <c r="B75" s="2" t="n">
        <v>45930</v>
      </c>
      <c r="C75" s="1" t="inlineStr">
        <is>
          <t>Elmsworth Publishing</t>
        </is>
      </c>
      <c r="D75" s="1" t="inlineStr">
        <is>
          <t>EWP-MSA-2024-23</t>
        </is>
      </c>
      <c r="E75" s="1" t="inlineStr">
        <is>
          <t>Telemetry retention tier, extended</t>
        </is>
      </c>
      <c r="F75" s="1" t="n">
        <v>3</v>
      </c>
      <c r="G75" s="1" t="n">
        <v>24500</v>
      </c>
      <c r="H75" s="1">
        <f>F75*G75</f>
        <v/>
      </c>
      <c r="I75" s="1" t="n">
        <v>0.06</v>
      </c>
      <c r="J75" s="1">
        <f>ROUND(H75*I75,2)</f>
        <v/>
      </c>
      <c r="K75" s="1" t="inlineStr">
        <is>
          <t>2025-10</t>
        </is>
      </c>
      <c r="L75" s="1" t="n">
        <v>57330</v>
      </c>
      <c r="M75" s="1" t="inlineStr">
        <is>
          <t>4020</t>
        </is>
      </c>
      <c r="N75" s="1" t="inlineStr">
        <is>
          <t>Partially paid</t>
        </is>
      </c>
      <c r="O75" s="1" t="inlineStr">
        <is>
          <t>PO-EWP-4726</t>
        </is>
      </c>
    </row>
    <row r="76">
      <c r="A76" s="1" t="inlineStr">
        <is>
          <t>INV-2025-30075</t>
        </is>
      </c>
      <c r="B76" s="2" t="n">
        <v>45867</v>
      </c>
      <c r="C76" s="1" t="inlineStr">
        <is>
          <t>Juniper Health Supply</t>
        </is>
      </c>
      <c r="D76" s="1" t="inlineStr">
        <is>
          <t>JHS-MSA-2022-65</t>
        </is>
      </c>
      <c r="E76" s="1" t="inlineStr">
        <is>
          <t>Deployment and commissioning services</t>
        </is>
      </c>
      <c r="F76" s="1" t="n">
        <v>20</v>
      </c>
      <c r="G76" s="1" t="n">
        <v>1147</v>
      </c>
      <c r="H76" s="1">
        <f>F76*G76</f>
        <v/>
      </c>
      <c r="I76" s="1" t="n">
        <v>0.0825</v>
      </c>
      <c r="J76" s="1">
        <f>ROUND(H76*I76,2)</f>
        <v/>
      </c>
      <c r="K76" s="1" t="inlineStr">
        <is>
          <t>2025-08</t>
        </is>
      </c>
      <c r="L76" s="1" t="n">
        <v>2523.4</v>
      </c>
      <c r="M76" s="1" t="inlineStr">
        <is>
          <t>4030</t>
        </is>
      </c>
      <c r="N76" s="1" t="inlineStr">
        <is>
          <t>Paid</t>
        </is>
      </c>
      <c r="O76" s="1" t="inlineStr">
        <is>
          <t>PO-JHS-6617</t>
        </is>
      </c>
    </row>
    <row r="77">
      <c r="A77" s="1" t="inlineStr">
        <is>
          <t>INV-2025-30076</t>
        </is>
      </c>
      <c r="B77" s="2" t="n">
        <v>45898</v>
      </c>
      <c r="C77" s="1" t="inlineStr">
        <is>
          <t>Evergreen Warehousing</t>
        </is>
      </c>
      <c r="D77" s="1" t="inlineStr">
        <is>
          <t>EVW-MSA-2022-21</t>
        </is>
      </c>
      <c r="E77" s="1" t="inlineStr">
        <is>
          <t>Deployment and commissioning services</t>
        </is>
      </c>
      <c r="F77" s="1" t="n">
        <v>21</v>
      </c>
      <c r="G77" s="1" t="n">
        <v>1350</v>
      </c>
      <c r="H77" s="1">
        <f>F77*G77</f>
        <v/>
      </c>
      <c r="I77" s="1" t="n">
        <v>0.09</v>
      </c>
      <c r="J77" s="1">
        <f>ROUND(H77*I77,2)</f>
        <v/>
      </c>
      <c r="K77" s="1" t="inlineStr">
        <is>
          <t>2025-09</t>
        </is>
      </c>
      <c r="L77" s="1" t="n">
        <v>1701</v>
      </c>
      <c r="M77" s="1" t="inlineStr">
        <is>
          <t>4030</t>
        </is>
      </c>
      <c r="N77" s="1" t="inlineStr">
        <is>
          <t>Paid</t>
        </is>
      </c>
      <c r="O77" s="1" t="inlineStr">
        <is>
          <t>PO-EVW-7587</t>
        </is>
      </c>
    </row>
    <row r="78">
      <c r="A78" s="1" t="inlineStr">
        <is>
          <t>INV-2025-30077</t>
        </is>
      </c>
      <c r="B78" s="2" t="n">
        <v>45919</v>
      </c>
      <c r="C78" s="1" t="inlineStr">
        <is>
          <t>Vantage Robotics Supply</t>
        </is>
      </c>
      <c r="D78" s="1" t="inlineStr">
        <is>
          <t>VRS-MSA-2024-32</t>
        </is>
      </c>
      <c r="E78" s="1" t="inlineStr">
        <is>
          <t>Autonomous mobile robot, 450 kg payload</t>
        </is>
      </c>
      <c r="F78" s="1" t="n">
        <v>5</v>
      </c>
      <c r="G78" s="1" t="n">
        <v>67900</v>
      </c>
      <c r="H78" s="1">
        <f>F78*G78</f>
        <v/>
      </c>
      <c r="I78" s="1" t="n">
        <v>0.0475</v>
      </c>
      <c r="J78" s="1">
        <f>ROUND(H78*I78,2)</f>
        <v/>
      </c>
      <c r="K78" s="1" t="inlineStr">
        <is>
          <t>2025-10</t>
        </is>
      </c>
      <c r="L78" s="1" t="n">
        <v>0</v>
      </c>
      <c r="M78" s="1" t="inlineStr">
        <is>
          <t>4010</t>
        </is>
      </c>
      <c r="N78" s="1" t="inlineStr">
        <is>
          <t>Paid</t>
        </is>
      </c>
      <c r="O78" s="1" t="inlineStr">
        <is>
          <t>PO-VRS-4084</t>
        </is>
      </c>
    </row>
    <row r="79">
      <c r="A79" s="1" t="inlineStr">
        <is>
          <t>INV-2025-30078</t>
        </is>
      </c>
      <c r="B79" s="2" t="n">
        <v>45869</v>
      </c>
      <c r="C79" s="1" t="inlineStr">
        <is>
          <t>Blue Mesa Components</t>
        </is>
      </c>
      <c r="D79" s="1" t="inlineStr">
        <is>
          <t>BMC-MSA-2024-48</t>
        </is>
      </c>
      <c r="E79" s="1" t="inlineStr">
        <is>
          <t>Fleet orchestration expansion pack, per robot</t>
        </is>
      </c>
      <c r="F79" s="1" t="n">
        <v>157</v>
      </c>
      <c r="G79" s="1" t="n">
        <v>2650</v>
      </c>
      <c r="H79" s="1">
        <f>F79*G79</f>
        <v/>
      </c>
      <c r="I79" s="1" t="n">
        <v>0</v>
      </c>
      <c r="J79" s="1">
        <f>ROUND(H79*I79,2)</f>
        <v/>
      </c>
      <c r="K79" s="1" t="inlineStr">
        <is>
          <t>2025-08</t>
        </is>
      </c>
      <c r="L79" s="1" t="n">
        <v>257951</v>
      </c>
      <c r="M79" s="1" t="inlineStr">
        <is>
          <t>4020</t>
        </is>
      </c>
      <c r="N79" s="1" t="inlineStr">
        <is>
          <t>Credit issued</t>
        </is>
      </c>
      <c r="O79" s="1" t="inlineStr">
        <is>
          <t>PO-BMC-3445</t>
        </is>
      </c>
    </row>
    <row r="80">
      <c r="A80" s="1" t="inlineStr">
        <is>
          <t>INV-2025-30079</t>
        </is>
      </c>
      <c r="B80" s="2" t="n">
        <v>45898</v>
      </c>
      <c r="C80" s="1" t="inlineStr">
        <is>
          <t>Harborline Systems</t>
        </is>
      </c>
      <c r="D80" s="1" t="inlineStr">
        <is>
          <t>HLS-MSA-2025-87</t>
        </is>
      </c>
      <c r="E80" s="1" t="inlineStr">
        <is>
          <t>Remote operations desk coverage</t>
        </is>
      </c>
      <c r="F80" s="1" t="n">
        <v>1</v>
      </c>
      <c r="G80" s="1" t="n">
        <v>12600</v>
      </c>
      <c r="H80" s="1">
        <f>F80*G80</f>
        <v/>
      </c>
      <c r="I80" s="1" t="n">
        <v>0.0475</v>
      </c>
      <c r="J80" s="1">
        <f>ROUND(H80*I80,2)</f>
        <v/>
      </c>
      <c r="K80" s="1" t="inlineStr">
        <is>
          <t>2025-09</t>
        </is>
      </c>
      <c r="L80" s="1" t="n">
        <v>7560</v>
      </c>
      <c r="M80" s="1" t="inlineStr">
        <is>
          <t>4020</t>
        </is>
      </c>
      <c r="N80" s="1" t="inlineStr">
        <is>
          <t>Credit issued</t>
        </is>
      </c>
      <c r="O80" s="1" t="inlineStr">
        <is>
          <t>PO-HLS-2881</t>
        </is>
      </c>
    </row>
    <row r="81">
      <c r="A81" s="1" t="inlineStr">
        <is>
          <t>INV-2025-30080</t>
        </is>
      </c>
      <c r="B81" s="2" t="n">
        <v>45929</v>
      </c>
      <c r="C81" s="1" t="inlineStr">
        <is>
          <t>Westlake Chemical Depot</t>
        </is>
      </c>
      <c r="D81" s="1" t="inlineStr">
        <is>
          <t>WCD-MSA-2022-45</t>
        </is>
      </c>
      <c r="E81" s="1" t="inlineStr">
        <is>
          <t>Deployment and commissioning services</t>
        </is>
      </c>
      <c r="F81" s="1" t="n">
        <v>11</v>
      </c>
      <c r="G81" s="1" t="n">
        <v>1850</v>
      </c>
      <c r="H81" s="1">
        <f>F81*G81</f>
        <v/>
      </c>
      <c r="I81" s="1" t="n">
        <v>0.065</v>
      </c>
      <c r="J81" s="1">
        <f>ROUND(H81*I81,2)</f>
        <v/>
      </c>
      <c r="K81" s="1" t="inlineStr">
        <is>
          <t>2025-10</t>
        </is>
      </c>
      <c r="L81" s="1" t="n">
        <v>1628</v>
      </c>
      <c r="M81" s="1" t="inlineStr">
        <is>
          <t>4030</t>
        </is>
      </c>
      <c r="N81" s="1" t="inlineStr">
        <is>
          <t>Written off</t>
        </is>
      </c>
      <c r="O81" s="1" t="inlineStr">
        <is>
          <t>PO-WCD-2462</t>
        </is>
      </c>
    </row>
    <row r="82">
      <c r="A82" s="1" t="inlineStr">
        <is>
          <t>INV-2025-30081</t>
        </is>
      </c>
      <c r="B82" s="2" t="n">
        <v>45868</v>
      </c>
      <c r="C82" s="1" t="inlineStr">
        <is>
          <t>Dorsey Grain Cooperative</t>
        </is>
      </c>
      <c r="D82" s="1" t="inlineStr">
        <is>
          <t>DGC-MSA-2023-46</t>
        </is>
      </c>
      <c r="E82" s="1" t="inlineStr">
        <is>
          <t>Fleet orchestration expansion pack, per robot</t>
        </is>
      </c>
      <c r="F82" s="1" t="n">
        <v>117</v>
      </c>
      <c r="G82" s="1" t="n">
        <v>1953</v>
      </c>
      <c r="H82" s="1">
        <f>F82*G82</f>
        <v/>
      </c>
      <c r="I82" s="1" t="n">
        <v>0.0475</v>
      </c>
      <c r="J82" s="1">
        <f>ROUND(H82*I82,2)</f>
        <v/>
      </c>
      <c r="K82" s="1" t="inlineStr">
        <is>
          <t>2025-08</t>
        </is>
      </c>
      <c r="L82" s="1" t="n">
        <v>180515.79</v>
      </c>
      <c r="M82" s="1" t="inlineStr">
        <is>
          <t>4020</t>
        </is>
      </c>
      <c r="N82" s="1" t="inlineStr">
        <is>
          <t>Paid</t>
        </is>
      </c>
      <c r="O82" s="1" t="inlineStr">
        <is>
          <t>PO-DGC-2132</t>
        </is>
      </c>
    </row>
    <row r="83">
      <c r="A83" s="1" t="inlineStr">
        <is>
          <t>INV-2025-30082</t>
        </is>
      </c>
      <c r="B83" s="2" t="n">
        <v>45870</v>
      </c>
      <c r="C83" s="1" t="inlineStr">
        <is>
          <t>Summit Ridge Retail</t>
        </is>
      </c>
      <c r="D83" s="1" t="inlineStr">
        <is>
          <t>SRR-MSA-2022-41</t>
        </is>
      </c>
      <c r="E83" s="1" t="inlineStr">
        <is>
          <t>Autonomous mobile robot, 450 kg payload</t>
        </is>
      </c>
      <c r="F83" s="1" t="n">
        <v>3</v>
      </c>
      <c r="G83" s="1" t="n">
        <v>68400</v>
      </c>
      <c r="H83" s="1">
        <f>F83*G83</f>
        <v/>
      </c>
      <c r="I83" s="1" t="n">
        <v>0.09</v>
      </c>
      <c r="J83" s="1">
        <f>ROUND(H83*I83,2)</f>
        <v/>
      </c>
      <c r="K83" s="1" t="inlineStr">
        <is>
          <t>2025-09</t>
        </is>
      </c>
      <c r="L83" s="1" t="n">
        <v>0</v>
      </c>
      <c r="M83" s="1" t="inlineStr">
        <is>
          <t>4010</t>
        </is>
      </c>
      <c r="N83" s="1" t="inlineStr">
        <is>
          <t>Paid</t>
        </is>
      </c>
      <c r="O83" s="1" t="inlineStr">
        <is>
          <t>PO-SRR-5029</t>
        </is>
      </c>
    </row>
    <row r="84">
      <c r="A84" s="1" t="inlineStr">
        <is>
          <t>INV-2025-30083</t>
        </is>
      </c>
      <c r="B84" s="2" t="n">
        <v>45930</v>
      </c>
      <c r="C84" s="1" t="inlineStr">
        <is>
          <t>Yarrow Home Goods</t>
        </is>
      </c>
      <c r="D84" s="1" t="inlineStr">
        <is>
          <t>YHG-MSA-2025-44</t>
        </is>
      </c>
      <c r="E84" s="1" t="inlineStr">
        <is>
          <t>Warehouse management system connector</t>
        </is>
      </c>
      <c r="F84" s="1" t="n">
        <v>3</v>
      </c>
      <c r="G84" s="1" t="n">
        <v>38000</v>
      </c>
      <c r="H84" s="1">
        <f>F84*G84</f>
        <v/>
      </c>
      <c r="I84" s="1" t="n">
        <v>0.09</v>
      </c>
      <c r="J84" s="1">
        <f>ROUND(H84*I84,2)</f>
        <v/>
      </c>
      <c r="K84" s="1" t="inlineStr">
        <is>
          <t>2025-10</t>
        </is>
      </c>
      <c r="L84" s="1" t="n">
        <v>14820</v>
      </c>
      <c r="M84" s="1" t="inlineStr">
        <is>
          <t>4030</t>
        </is>
      </c>
      <c r="N84" s="1" t="inlineStr">
        <is>
          <t>Credit issued</t>
        </is>
      </c>
      <c r="O84" s="1" t="inlineStr">
        <is>
          <t>PO-YHG-2499</t>
        </is>
      </c>
    </row>
    <row r="85">
      <c r="A85" s="1" t="inlineStr">
        <is>
          <t>INV-2025-30084</t>
        </is>
      </c>
      <c r="B85" s="2" t="n">
        <v>45868</v>
      </c>
      <c r="C85" s="1" t="inlineStr">
        <is>
          <t>Fathom Mobility</t>
        </is>
      </c>
      <c r="D85" s="1" t="inlineStr">
        <is>
          <t>FTM-MSA-2024-57</t>
        </is>
      </c>
      <c r="E85" s="1" t="inlineStr">
        <is>
          <t>Fleet orchestration expansion pack, per robot</t>
        </is>
      </c>
      <c r="F85" s="1" t="n">
        <v>136</v>
      </c>
      <c r="G85" s="1" t="n">
        <v>1953</v>
      </c>
      <c r="H85" s="1">
        <f>F85*G85</f>
        <v/>
      </c>
      <c r="I85" s="1" t="n">
        <v>0</v>
      </c>
      <c r="J85" s="1">
        <f>ROUND(H85*I85,2)</f>
        <v/>
      </c>
      <c r="K85" s="1" t="inlineStr">
        <is>
          <t>2025-08</t>
        </is>
      </c>
      <c r="L85" s="1" t="n">
        <v>159364.8</v>
      </c>
      <c r="M85" s="1" t="inlineStr">
        <is>
          <t>4020</t>
        </is>
      </c>
      <c r="N85" s="1" t="inlineStr">
        <is>
          <t>Disputed</t>
        </is>
      </c>
      <c r="O85" s="1" t="inlineStr">
        <is>
          <t>PO-FTM-9419</t>
        </is>
      </c>
    </row>
    <row r="86">
      <c r="A86" s="1" t="inlineStr">
        <is>
          <t>INV-2025-30085</t>
        </is>
      </c>
      <c r="B86" s="2" t="n">
        <v>45898</v>
      </c>
      <c r="C86" s="1" t="inlineStr">
        <is>
          <t>Larkspur Apparel</t>
        </is>
      </c>
      <c r="D86" s="1" t="inlineStr">
        <is>
          <t>LKA-MSA-2022-46</t>
        </is>
      </c>
      <c r="E86" s="1" t="inlineStr">
        <is>
          <t>Remote operations desk coverage</t>
        </is>
      </c>
      <c r="F86" s="1" t="n">
        <v>4</v>
      </c>
      <c r="G86" s="1" t="n">
        <v>12350</v>
      </c>
      <c r="H86" s="1">
        <f>F86*G86</f>
        <v/>
      </c>
      <c r="I86" s="1" t="n">
        <v>0.0475</v>
      </c>
      <c r="J86" s="1">
        <f>ROUND(H86*I86,2)</f>
        <v/>
      </c>
      <c r="K86" s="1" t="inlineStr">
        <is>
          <t>2025-09</t>
        </is>
      </c>
      <c r="L86" s="1" t="n">
        <v>40508</v>
      </c>
      <c r="M86" s="1" t="inlineStr">
        <is>
          <t>4020</t>
        </is>
      </c>
      <c r="N86" s="1" t="inlineStr">
        <is>
          <t>Written off</t>
        </is>
      </c>
      <c r="O86" s="1" t="inlineStr">
        <is>
          <t>PO-LKA-5826</t>
        </is>
      </c>
    </row>
    <row r="87">
      <c r="A87" s="1" t="inlineStr">
        <is>
          <t>INV-2025-30086</t>
        </is>
      </c>
      <c r="B87" s="2" t="n">
        <v>45926</v>
      </c>
      <c r="C87" s="1" t="inlineStr">
        <is>
          <t>Meridian Dynamics</t>
        </is>
      </c>
      <c r="D87" s="1" t="inlineStr">
        <is>
          <t>MDY-MSA-2025-23</t>
        </is>
      </c>
      <c r="E87" s="1" t="inlineStr">
        <is>
          <t>Warehouse management system connector</t>
        </is>
      </c>
      <c r="F87" s="1" t="n">
        <v>3</v>
      </c>
      <c r="G87" s="1" t="n">
        <v>36700</v>
      </c>
      <c r="H87" s="1">
        <f>F87*G87</f>
        <v/>
      </c>
      <c r="I87" s="1" t="n">
        <v>0.06</v>
      </c>
      <c r="J87" s="1">
        <f>ROUND(H87*I87,2)</f>
        <v/>
      </c>
      <c r="K87" s="1" t="inlineStr">
        <is>
          <t>2025-10</t>
        </is>
      </c>
      <c r="L87" s="1" t="n">
        <v>26424</v>
      </c>
      <c r="M87" s="1" t="inlineStr">
        <is>
          <t>4030</t>
        </is>
      </c>
      <c r="N87" s="1" t="inlineStr">
        <is>
          <t>Open</t>
        </is>
      </c>
      <c r="O87" s="1" t="inlineStr">
        <is>
          <t>PO-MDY-6519</t>
        </is>
      </c>
    </row>
    <row r="88">
      <c r="A88" s="1" t="inlineStr">
        <is>
          <t>INV-2025-30087</t>
        </is>
      </c>
      <c r="B88" s="2" t="n">
        <v>45869</v>
      </c>
      <c r="C88" s="1" t="inlineStr">
        <is>
          <t>Alderbrook Textiles</t>
        </is>
      </c>
      <c r="D88" s="1" t="inlineStr">
        <is>
          <t>ABT-MSA-2024-86</t>
        </is>
      </c>
      <c r="E88" s="1" t="inlineStr">
        <is>
          <t>Deployment and commissioning services</t>
        </is>
      </c>
      <c r="F88" s="1" t="n">
        <v>29</v>
      </c>
      <c r="G88" s="1" t="n">
        <v>1600</v>
      </c>
      <c r="H88" s="1">
        <f>F88*G88</f>
        <v/>
      </c>
      <c r="I88" s="1" t="n">
        <v>0.06</v>
      </c>
      <c r="J88" s="1">
        <f>ROUND(H88*I88,2)</f>
        <v/>
      </c>
      <c r="K88" s="1" t="inlineStr">
        <is>
          <t>2025-08</t>
        </is>
      </c>
      <c r="L88" s="1" t="n">
        <v>6032</v>
      </c>
      <c r="M88" s="1" t="inlineStr">
        <is>
          <t>4030</t>
        </is>
      </c>
      <c r="N88" s="1" t="inlineStr">
        <is>
          <t>Open</t>
        </is>
      </c>
      <c r="O88" s="1" t="inlineStr">
        <is>
          <t>PO-ABT-3961</t>
        </is>
      </c>
    </row>
    <row r="89">
      <c r="A89" s="1" t="inlineStr">
        <is>
          <t>INV-2025-30088</t>
        </is>
      </c>
      <c r="B89" s="2" t="n">
        <v>45898</v>
      </c>
      <c r="C89" s="1" t="inlineStr">
        <is>
          <t>Bellweather Auto Group</t>
        </is>
      </c>
      <c r="D89" s="1" t="inlineStr">
        <is>
          <t>BWA-MSA-2022-62</t>
        </is>
      </c>
      <c r="E89" s="1" t="inlineStr">
        <is>
          <t>Deployment and commissioning services</t>
        </is>
      </c>
      <c r="F89" s="1" t="n">
        <v>32</v>
      </c>
      <c r="G89" s="1" t="n">
        <v>1350</v>
      </c>
      <c r="H89" s="1">
        <f>F89*G89</f>
        <v/>
      </c>
      <c r="I89" s="1" t="n">
        <v>0.07000000000000001</v>
      </c>
      <c r="J89" s="1">
        <f>ROUND(H89*I89,2)</f>
        <v/>
      </c>
      <c r="K89" s="1" t="inlineStr">
        <is>
          <t>2025-09</t>
        </is>
      </c>
      <c r="L89" s="1" t="n">
        <v>2160</v>
      </c>
      <c r="M89" s="1" t="inlineStr">
        <is>
          <t>4030</t>
        </is>
      </c>
      <c r="N89" s="1" t="inlineStr">
        <is>
          <t>Partially paid</t>
        </is>
      </c>
      <c r="O89" s="1" t="inlineStr">
        <is>
          <t>PO-BWA-9355</t>
        </is>
      </c>
    </row>
    <row r="90">
      <c r="A90" s="1" t="inlineStr">
        <is>
          <t>INV-2025-30089</t>
        </is>
      </c>
      <c r="B90" s="2" t="n">
        <v>45930</v>
      </c>
      <c r="C90" s="1" t="inlineStr">
        <is>
          <t>Keystone Paper &amp; Pack</t>
        </is>
      </c>
      <c r="D90" s="1" t="inlineStr">
        <is>
          <t>KPP-MSA-2023-49</t>
        </is>
      </c>
      <c r="E90" s="1" t="inlineStr">
        <is>
          <t>Fleet orchestration expansion pack, per robot</t>
        </is>
      </c>
      <c r="F90" s="1" t="n">
        <v>56</v>
      </c>
      <c r="G90" s="1" t="n">
        <v>3150</v>
      </c>
      <c r="H90" s="1">
        <f>F90*G90</f>
        <v/>
      </c>
      <c r="I90" s="1" t="n">
        <v>0.06</v>
      </c>
      <c r="J90" s="1">
        <f>ROUND(H90*I90,2)</f>
        <v/>
      </c>
      <c r="K90" s="1" t="inlineStr">
        <is>
          <t>2025-10</t>
        </is>
      </c>
      <c r="L90" s="1" t="n">
        <v>127008</v>
      </c>
      <c r="M90" s="1" t="inlineStr">
        <is>
          <t>4020</t>
        </is>
      </c>
      <c r="N90" s="1" t="inlineStr">
        <is>
          <t>Open</t>
        </is>
      </c>
      <c r="O90" s="1" t="inlineStr">
        <is>
          <t>PO-KPP-3749</t>
        </is>
      </c>
    </row>
    <row r="91">
      <c r="A91" s="1" t="inlineStr">
        <is>
          <t>INV-2025-30090</t>
        </is>
      </c>
      <c r="B91" s="2" t="n">
        <v>45868</v>
      </c>
      <c r="C91" s="1" t="inlineStr">
        <is>
          <t>Yarrow Home Goods</t>
        </is>
      </c>
      <c r="D91" s="1" t="inlineStr">
        <is>
          <t>YHG-MSA-2023-40</t>
        </is>
      </c>
      <c r="E91" s="1" t="inlineStr">
        <is>
          <t>Remote operations desk coverage</t>
        </is>
      </c>
      <c r="F91" s="1" t="n">
        <v>1</v>
      </c>
      <c r="G91" s="1" t="n">
        <v>12350</v>
      </c>
      <c r="H91" s="1">
        <f>F91*G91</f>
        <v/>
      </c>
      <c r="I91" s="1" t="n">
        <v>0.06</v>
      </c>
      <c r="J91" s="1">
        <f>ROUND(H91*I91,2)</f>
        <v/>
      </c>
      <c r="K91" s="1" t="inlineStr">
        <is>
          <t>2025-08</t>
        </is>
      </c>
      <c r="L91" s="1" t="n">
        <v>8398</v>
      </c>
      <c r="M91" s="1" t="inlineStr">
        <is>
          <t>4020</t>
        </is>
      </c>
      <c r="N91" s="1" t="inlineStr">
        <is>
          <t>Paid</t>
        </is>
      </c>
      <c r="O91" s="1" t="inlineStr">
        <is>
          <t>PO-YHG-9110</t>
        </is>
      </c>
    </row>
    <row r="92">
      <c r="A92" s="1" t="inlineStr">
        <is>
          <t>INV-2025-30091</t>
        </is>
      </c>
      <c r="B92" s="2" t="n">
        <v>45898</v>
      </c>
      <c r="C92" s="1" t="inlineStr">
        <is>
          <t>Blue Mesa Components</t>
        </is>
      </c>
      <c r="D92" s="1" t="inlineStr">
        <is>
          <t>BMC-MSA-2023-26</t>
        </is>
      </c>
      <c r="E92" s="1" t="inlineStr">
        <is>
          <t>Deployment and commissioning services</t>
        </is>
      </c>
      <c r="F92" s="1" t="n">
        <v>10</v>
      </c>
      <c r="G92" s="1" t="n">
        <v>1147</v>
      </c>
      <c r="H92" s="1">
        <f>F92*G92</f>
        <v/>
      </c>
      <c r="I92" s="1" t="n">
        <v>0.065</v>
      </c>
      <c r="J92" s="1">
        <f>ROUND(H92*I92,2)</f>
        <v/>
      </c>
      <c r="K92" s="1" t="inlineStr">
        <is>
          <t>2025-09</t>
        </is>
      </c>
      <c r="L92" s="1" t="n">
        <v>1949.9</v>
      </c>
      <c r="M92" s="1" t="inlineStr">
        <is>
          <t>4030</t>
        </is>
      </c>
      <c r="N92" s="1" t="inlineStr">
        <is>
          <t>Open</t>
        </is>
      </c>
      <c r="O92" s="1" t="inlineStr">
        <is>
          <t>PO-BMC-4342</t>
        </is>
      </c>
    </row>
    <row r="93">
      <c r="A93" s="1" t="inlineStr">
        <is>
          <t>INV-2025-30092</t>
        </is>
      </c>
      <c r="B93" s="2" t="n">
        <v>45905</v>
      </c>
      <c r="C93" s="1" t="inlineStr">
        <is>
          <t>Juniper Health Supply</t>
        </is>
      </c>
      <c r="D93" s="1" t="inlineStr">
        <is>
          <t>JHS-MSA-2023-39</t>
        </is>
      </c>
      <c r="E93" s="1" t="inlineStr">
        <is>
          <t>Premium support and spares pool</t>
        </is>
      </c>
      <c r="F93" s="1" t="n">
        <v>2</v>
      </c>
      <c r="G93" s="1" t="n">
        <v>55900</v>
      </c>
      <c r="H93" s="1">
        <f>F93*G93</f>
        <v/>
      </c>
      <c r="I93" s="1" t="n">
        <v>0</v>
      </c>
      <c r="J93" s="1">
        <f>ROUND(H93*I93,2)</f>
        <v/>
      </c>
      <c r="K93" s="1" t="inlineStr">
        <is>
          <t>2025-10</t>
        </is>
      </c>
      <c r="L93" s="1" t="n">
        <v>65962</v>
      </c>
      <c r="M93" s="1" t="inlineStr">
        <is>
          <t>4020</t>
        </is>
      </c>
      <c r="N93" s="1" t="inlineStr">
        <is>
          <t>Open</t>
        </is>
      </c>
      <c r="O93" s="1" t="inlineStr">
        <is>
          <t>PO-JHS-5120</t>
        </is>
      </c>
    </row>
    <row r="94">
      <c r="A94" s="1" t="inlineStr">
        <is>
          <t>INV-2025-30093</t>
        </is>
      </c>
      <c r="B94" s="2" t="n">
        <v>45867</v>
      </c>
      <c r="C94" s="1" t="inlineStr">
        <is>
          <t>Union Vale Pharma</t>
        </is>
      </c>
      <c r="D94" s="1" t="inlineStr">
        <is>
          <t>UVP-MSA-2025-50</t>
        </is>
      </c>
      <c r="E94" s="1" t="inlineStr">
        <is>
          <t>Warehouse management system connector</t>
        </is>
      </c>
      <c r="F94" s="1" t="n">
        <v>4</v>
      </c>
      <c r="G94" s="1" t="n">
        <v>37500</v>
      </c>
      <c r="H94" s="1">
        <f>F94*G94</f>
        <v/>
      </c>
      <c r="I94" s="1" t="n">
        <v>0.09</v>
      </c>
      <c r="J94" s="1">
        <f>ROUND(H94*I94,2)</f>
        <v/>
      </c>
      <c r="K94" s="1" t="inlineStr">
        <is>
          <t>2025-08</t>
        </is>
      </c>
      <c r="L94" s="1" t="n">
        <v>10500</v>
      </c>
      <c r="M94" s="1" t="inlineStr">
        <is>
          <t>4030</t>
        </is>
      </c>
      <c r="N94" s="1" t="inlineStr">
        <is>
          <t>Credit issued</t>
        </is>
      </c>
      <c r="O94" s="1" t="inlineStr">
        <is>
          <t>PO-UVP-1250</t>
        </is>
      </c>
    </row>
    <row r="95">
      <c r="A95" s="1" t="inlineStr">
        <is>
          <t>INV-2025-30094</t>
        </is>
      </c>
      <c r="B95" s="2" t="n">
        <v>45898</v>
      </c>
      <c r="C95" s="1" t="inlineStr">
        <is>
          <t>Blue Mesa Components</t>
        </is>
      </c>
      <c r="D95" s="1" t="inlineStr">
        <is>
          <t>BMC-MSA-2022-24</t>
        </is>
      </c>
      <c r="E95" s="1" t="inlineStr">
        <is>
          <t>Telemetry retention tier, extended</t>
        </is>
      </c>
      <c r="F95" s="1" t="n">
        <v>2</v>
      </c>
      <c r="G95" s="1" t="n">
        <v>24250</v>
      </c>
      <c r="H95" s="1">
        <f>F95*G95</f>
        <v/>
      </c>
      <c r="I95" s="1" t="n">
        <v>0.0475</v>
      </c>
      <c r="J95" s="1">
        <f>ROUND(H95*I95,2)</f>
        <v/>
      </c>
      <c r="K95" s="1" t="inlineStr">
        <is>
          <t>2025-09</t>
        </is>
      </c>
      <c r="L95" s="1" t="n">
        <v>40740</v>
      </c>
      <c r="M95" s="1" t="inlineStr">
        <is>
          <t>4020</t>
        </is>
      </c>
      <c r="N95" s="1" t="inlineStr">
        <is>
          <t>Open</t>
        </is>
      </c>
      <c r="O95" s="1" t="inlineStr">
        <is>
          <t>PO-BMC-7264</t>
        </is>
      </c>
    </row>
    <row r="96">
      <c r="A96" s="1" t="inlineStr">
        <is>
          <t>INV-2025-30095</t>
        </is>
      </c>
      <c r="B96" s="2" t="n">
        <v>45930</v>
      </c>
      <c r="C96" s="1" t="inlineStr">
        <is>
          <t>Pioneer Freight Union</t>
        </is>
      </c>
      <c r="D96" s="1" t="inlineStr">
        <is>
          <t>PFU-MSA-2025-47</t>
        </is>
      </c>
      <c r="E96" s="1" t="inlineStr">
        <is>
          <t>Remote operations desk coverage</t>
        </is>
      </c>
      <c r="F96" s="1" t="n">
        <v>4</v>
      </c>
      <c r="G96" s="1" t="n">
        <v>11200</v>
      </c>
      <c r="H96" s="1">
        <f>F96*G96</f>
        <v/>
      </c>
      <c r="I96" s="1" t="n">
        <v>0.06</v>
      </c>
      <c r="J96" s="1">
        <f>ROUND(H96*I96,2)</f>
        <v/>
      </c>
      <c r="K96" s="1" t="inlineStr">
        <is>
          <t>2025-10</t>
        </is>
      </c>
      <c r="L96" s="1" t="n">
        <v>34048</v>
      </c>
      <c r="M96" s="1" t="inlineStr">
        <is>
          <t>4020</t>
        </is>
      </c>
      <c r="N96" s="1" t="inlineStr">
        <is>
          <t>Partially paid</t>
        </is>
      </c>
      <c r="O96" s="1" t="inlineStr">
        <is>
          <t>PO-PFU-3886</t>
        </is>
      </c>
    </row>
    <row r="97">
      <c r="A97" s="1" t="inlineStr">
        <is>
          <t>INV-2025-30096</t>
        </is>
      </c>
      <c r="B97" s="2" t="n">
        <v>45868</v>
      </c>
      <c r="C97" s="1" t="inlineStr">
        <is>
          <t>Evergreen Warehousing</t>
        </is>
      </c>
      <c r="D97" s="1" t="inlineStr">
        <is>
          <t>EVW-MSA-2024-68</t>
        </is>
      </c>
      <c r="E97" s="1" t="inlineStr">
        <is>
          <t>Fleet orchestration expansion pack, per robot</t>
        </is>
      </c>
      <c r="F97" s="1" t="n">
        <v>107</v>
      </c>
      <c r="G97" s="1" t="n">
        <v>1953</v>
      </c>
      <c r="H97" s="1">
        <f>F97*G97</f>
        <v/>
      </c>
      <c r="I97" s="1" t="n">
        <v>0.0475</v>
      </c>
      <c r="J97" s="1">
        <f>ROUND(H97*I97,2)</f>
        <v/>
      </c>
      <c r="K97" s="1" t="inlineStr">
        <is>
          <t>2025-08</t>
        </is>
      </c>
      <c r="L97" s="1" t="n">
        <v>152548.83</v>
      </c>
      <c r="M97" s="1" t="inlineStr">
        <is>
          <t>4020</t>
        </is>
      </c>
      <c r="N97" s="1" t="inlineStr">
        <is>
          <t>Disputed</t>
        </is>
      </c>
      <c r="O97" s="1" t="inlineStr">
        <is>
          <t>PO-EVW-6494</t>
        </is>
      </c>
    </row>
    <row r="98">
      <c r="A98" s="1" t="inlineStr">
        <is>
          <t>INV-2025-30097</t>
        </is>
      </c>
      <c r="B98" s="2" t="n">
        <v>45898</v>
      </c>
      <c r="C98" s="1" t="inlineStr">
        <is>
          <t>Larkspur Apparel</t>
        </is>
      </c>
      <c r="D98" s="1" t="inlineStr">
        <is>
          <t>LKA-MSA-2022-80</t>
        </is>
      </c>
      <c r="E98" s="1" t="inlineStr">
        <is>
          <t>Fleet orchestration platform, annual site licence</t>
        </is>
      </c>
      <c r="F98" s="1" t="n">
        <v>2</v>
      </c>
      <c r="G98" s="1" t="n">
        <v>95750</v>
      </c>
      <c r="H98" s="1">
        <f>F98*G98</f>
        <v/>
      </c>
      <c r="I98" s="1" t="n">
        <v>0.09</v>
      </c>
      <c r="J98" s="1">
        <f>ROUND(H98*I98,2)</f>
        <v/>
      </c>
      <c r="K98" s="1" t="inlineStr">
        <is>
          <t>2025-09</t>
        </is>
      </c>
      <c r="L98" s="1" t="n">
        <v>112985</v>
      </c>
      <c r="M98" s="1" t="inlineStr">
        <is>
          <t>4020</t>
        </is>
      </c>
      <c r="N98" s="1" t="inlineStr">
        <is>
          <t>Paid</t>
        </is>
      </c>
      <c r="O98" s="1" t="inlineStr">
        <is>
          <t>PO-LKA-8409</t>
        </is>
      </c>
    </row>
    <row r="99">
      <c r="A99" s="1" t="inlineStr">
        <is>
          <t>INV-2025-30098</t>
        </is>
      </c>
      <c r="B99" s="2" t="n">
        <v>45930</v>
      </c>
      <c r="C99" s="1" t="inlineStr">
        <is>
          <t>Ironvale Grocery Group</t>
        </is>
      </c>
      <c r="D99" s="1" t="inlineStr">
        <is>
          <t>IVG-MSA-2022-66</t>
        </is>
      </c>
      <c r="E99" s="1" t="inlineStr">
        <is>
          <t>Telemetry retention tier, extended</t>
        </is>
      </c>
      <c r="F99" s="1" t="n">
        <v>2</v>
      </c>
      <c r="G99" s="1" t="n">
        <v>23100</v>
      </c>
      <c r="H99" s="1">
        <f>F99*G99</f>
        <v/>
      </c>
      <c r="I99" s="1" t="n">
        <v>0.09</v>
      </c>
      <c r="J99" s="1">
        <f>ROUND(H99*I99,2)</f>
        <v/>
      </c>
      <c r="K99" s="1" t="inlineStr">
        <is>
          <t>2025-10</t>
        </is>
      </c>
      <c r="L99" s="1" t="n">
        <v>36036</v>
      </c>
      <c r="M99" s="1" t="inlineStr">
        <is>
          <t>4020</t>
        </is>
      </c>
      <c r="N99" s="1" t="inlineStr">
        <is>
          <t>Disputed</t>
        </is>
      </c>
      <c r="O99" s="1" t="inlineStr">
        <is>
          <t>PO-IVG-6131</t>
        </is>
      </c>
    </row>
    <row r="100">
      <c r="A100" s="1" t="inlineStr">
        <is>
          <t>INV-2025-30099</t>
        </is>
      </c>
      <c r="B100" s="2" t="n">
        <v>45867</v>
      </c>
      <c r="C100" s="1" t="inlineStr">
        <is>
          <t>Crestline Fulfillment</t>
        </is>
      </c>
      <c r="D100" s="1" t="inlineStr">
        <is>
          <t>CFF-MSA-2025-44</t>
        </is>
      </c>
      <c r="E100" s="1" t="inlineStr">
        <is>
          <t>Fleet orchestration platform, annual site licence</t>
        </is>
      </c>
      <c r="F100" s="1" t="n">
        <v>4</v>
      </c>
      <c r="G100" s="1" t="n">
        <v>96000</v>
      </c>
      <c r="H100" s="1">
        <f>F100*G100</f>
        <v/>
      </c>
      <c r="I100" s="1" t="n">
        <v>0.06</v>
      </c>
      <c r="J100" s="1">
        <f>ROUND(H100*I100,2)</f>
        <v/>
      </c>
      <c r="K100" s="1" t="inlineStr">
        <is>
          <t>2025-08</t>
        </is>
      </c>
      <c r="L100" s="1" t="n">
        <v>218880</v>
      </c>
      <c r="M100" s="1" t="inlineStr">
        <is>
          <t>4020</t>
        </is>
      </c>
      <c r="N100" s="1" t="inlineStr">
        <is>
          <t>Open</t>
        </is>
      </c>
      <c r="O100" s="1" t="inlineStr">
        <is>
          <t>PO-CFF-1993</t>
        </is>
      </c>
    </row>
    <row r="101">
      <c r="A101" s="1" t="inlineStr">
        <is>
          <t>INV-2025-30100</t>
        </is>
      </c>
      <c r="B101" s="2" t="n">
        <v>45898</v>
      </c>
      <c r="C101" s="1" t="inlineStr">
        <is>
          <t>Dunbar Industrial</t>
        </is>
      </c>
      <c r="D101" s="1" t="inlineStr">
        <is>
          <t>DBI-MSA-2022-48</t>
        </is>
      </c>
      <c r="E101" s="1" t="inlineStr">
        <is>
          <t>Fleet orchestration platform, annual site licence</t>
        </is>
      </c>
      <c r="F101" s="1" t="n">
        <v>3</v>
      </c>
      <c r="G101" s="1" t="n">
        <v>95750</v>
      </c>
      <c r="H101" s="1">
        <f>F101*G101</f>
        <v/>
      </c>
      <c r="I101" s="1" t="n">
        <v>0.07000000000000001</v>
      </c>
      <c r="J101" s="1">
        <f>ROUND(H101*I101,2)</f>
        <v/>
      </c>
      <c r="K101" s="1" t="inlineStr">
        <is>
          <t>2025-09</t>
        </is>
      </c>
      <c r="L101" s="1" t="n">
        <v>241290</v>
      </c>
      <c r="M101" s="1" t="inlineStr">
        <is>
          <t>4020</t>
        </is>
      </c>
      <c r="N101" s="1" t="inlineStr">
        <is>
          <t>Paid</t>
        </is>
      </c>
      <c r="O101" s="1" t="inlineStr">
        <is>
          <t>PO-DBI-4717</t>
        </is>
      </c>
    </row>
    <row r="102">
      <c r="A102" s="1" t="inlineStr">
        <is>
          <t>INV-2025-30101</t>
        </is>
      </c>
      <c r="B102" s="2" t="n">
        <v>45926</v>
      </c>
      <c r="C102" s="1" t="inlineStr">
        <is>
          <t>Tamarack Electronics</t>
        </is>
      </c>
      <c r="D102" s="1" t="inlineStr">
        <is>
          <t>TCE-MSA-2024-13</t>
        </is>
      </c>
      <c r="E102" s="1" t="inlineStr">
        <is>
          <t>Premium support and spares pool</t>
        </is>
      </c>
      <c r="F102" s="1" t="n">
        <v>1</v>
      </c>
      <c r="G102" s="1" t="n">
        <v>57300</v>
      </c>
      <c r="H102" s="1">
        <f>F102*G102</f>
        <v/>
      </c>
      <c r="I102" s="1" t="n">
        <v>0.06</v>
      </c>
      <c r="J102" s="1">
        <f>ROUND(H102*I102,2)</f>
        <v/>
      </c>
      <c r="K102" s="1" t="inlineStr">
        <is>
          <t>2025-10</t>
        </is>
      </c>
      <c r="L102" s="1" t="n">
        <v>32661</v>
      </c>
      <c r="M102" s="1" t="inlineStr">
        <is>
          <t>4020</t>
        </is>
      </c>
      <c r="N102" s="1" t="inlineStr">
        <is>
          <t>Paid</t>
        </is>
      </c>
      <c r="O102" s="1" t="inlineStr">
        <is>
          <t>PO-TCE-3730</t>
        </is>
      </c>
    </row>
    <row r="103">
      <c r="A103" s="1" t="inlineStr">
        <is>
          <t>INV-2025-30102</t>
        </is>
      </c>
      <c r="B103" s="2" t="n">
        <v>45868</v>
      </c>
      <c r="C103" s="1" t="inlineStr">
        <is>
          <t>Elmsworth Publishing</t>
        </is>
      </c>
      <c r="D103" s="1" t="inlineStr">
        <is>
          <t>EWP-MSA-2024-25</t>
        </is>
      </c>
      <c r="E103" s="1" t="inlineStr">
        <is>
          <t>Safety scanner retrofit kit</t>
        </is>
      </c>
      <c r="F103" s="1" t="n">
        <v>3</v>
      </c>
      <c r="G103" s="1" t="n">
        <v>7250</v>
      </c>
      <c r="H103" s="1">
        <f>F103*G103</f>
        <v/>
      </c>
      <c r="I103" s="1" t="n">
        <v>0.07000000000000001</v>
      </c>
      <c r="J103" s="1">
        <f>ROUND(H103*I103,2)</f>
        <v/>
      </c>
      <c r="K103" s="1" t="inlineStr">
        <is>
          <t>2025-08</t>
        </is>
      </c>
      <c r="L103" s="1" t="n">
        <v>0</v>
      </c>
      <c r="M103" s="1" t="inlineStr">
        <is>
          <t>4010</t>
        </is>
      </c>
      <c r="N103" s="1" t="inlineStr">
        <is>
          <t>Credit issued</t>
        </is>
      </c>
      <c r="O103" s="1" t="inlineStr">
        <is>
          <t>PO-EWP-4201</t>
        </is>
      </c>
    </row>
    <row r="104">
      <c r="A104" s="1" t="inlineStr">
        <is>
          <t>INV-2025-30103</t>
        </is>
      </c>
      <c r="B104" s="2" t="n">
        <v>45898</v>
      </c>
      <c r="C104" s="1" t="inlineStr">
        <is>
          <t>Pioneer Freight Union</t>
        </is>
      </c>
      <c r="D104" s="1" t="inlineStr">
        <is>
          <t>PFU-MSA-2022-67</t>
        </is>
      </c>
      <c r="E104" s="1" t="inlineStr">
        <is>
          <t>Autonomous mobile robot, 450 kg payload</t>
        </is>
      </c>
      <c r="F104" s="1" t="n">
        <v>10</v>
      </c>
      <c r="G104" s="1" t="n">
        <v>67000</v>
      </c>
      <c r="H104" s="1">
        <f>F104*G104</f>
        <v/>
      </c>
      <c r="I104" s="1" t="n">
        <v>0.09</v>
      </c>
      <c r="J104" s="1">
        <f>ROUND(H104*I104,2)</f>
        <v/>
      </c>
      <c r="K104" s="1" t="inlineStr">
        <is>
          <t>2025-09</t>
        </is>
      </c>
      <c r="L104" s="1" t="n">
        <v>0</v>
      </c>
      <c r="M104" s="1" t="inlineStr">
        <is>
          <t>4010</t>
        </is>
      </c>
      <c r="N104" s="1" t="inlineStr">
        <is>
          <t>Paid</t>
        </is>
      </c>
      <c r="O104" s="1" t="inlineStr">
        <is>
          <t>PO-PFU-9124</t>
        </is>
      </c>
    </row>
    <row r="105">
      <c r="A105" s="1" t="inlineStr">
        <is>
          <t>INV-2025-30104</t>
        </is>
      </c>
      <c r="B105" s="2" t="n">
        <v>45926</v>
      </c>
      <c r="C105" s="1" t="inlineStr">
        <is>
          <t>Harborline Systems</t>
        </is>
      </c>
      <c r="D105" s="1" t="inlineStr">
        <is>
          <t>HLS-MSA-2025-38</t>
        </is>
      </c>
      <c r="E105" s="1" t="inlineStr">
        <is>
          <t>Warehouse management system connector</t>
        </is>
      </c>
      <c r="F105" s="1" t="n">
        <v>3</v>
      </c>
      <c r="G105" s="1" t="n">
        <v>36700</v>
      </c>
      <c r="H105" s="1">
        <f>F105*G105</f>
        <v/>
      </c>
      <c r="I105" s="1" t="n">
        <v>0.07000000000000001</v>
      </c>
      <c r="J105" s="1">
        <f>ROUND(H105*I105,2)</f>
        <v/>
      </c>
      <c r="K105" s="1" t="inlineStr">
        <is>
          <t>2025-10</t>
        </is>
      </c>
      <c r="L105" s="1" t="n">
        <v>3303</v>
      </c>
      <c r="M105" s="1" t="inlineStr">
        <is>
          <t>4030</t>
        </is>
      </c>
      <c r="N105" s="1" t="inlineStr">
        <is>
          <t>Open</t>
        </is>
      </c>
      <c r="O105" s="1" t="inlineStr">
        <is>
          <t>PO-HLS-2996</t>
        </is>
      </c>
    </row>
    <row r="106">
      <c r="A106" s="1" t="inlineStr">
        <is>
          <t>INV-2025-30105</t>
        </is>
      </c>
      <c r="B106" s="2" t="n">
        <v>45868</v>
      </c>
      <c r="C106" s="1" t="inlineStr">
        <is>
          <t>Keystone Paper &amp; Pack</t>
        </is>
      </c>
      <c r="D106" s="1" t="inlineStr">
        <is>
          <t>KPP-MSA-2025-29</t>
        </is>
      </c>
      <c r="E106" s="1" t="inlineStr">
        <is>
          <t>Opportunity charging dock</t>
        </is>
      </c>
      <c r="F106" s="1" t="n">
        <v>6</v>
      </c>
      <c r="G106" s="1" t="n">
        <v>11800</v>
      </c>
      <c r="H106" s="1">
        <f>F106*G106</f>
        <v/>
      </c>
      <c r="I106" s="1" t="n">
        <v>0.0825</v>
      </c>
      <c r="J106" s="1">
        <f>ROUND(H106*I106,2)</f>
        <v/>
      </c>
      <c r="K106" s="1" t="inlineStr">
        <is>
          <t>2025-08</t>
        </is>
      </c>
      <c r="L106" s="1" t="n">
        <v>0</v>
      </c>
      <c r="M106" s="1" t="inlineStr">
        <is>
          <t>4010</t>
        </is>
      </c>
      <c r="N106" s="1" t="inlineStr">
        <is>
          <t>Open</t>
        </is>
      </c>
      <c r="O106" s="1" t="inlineStr">
        <is>
          <t>PO-KPP-5666</t>
        </is>
      </c>
    </row>
    <row r="107">
      <c r="A107" s="1" t="inlineStr">
        <is>
          <t>INV-2025-30106</t>
        </is>
      </c>
      <c r="B107" s="2" t="n">
        <v>45898</v>
      </c>
      <c r="C107" s="1" t="inlineStr">
        <is>
          <t>Vantage Robotics Supply</t>
        </is>
      </c>
      <c r="D107" s="1" t="inlineStr">
        <is>
          <t>VRS-MSA-2024-87</t>
        </is>
      </c>
      <c r="E107" s="1" t="inlineStr">
        <is>
          <t>Fleet orchestration platform, annual site licence</t>
        </is>
      </c>
      <c r="F107" s="1" t="n">
        <v>3</v>
      </c>
      <c r="G107" s="1" t="n">
        <v>95500</v>
      </c>
      <c r="H107" s="1">
        <f>F107*G107</f>
        <v/>
      </c>
      <c r="I107" s="1" t="n">
        <v>0.065</v>
      </c>
      <c r="J107" s="1">
        <f>ROUND(H107*I107,2)</f>
        <v/>
      </c>
      <c r="K107" s="1" t="inlineStr">
        <is>
          <t>2025-09</t>
        </is>
      </c>
      <c r="L107" s="1" t="n">
        <v>240660</v>
      </c>
      <c r="M107" s="1" t="inlineStr">
        <is>
          <t>4020</t>
        </is>
      </c>
      <c r="N107" s="1" t="inlineStr">
        <is>
          <t>Disputed</t>
        </is>
      </c>
      <c r="O107" s="1" t="inlineStr">
        <is>
          <t>PO-VRS-2238</t>
        </is>
      </c>
    </row>
    <row r="108">
      <c r="A108" s="1" t="inlineStr">
        <is>
          <t>INV-2025-30107</t>
        </is>
      </c>
      <c r="B108" s="2" t="n">
        <v>45926</v>
      </c>
      <c r="C108" s="1" t="inlineStr">
        <is>
          <t>Fathom Mobility</t>
        </is>
      </c>
      <c r="D108" s="1" t="inlineStr">
        <is>
          <t>FTM-MSA-2022-68</t>
        </is>
      </c>
      <c r="E108" s="1" t="inlineStr">
        <is>
          <t>Deployment and commissioning services</t>
        </is>
      </c>
      <c r="F108" s="1" t="n">
        <v>19</v>
      </c>
      <c r="G108" s="1" t="n">
        <v>1850</v>
      </c>
      <c r="H108" s="1">
        <f>F108*G108</f>
        <v/>
      </c>
      <c r="I108" s="1" t="n">
        <v>0.0475</v>
      </c>
      <c r="J108" s="1">
        <f>ROUND(H108*I108,2)</f>
        <v/>
      </c>
      <c r="K108" s="1" t="inlineStr">
        <is>
          <t>2025-10</t>
        </is>
      </c>
      <c r="L108" s="1" t="n">
        <v>1406</v>
      </c>
      <c r="M108" s="1" t="inlineStr">
        <is>
          <t>4030</t>
        </is>
      </c>
      <c r="N108" s="1" t="inlineStr">
        <is>
          <t>Open</t>
        </is>
      </c>
      <c r="O108" s="1" t="inlineStr">
        <is>
          <t>PO-FTM-5996</t>
        </is>
      </c>
    </row>
    <row r="109">
      <c r="A109" s="1" t="inlineStr">
        <is>
          <t>INV-2025-30108</t>
        </is>
      </c>
      <c r="B109" s="2" t="n">
        <v>45868</v>
      </c>
      <c r="C109" s="1" t="inlineStr">
        <is>
          <t>Yarrow Home Goods</t>
        </is>
      </c>
      <c r="D109" s="1" t="inlineStr">
        <is>
          <t>YHG-MSA-2023-17</t>
        </is>
      </c>
      <c r="E109" s="1" t="inlineStr">
        <is>
          <t>Remote operations desk coverage</t>
        </is>
      </c>
      <c r="F109" s="1" t="n">
        <v>2</v>
      </c>
      <c r="G109" s="1" t="n">
        <v>12600</v>
      </c>
      <c r="H109" s="1">
        <f>F109*G109</f>
        <v/>
      </c>
      <c r="I109" s="1" t="n">
        <v>0.09</v>
      </c>
      <c r="J109" s="1">
        <f>ROUND(H109*I109,2)</f>
        <v/>
      </c>
      <c r="K109" s="1" t="inlineStr">
        <is>
          <t>2025-08</t>
        </is>
      </c>
      <c r="L109" s="1" t="n">
        <v>19656</v>
      </c>
      <c r="M109" s="1" t="inlineStr">
        <is>
          <t>4020</t>
        </is>
      </c>
      <c r="N109" s="1" t="inlineStr">
        <is>
          <t>Paid</t>
        </is>
      </c>
      <c r="O109" s="1" t="inlineStr">
        <is>
          <t>PO-YHG-5691</t>
        </is>
      </c>
    </row>
    <row r="110">
      <c r="A110" s="1" t="inlineStr">
        <is>
          <t>INV-2025-30109</t>
        </is>
      </c>
      <c r="B110" s="2" t="n">
        <v>45884</v>
      </c>
      <c r="C110" s="1" t="inlineStr">
        <is>
          <t>Pioneer Freight Union</t>
        </is>
      </c>
      <c r="D110" s="1" t="inlineStr">
        <is>
          <t>PFU-MSA-2022-61</t>
        </is>
      </c>
      <c r="E110" s="1" t="inlineStr">
        <is>
          <t>Autonomous mobile robot, 220 kg payload</t>
        </is>
      </c>
      <c r="F110" s="1" t="n">
        <v>8</v>
      </c>
      <c r="G110" s="1" t="n">
        <v>41500</v>
      </c>
      <c r="H110" s="1">
        <f>F110*G110</f>
        <v/>
      </c>
      <c r="I110" s="1" t="n">
        <v>0.0475</v>
      </c>
      <c r="J110" s="1">
        <f>ROUND(H110*I110,2)</f>
        <v/>
      </c>
      <c r="K110" s="1" t="inlineStr">
        <is>
          <t>2025-09</t>
        </is>
      </c>
      <c r="L110" s="1" t="n">
        <v>0</v>
      </c>
      <c r="M110" s="1" t="inlineStr">
        <is>
          <t>4010</t>
        </is>
      </c>
      <c r="N110" s="1" t="inlineStr">
        <is>
          <t>Open</t>
        </is>
      </c>
      <c r="O110" s="1" t="inlineStr">
        <is>
          <t>PO-PFU-1053</t>
        </is>
      </c>
    </row>
    <row r="111">
      <c r="A111" s="1" t="inlineStr">
        <is>
          <t>INV-2025-30110</t>
        </is>
      </c>
      <c r="B111" s="2" t="n">
        <v>45930</v>
      </c>
      <c r="C111" s="1" t="inlineStr">
        <is>
          <t>Fathom Mobility</t>
        </is>
      </c>
      <c r="D111" s="1" t="inlineStr">
        <is>
          <t>FTM-MSA-2023-38</t>
        </is>
      </c>
      <c r="E111" s="1" t="inlineStr">
        <is>
          <t>Autonomous mobile robot, 450 kg payload</t>
        </is>
      </c>
      <c r="F111" s="1" t="n">
        <v>1</v>
      </c>
      <c r="G111" s="1" t="n">
        <v>68400</v>
      </c>
      <c r="H111" s="1">
        <f>F111*G111</f>
        <v/>
      </c>
      <c r="I111" s="1" t="n">
        <v>0.06</v>
      </c>
      <c r="J111" s="1">
        <f>ROUND(H111*I111,2)</f>
        <v/>
      </c>
      <c r="K111" s="1" t="inlineStr">
        <is>
          <t>2025-10</t>
        </is>
      </c>
      <c r="L111" s="1" t="n">
        <v>0</v>
      </c>
      <c r="M111" s="1" t="inlineStr">
        <is>
          <t>4010</t>
        </is>
      </c>
      <c r="N111" s="1" t="inlineStr">
        <is>
          <t>Written off</t>
        </is>
      </c>
      <c r="O111" s="1" t="inlineStr">
        <is>
          <t>PO-FTM-3186</t>
        </is>
      </c>
    </row>
    <row r="112">
      <c r="A112" s="1" t="inlineStr">
        <is>
          <t>INV-2025-30111</t>
        </is>
      </c>
      <c r="B112" s="2" t="n">
        <v>45856</v>
      </c>
      <c r="C112" s="1" t="inlineStr">
        <is>
          <t>Union Vale Pharma</t>
        </is>
      </c>
      <c r="D112" s="1" t="inlineStr">
        <is>
          <t>UVP-MSA-2022-54</t>
        </is>
      </c>
      <c r="E112" s="1" t="inlineStr">
        <is>
          <t>Safety scanner retrofit kit</t>
        </is>
      </c>
      <c r="F112" s="1" t="n">
        <v>3</v>
      </c>
      <c r="G112" s="1" t="n">
        <v>5050</v>
      </c>
      <c r="H112" s="1">
        <f>F112*G112</f>
        <v/>
      </c>
      <c r="I112" s="1" t="n">
        <v>0.065</v>
      </c>
      <c r="J112" s="1">
        <f>ROUND(H112*I112,2)</f>
        <v/>
      </c>
      <c r="K112" s="1" t="inlineStr">
        <is>
          <t>2025-08</t>
        </is>
      </c>
      <c r="L112" s="1" t="n">
        <v>0</v>
      </c>
      <c r="M112" s="1" t="inlineStr">
        <is>
          <t>4010</t>
        </is>
      </c>
      <c r="N112" s="1" t="inlineStr">
        <is>
          <t>Open</t>
        </is>
      </c>
      <c r="O112" s="1" t="inlineStr">
        <is>
          <t>PO-UVP-6711</t>
        </is>
      </c>
    </row>
    <row r="113">
      <c r="A113" s="1" t="inlineStr">
        <is>
          <t>INV-2025-30112</t>
        </is>
      </c>
      <c r="B113" s="2" t="n">
        <v>45877</v>
      </c>
      <c r="C113" s="1" t="inlineStr">
        <is>
          <t>Summit Ridge Retail</t>
        </is>
      </c>
      <c r="D113" s="1" t="inlineStr">
        <is>
          <t>SRR-MSA-2023-44</t>
        </is>
      </c>
      <c r="E113" s="1" t="inlineStr">
        <is>
          <t>Deployment and commissioning services</t>
        </is>
      </c>
      <c r="F113" s="1" t="n">
        <v>21</v>
      </c>
      <c r="G113" s="1" t="n">
        <v>1147</v>
      </c>
      <c r="H113" s="1">
        <f>F113*G113</f>
        <v/>
      </c>
      <c r="I113" s="1" t="n">
        <v>0.09</v>
      </c>
      <c r="J113" s="1">
        <f>ROUND(H113*I113,2)</f>
        <v/>
      </c>
      <c r="K113" s="1" t="inlineStr">
        <is>
          <t>2025-09</t>
        </is>
      </c>
      <c r="L113" s="1" t="n">
        <v>5058.27</v>
      </c>
      <c r="M113" s="1" t="inlineStr">
        <is>
          <t>4030</t>
        </is>
      </c>
      <c r="N113" s="1" t="inlineStr">
        <is>
          <t>Partially paid</t>
        </is>
      </c>
      <c r="O113" s="1" t="inlineStr">
        <is>
          <t>PO-SRR-1831</t>
        </is>
      </c>
    </row>
    <row r="114">
      <c r="A114" s="1" t="inlineStr">
        <is>
          <t>INV-2025-30113</t>
        </is>
      </c>
      <c r="B114" s="2" t="n">
        <v>45929</v>
      </c>
      <c r="C114" s="1" t="inlineStr">
        <is>
          <t>Summit Ridge Retail</t>
        </is>
      </c>
      <c r="D114" s="1" t="inlineStr">
        <is>
          <t>SRR-MSA-2022-83</t>
        </is>
      </c>
      <c r="E114" s="1" t="inlineStr">
        <is>
          <t>Autonomous mobile robot, 450 kg payload</t>
        </is>
      </c>
      <c r="F114" s="1" t="n">
        <v>3</v>
      </c>
      <c r="G114" s="1" t="n">
        <v>67500</v>
      </c>
      <c r="H114" s="1">
        <f>F114*G114</f>
        <v/>
      </c>
      <c r="I114" s="1" t="n">
        <v>0.06</v>
      </c>
      <c r="J114" s="1">
        <f>ROUND(H114*I114,2)</f>
        <v/>
      </c>
      <c r="K114" s="1" t="inlineStr">
        <is>
          <t>2025-10</t>
        </is>
      </c>
      <c r="L114" s="1" t="n">
        <v>0</v>
      </c>
      <c r="M114" s="1" t="inlineStr">
        <is>
          <t>4010</t>
        </is>
      </c>
      <c r="N114" s="1" t="inlineStr">
        <is>
          <t>Partially paid</t>
        </is>
      </c>
      <c r="O114" s="1" t="inlineStr">
        <is>
          <t>PO-SRR-8936</t>
        </is>
      </c>
    </row>
    <row r="115">
      <c r="A115" s="1" t="inlineStr">
        <is>
          <t>INV-2025-30114</t>
        </is>
      </c>
      <c r="B115" s="2" t="n">
        <v>45867</v>
      </c>
      <c r="C115" s="1" t="inlineStr">
        <is>
          <t>Orchard Grove Foods</t>
        </is>
      </c>
      <c r="D115" s="1" t="inlineStr">
        <is>
          <t>OGF-MSA-2025-22</t>
        </is>
      </c>
      <c r="E115" s="1" t="inlineStr">
        <is>
          <t>Safety scanner retrofit kit</t>
        </is>
      </c>
      <c r="F115" s="1" t="n">
        <v>4</v>
      </c>
      <c r="G115" s="1" t="n">
        <v>5050</v>
      </c>
      <c r="H115" s="1">
        <f>F115*G115</f>
        <v/>
      </c>
      <c r="I115" s="1" t="n">
        <v>0.07000000000000001</v>
      </c>
      <c r="J115" s="1">
        <f>ROUND(H115*I115,2)</f>
        <v/>
      </c>
      <c r="K115" s="1" t="inlineStr">
        <is>
          <t>2025-08</t>
        </is>
      </c>
      <c r="L115" s="1" t="n">
        <v>0</v>
      </c>
      <c r="M115" s="1" t="inlineStr">
        <is>
          <t>4010</t>
        </is>
      </c>
      <c r="N115" s="1" t="inlineStr">
        <is>
          <t>Partially paid</t>
        </is>
      </c>
      <c r="O115" s="1" t="inlineStr">
        <is>
          <t>PO-OGF-2001</t>
        </is>
      </c>
    </row>
    <row r="116">
      <c r="A116" s="1" t="inlineStr">
        <is>
          <t>INV-2025-30115</t>
        </is>
      </c>
      <c r="B116" s="2" t="n">
        <v>45898</v>
      </c>
      <c r="C116" s="1" t="inlineStr">
        <is>
          <t>Blue Mesa Components</t>
        </is>
      </c>
      <c r="D116" s="1" t="inlineStr">
        <is>
          <t>BMC-MSA-2023-77</t>
        </is>
      </c>
      <c r="E116" s="1" t="inlineStr">
        <is>
          <t>Remote operations desk coverage</t>
        </is>
      </c>
      <c r="F116" s="1" t="n">
        <v>1</v>
      </c>
      <c r="G116" s="1" t="n">
        <v>12600</v>
      </c>
      <c r="H116" s="1">
        <f>F116*G116</f>
        <v/>
      </c>
      <c r="I116" s="1" t="n">
        <v>0.0825</v>
      </c>
      <c r="J116" s="1">
        <f>ROUND(H116*I116,2)</f>
        <v/>
      </c>
      <c r="K116" s="1" t="inlineStr">
        <is>
          <t>2025-09</t>
        </is>
      </c>
      <c r="L116" s="1" t="n">
        <v>10206</v>
      </c>
      <c r="M116" s="1" t="inlineStr">
        <is>
          <t>4020</t>
        </is>
      </c>
      <c r="N116" s="1" t="inlineStr">
        <is>
          <t>Disputed</t>
        </is>
      </c>
      <c r="O116" s="1" t="inlineStr">
        <is>
          <t>PO-BMC-1086</t>
        </is>
      </c>
    </row>
    <row r="117">
      <c r="A117" s="1" t="inlineStr">
        <is>
          <t>INV-2025-30116</t>
        </is>
      </c>
      <c r="B117" s="2" t="n">
        <v>45926</v>
      </c>
      <c r="C117" s="1" t="inlineStr">
        <is>
          <t>Calder Marine Supply</t>
        </is>
      </c>
      <c r="D117" s="1" t="inlineStr">
        <is>
          <t>CMS-MSA-2023-36</t>
        </is>
      </c>
      <c r="E117" s="1" t="inlineStr">
        <is>
          <t>Deployment and commissioning services</t>
        </is>
      </c>
      <c r="F117" s="1" t="n">
        <v>17</v>
      </c>
      <c r="G117" s="1" t="n">
        <v>1147</v>
      </c>
      <c r="H117" s="1">
        <f>F117*G117</f>
        <v/>
      </c>
      <c r="I117" s="1" t="n">
        <v>0.0825</v>
      </c>
      <c r="J117" s="1">
        <f>ROUND(H117*I117,2)</f>
        <v/>
      </c>
      <c r="K117" s="1" t="inlineStr">
        <is>
          <t>2025-10</t>
        </is>
      </c>
      <c r="L117" s="1" t="n">
        <v>3704.81</v>
      </c>
      <c r="M117" s="1" t="inlineStr">
        <is>
          <t>4030</t>
        </is>
      </c>
      <c r="N117" s="1" t="inlineStr">
        <is>
          <t>Paid</t>
        </is>
      </c>
      <c r="O117" s="1" t="inlineStr">
        <is>
          <t>PO-CMS-2608</t>
        </is>
      </c>
    </row>
    <row r="118">
      <c r="A118" s="1" t="inlineStr">
        <is>
          <t>INV-2025-30117</t>
        </is>
      </c>
      <c r="B118" s="2" t="n">
        <v>45842</v>
      </c>
      <c r="C118" s="1" t="inlineStr">
        <is>
          <t>Bellweather Auto Group</t>
        </is>
      </c>
      <c r="D118" s="1" t="inlineStr">
        <is>
          <t>BWA-MSA-2023-75</t>
        </is>
      </c>
      <c r="E118" s="1" t="inlineStr">
        <is>
          <t>Autonomous mobile robot, 450 kg payload</t>
        </is>
      </c>
      <c r="F118" s="1" t="n">
        <v>14</v>
      </c>
      <c r="G118" s="1" t="n">
        <v>67500</v>
      </c>
      <c r="H118" s="1">
        <f>F118*G118</f>
        <v/>
      </c>
      <c r="I118" s="1" t="n">
        <v>0.06</v>
      </c>
      <c r="J118" s="1">
        <f>ROUND(H118*I118,2)</f>
        <v/>
      </c>
      <c r="K118" s="1" t="inlineStr">
        <is>
          <t>2025-08</t>
        </is>
      </c>
      <c r="L118" s="1" t="n">
        <v>0</v>
      </c>
      <c r="M118" s="1" t="inlineStr">
        <is>
          <t>4010</t>
        </is>
      </c>
      <c r="N118" s="1" t="inlineStr">
        <is>
          <t>Partially paid</t>
        </is>
      </c>
      <c r="O118" s="1" t="inlineStr">
        <is>
          <t>PO-BWA-2398</t>
        </is>
      </c>
    </row>
    <row r="119">
      <c r="A119" s="1" t="inlineStr">
        <is>
          <t>INV-2025-30118</t>
        </is>
      </c>
      <c r="B119" s="2" t="n">
        <v>45882</v>
      </c>
      <c r="C119" s="1" t="inlineStr">
        <is>
          <t>Alderbrook Textiles</t>
        </is>
      </c>
      <c r="D119" s="1" t="inlineStr">
        <is>
          <t>ABT-MSA-2022-15</t>
        </is>
      </c>
      <c r="E119" s="1" t="inlineStr">
        <is>
          <t>Telemetry retention tier, extended</t>
        </is>
      </c>
      <c r="F119" s="1" t="n">
        <v>3</v>
      </c>
      <c r="G119" s="1" t="n">
        <v>24500</v>
      </c>
      <c r="H119" s="1">
        <f>F119*G119</f>
        <v/>
      </c>
      <c r="I119" s="1" t="n">
        <v>0.0825</v>
      </c>
      <c r="J119" s="1">
        <f>ROUND(H119*I119,2)</f>
        <v/>
      </c>
      <c r="K119" s="1" t="inlineStr">
        <is>
          <t>2025-09</t>
        </is>
      </c>
      <c r="L119" s="1" t="n">
        <v>43365</v>
      </c>
      <c r="M119" s="1" t="inlineStr">
        <is>
          <t>4020</t>
        </is>
      </c>
      <c r="N119" s="1" t="inlineStr">
        <is>
          <t>Paid</t>
        </is>
      </c>
      <c r="O119" s="1" t="inlineStr">
        <is>
          <t>PO-ABT-1329</t>
        </is>
      </c>
    </row>
    <row r="120">
      <c r="A120" s="1" t="inlineStr">
        <is>
          <t>INV-2025-30119</t>
        </is>
      </c>
      <c r="B120" s="2" t="n">
        <v>45904</v>
      </c>
      <c r="C120" s="1" t="inlineStr">
        <is>
          <t>Dunbar Industrial</t>
        </is>
      </c>
      <c r="D120" s="1" t="inlineStr">
        <is>
          <t>DBI-MSA-2024-85</t>
        </is>
      </c>
      <c r="E120" s="1" t="inlineStr">
        <is>
          <t>Autonomous mobile robot, 220 kg payload</t>
        </is>
      </c>
      <c r="F120" s="1" t="n">
        <v>3</v>
      </c>
      <c r="G120" s="1" t="n">
        <v>41500</v>
      </c>
      <c r="H120" s="1">
        <f>F120*G120</f>
        <v/>
      </c>
      <c r="I120" s="1" t="n">
        <v>0.065</v>
      </c>
      <c r="J120" s="1">
        <f>ROUND(H120*I120,2)</f>
        <v/>
      </c>
      <c r="K120" s="1" t="inlineStr">
        <is>
          <t>2025-10</t>
        </is>
      </c>
      <c r="L120" s="1" t="n">
        <v>0</v>
      </c>
      <c r="M120" s="1" t="inlineStr">
        <is>
          <t>4010</t>
        </is>
      </c>
      <c r="N120" s="1" t="inlineStr">
        <is>
          <t>Paid</t>
        </is>
      </c>
      <c r="O120" s="1" t="inlineStr">
        <is>
          <t>PO-DBI-2833</t>
        </is>
      </c>
    </row>
    <row r="121">
      <c r="A121" s="1" t="inlineStr">
        <is>
          <t>INV-2025-30120</t>
        </is>
      </c>
      <c r="B121" s="2" t="n">
        <v>45869</v>
      </c>
      <c r="C121" s="1" t="inlineStr">
        <is>
          <t>Yarrow Home Goods</t>
        </is>
      </c>
      <c r="D121" s="1" t="inlineStr">
        <is>
          <t>YHG-MSA-2025-22</t>
        </is>
      </c>
      <c r="E121" s="1" t="inlineStr">
        <is>
          <t>Remote operations desk coverage</t>
        </is>
      </c>
      <c r="F121" s="1" t="n">
        <v>2</v>
      </c>
      <c r="G121" s="1" t="n">
        <v>12100</v>
      </c>
      <c r="H121" s="1">
        <f>F121*G121</f>
        <v/>
      </c>
      <c r="I121" s="1" t="n">
        <v>0.07000000000000001</v>
      </c>
      <c r="J121" s="1">
        <f>ROUND(H121*I121,2)</f>
        <v/>
      </c>
      <c r="K121" s="1" t="inlineStr">
        <is>
          <t>2025-08</t>
        </is>
      </c>
      <c r="L121" s="1" t="n">
        <v>14278</v>
      </c>
      <c r="M121" s="1" t="inlineStr">
        <is>
          <t>4020</t>
        </is>
      </c>
      <c r="N121" s="1" t="inlineStr">
        <is>
          <t>Disputed</t>
        </is>
      </c>
      <c r="O121" s="1" t="inlineStr">
        <is>
          <t>PO-YHG-5363</t>
        </is>
      </c>
    </row>
    <row r="122">
      <c r="A122" s="1" t="inlineStr">
        <is>
          <t>FY25Q3 Invoices subtotal</t>
        </is>
      </c>
      <c r="B122" s="1" t="inlineStr"/>
      <c r="C122" s="1" t="inlineStr"/>
      <c r="D122" s="1" t="inlineStr"/>
      <c r="E122" s="1" t="inlineStr"/>
      <c r="F122" s="1" t="inlineStr"/>
      <c r="G122" s="1" t="inlineStr"/>
      <c r="H122" s="1">
        <f>SUM(H2:H121)</f>
        <v/>
      </c>
      <c r="I122" s="1" t="inlineStr"/>
      <c r="J122" s="1">
        <f>SUM(J2:J121)</f>
        <v/>
      </c>
      <c r="K122" s="1" t="inlineStr"/>
      <c r="L122" s="1">
        <f>SUM(L2:L121)</f>
        <v/>
      </c>
      <c r="M122" s="1" t="inlineStr"/>
      <c r="N122" s="1" t="inlineStr">
        <is>
          <t>Subtotal</t>
        </is>
      </c>
      <c r="O122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invoice_date</t>
        </is>
      </c>
      <c r="C1" s="1" t="inlineStr">
        <is>
          <t>customer</t>
        </is>
      </c>
      <c r="D1" s="1" t="inlineStr">
        <is>
          <t>contract_ref</t>
        </is>
      </c>
      <c r="E1" s="1" t="inlineStr">
        <is>
          <t>line_description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extended_amount</t>
        </is>
      </c>
      <c r="I1" s="1" t="inlineStr">
        <is>
          <t>tax_rate</t>
        </is>
      </c>
      <c r="J1" s="1" t="inlineStr">
        <is>
          <t>tax_amount</t>
        </is>
      </c>
      <c r="K1" s="1" t="inlineStr">
        <is>
          <t>revenue_recognition_period</t>
        </is>
      </c>
      <c r="L1" s="1" t="inlineStr">
        <is>
          <t>deferred_portion</t>
        </is>
      </c>
      <c r="M1" s="1" t="inlineStr">
        <is>
          <t>gl_account</t>
        </is>
      </c>
      <c r="N1" s="1" t="inlineStr">
        <is>
          <t>status</t>
        </is>
      </c>
      <c r="O1" s="1" t="inlineStr">
        <is>
          <t>po_reference</t>
        </is>
      </c>
    </row>
    <row r="2">
      <c r="A2" s="1" t="inlineStr">
        <is>
          <t>INV-2025-40001</t>
        </is>
      </c>
      <c r="B2" s="2" t="n">
        <v>45968</v>
      </c>
      <c r="C2" s="1" t="inlineStr">
        <is>
          <t>Larkspur Apparel</t>
        </is>
      </c>
      <c r="D2" s="1" t="inlineStr">
        <is>
          <t>LKA-MSA-2023-40</t>
        </is>
      </c>
      <c r="E2" s="1" t="inlineStr">
        <is>
          <t>Warehouse management system connector</t>
        </is>
      </c>
      <c r="F2" s="1" t="n">
        <v>4</v>
      </c>
      <c r="G2" s="1" t="n">
        <v>38900</v>
      </c>
      <c r="H2" s="1">
        <f>F2*G2</f>
        <v/>
      </c>
      <c r="I2" s="1" t="n">
        <v>0.06</v>
      </c>
      <c r="J2" s="1">
        <f>ROUND(H2*I2,2)</f>
        <v/>
      </c>
      <c r="K2" s="1" t="inlineStr">
        <is>
          <t>2025-12</t>
        </is>
      </c>
      <c r="L2" s="1" t="n">
        <v>34232</v>
      </c>
      <c r="M2" s="1" t="inlineStr">
        <is>
          <t>4030</t>
        </is>
      </c>
      <c r="N2" s="1" t="inlineStr">
        <is>
          <t>Open</t>
        </is>
      </c>
      <c r="O2" s="1" t="inlineStr">
        <is>
          <t>PO-LKA-7708</t>
        </is>
      </c>
    </row>
    <row r="3">
      <c r="A3" s="1" t="inlineStr">
        <is>
          <t>INV-2025-40002</t>
        </is>
      </c>
      <c r="B3" s="2" t="n">
        <v>46022</v>
      </c>
      <c r="C3" s="1" t="inlineStr">
        <is>
          <t>Bellweather Auto Group</t>
        </is>
      </c>
      <c r="D3" s="1" t="inlineStr">
        <is>
          <t>BWA-MSA-2022-24</t>
        </is>
      </c>
      <c r="E3" s="1" t="inlineStr">
        <is>
          <t>Deployment and commissioning services</t>
        </is>
      </c>
      <c r="F3" s="1" t="n">
        <v>15</v>
      </c>
      <c r="G3" s="1" t="n">
        <v>1147</v>
      </c>
      <c r="H3" s="1">
        <f>F3*G3</f>
        <v/>
      </c>
      <c r="I3" s="1" t="n">
        <v>0.09</v>
      </c>
      <c r="J3" s="1">
        <f>ROUND(H3*I3,2)</f>
        <v/>
      </c>
      <c r="K3" s="1" t="inlineStr">
        <is>
          <t>2026-01</t>
        </is>
      </c>
      <c r="L3" s="1" t="n">
        <v>1720.5</v>
      </c>
      <c r="M3" s="1" t="inlineStr">
        <is>
          <t>4030</t>
        </is>
      </c>
      <c r="N3" s="1" t="inlineStr">
        <is>
          <t>Written off</t>
        </is>
      </c>
      <c r="O3" s="1" t="inlineStr">
        <is>
          <t>PO-BWA-3399</t>
        </is>
      </c>
    </row>
    <row r="4">
      <c r="A4" s="1" t="inlineStr">
        <is>
          <t>INV-2025-40003</t>
        </is>
      </c>
      <c r="B4" s="2" t="n">
        <v>45961</v>
      </c>
      <c r="C4" s="1" t="inlineStr">
        <is>
          <t>Northfield Beverage</t>
        </is>
      </c>
      <c r="D4" s="1" t="inlineStr">
        <is>
          <t>NFB-MSA-2025-78</t>
        </is>
      </c>
      <c r="E4" s="1" t="inlineStr">
        <is>
          <t>Telemetry retention tier, extended</t>
        </is>
      </c>
      <c r="F4" s="1" t="n">
        <v>1</v>
      </c>
      <c r="G4" s="1" t="n">
        <v>23600</v>
      </c>
      <c r="H4" s="1">
        <f>F4*G4</f>
        <v/>
      </c>
      <c r="I4" s="1" t="n">
        <v>0.065</v>
      </c>
      <c r="J4" s="1">
        <f>ROUND(H4*I4,2)</f>
        <v/>
      </c>
      <c r="K4" s="1" t="inlineStr">
        <is>
          <t>2025-11</t>
        </is>
      </c>
      <c r="L4" s="1" t="n">
        <v>16284</v>
      </c>
      <c r="M4" s="1" t="inlineStr">
        <is>
          <t>4020</t>
        </is>
      </c>
      <c r="N4" s="1" t="inlineStr">
        <is>
          <t>Written off</t>
        </is>
      </c>
      <c r="O4" s="1" t="inlineStr">
        <is>
          <t>PO-NFB-8073</t>
        </is>
      </c>
    </row>
    <row r="5">
      <c r="A5" s="1" t="inlineStr">
        <is>
          <t>INV-2025-40004</t>
        </is>
      </c>
      <c r="B5" s="2" t="n">
        <v>45989</v>
      </c>
      <c r="C5" s="1" t="inlineStr">
        <is>
          <t>Zephyr Air Cargo</t>
        </is>
      </c>
      <c r="D5" s="1" t="inlineStr">
        <is>
          <t>ZAC-MSA-2025-70</t>
        </is>
      </c>
      <c r="E5" s="1" t="inlineStr">
        <is>
          <t>Telemetry retention tier, extended</t>
        </is>
      </c>
      <c r="F5" s="1" t="n">
        <v>4</v>
      </c>
      <c r="G5" s="1" t="n">
        <v>24500</v>
      </c>
      <c r="H5" s="1">
        <f>F5*G5</f>
        <v/>
      </c>
      <c r="I5" s="1" t="n">
        <v>0.09</v>
      </c>
      <c r="J5" s="1">
        <f>ROUND(H5*I5,2)</f>
        <v/>
      </c>
      <c r="K5" s="1" t="inlineStr">
        <is>
          <t>2025-12</t>
        </is>
      </c>
      <c r="L5" s="1" t="n">
        <v>63700</v>
      </c>
      <c r="M5" s="1" t="inlineStr">
        <is>
          <t>4020</t>
        </is>
      </c>
      <c r="N5" s="1" t="inlineStr">
        <is>
          <t>Disputed</t>
        </is>
      </c>
      <c r="O5" s="1" t="inlineStr">
        <is>
          <t>PO-ZAC-6026</t>
        </is>
      </c>
    </row>
    <row r="6">
      <c r="A6" s="1" t="inlineStr">
        <is>
          <t>INV-2025-40005</t>
        </is>
      </c>
      <c r="B6" s="2" t="n">
        <v>45996</v>
      </c>
      <c r="C6" s="1" t="inlineStr">
        <is>
          <t>Keystone Paper &amp; Pack</t>
        </is>
      </c>
      <c r="D6" s="1" t="inlineStr">
        <is>
          <t>KPP-MSA-2022-34</t>
        </is>
      </c>
      <c r="E6" s="1" t="inlineStr">
        <is>
          <t>Telemetry retention tier, extended</t>
        </is>
      </c>
      <c r="F6" s="1" t="n">
        <v>1</v>
      </c>
      <c r="G6" s="1" t="n">
        <v>24500</v>
      </c>
      <c r="H6" s="1">
        <f>F6*G6</f>
        <v/>
      </c>
      <c r="I6" s="1" t="n">
        <v>0</v>
      </c>
      <c r="J6" s="1">
        <f>ROUND(H6*I6,2)</f>
        <v/>
      </c>
      <c r="K6" s="1" t="inlineStr">
        <is>
          <t>2026-01</t>
        </is>
      </c>
      <c r="L6" s="1" t="n">
        <v>14455</v>
      </c>
      <c r="M6" s="1" t="inlineStr">
        <is>
          <t>4020</t>
        </is>
      </c>
      <c r="N6" s="1" t="inlineStr">
        <is>
          <t>Paid</t>
        </is>
      </c>
      <c r="O6" s="1" t="inlineStr">
        <is>
          <t>PO-KPP-5472</t>
        </is>
      </c>
    </row>
    <row r="7">
      <c r="A7" s="1" t="inlineStr">
        <is>
          <t>INV-2025-40006</t>
        </is>
      </c>
      <c r="B7" s="2" t="n">
        <v>45961</v>
      </c>
      <c r="C7" s="1" t="inlineStr">
        <is>
          <t>Alderbrook Textiles</t>
        </is>
      </c>
      <c r="D7" s="1" t="inlineStr">
        <is>
          <t>ABT-MSA-2023-52</t>
        </is>
      </c>
      <c r="E7" s="1" t="inlineStr">
        <is>
          <t>Deployment and commissioning services</t>
        </is>
      </c>
      <c r="F7" s="1" t="n">
        <v>5</v>
      </c>
      <c r="G7" s="1" t="n">
        <v>1850</v>
      </c>
      <c r="H7" s="1">
        <f>F7*G7</f>
        <v/>
      </c>
      <c r="I7" s="1" t="n">
        <v>0</v>
      </c>
      <c r="J7" s="1">
        <f>ROUND(H7*I7,2)</f>
        <v/>
      </c>
      <c r="K7" s="1" t="inlineStr">
        <is>
          <t>2025-11</t>
        </is>
      </c>
      <c r="L7" s="1" t="n">
        <v>1387.5</v>
      </c>
      <c r="M7" s="1" t="inlineStr">
        <is>
          <t>4030</t>
        </is>
      </c>
      <c r="N7" s="1" t="inlineStr">
        <is>
          <t>Credit issued</t>
        </is>
      </c>
      <c r="O7" s="1" t="inlineStr">
        <is>
          <t>PO-ABT-2735</t>
        </is>
      </c>
    </row>
    <row r="8">
      <c r="A8" s="1" t="inlineStr">
        <is>
          <t>INV-2025-40007</t>
        </is>
      </c>
      <c r="B8" s="2" t="n">
        <v>45989</v>
      </c>
      <c r="C8" s="1" t="inlineStr">
        <is>
          <t>Zephyr Air Cargo</t>
        </is>
      </c>
      <c r="D8" s="1" t="inlineStr">
        <is>
          <t>ZAC-MSA-2024-30</t>
        </is>
      </c>
      <c r="E8" s="1" t="inlineStr">
        <is>
          <t>Remote operations desk coverage</t>
        </is>
      </c>
      <c r="F8" s="1" t="n">
        <v>4</v>
      </c>
      <c r="G8" s="1" t="n">
        <v>12600</v>
      </c>
      <c r="H8" s="1">
        <f>F8*G8</f>
        <v/>
      </c>
      <c r="I8" s="1" t="n">
        <v>0</v>
      </c>
      <c r="J8" s="1">
        <f>ROUND(H8*I8,2)</f>
        <v/>
      </c>
      <c r="K8" s="1" t="inlineStr">
        <is>
          <t>2025-12</t>
        </is>
      </c>
      <c r="L8" s="1" t="n">
        <v>35784</v>
      </c>
      <c r="M8" s="1" t="inlineStr">
        <is>
          <t>4020</t>
        </is>
      </c>
      <c r="N8" s="1" t="inlineStr">
        <is>
          <t>Paid</t>
        </is>
      </c>
      <c r="O8" s="1" t="inlineStr">
        <is>
          <t>PO-ZAC-2171</t>
        </is>
      </c>
    </row>
    <row r="9">
      <c r="A9" s="1" t="inlineStr">
        <is>
          <t>INV-2025-40008</t>
        </is>
      </c>
      <c r="B9" s="2" t="n">
        <v>45996</v>
      </c>
      <c r="C9" s="1" t="inlineStr">
        <is>
          <t>Ironvale Grocery Group</t>
        </is>
      </c>
      <c r="D9" s="1" t="inlineStr">
        <is>
          <t>IVG-MSA-2024-47</t>
        </is>
      </c>
      <c r="E9" s="1" t="inlineStr">
        <is>
          <t>Operator training programme</t>
        </is>
      </c>
      <c r="F9" s="1" t="n">
        <v>1</v>
      </c>
      <c r="G9" s="1" t="n">
        <v>4200</v>
      </c>
      <c r="H9" s="1">
        <f>F9*G9</f>
        <v/>
      </c>
      <c r="I9" s="1" t="n">
        <v>0.06</v>
      </c>
      <c r="J9" s="1">
        <f>ROUND(H9*I9,2)</f>
        <v/>
      </c>
      <c r="K9" s="1" t="inlineStr">
        <is>
          <t>2026-01</t>
        </is>
      </c>
      <c r="L9" s="1" t="n">
        <v>924</v>
      </c>
      <c r="M9" s="1" t="inlineStr">
        <is>
          <t>4030</t>
        </is>
      </c>
      <c r="N9" s="1" t="inlineStr">
        <is>
          <t>Partially paid</t>
        </is>
      </c>
      <c r="O9" s="1" t="inlineStr">
        <is>
          <t>PO-IVG-2095</t>
        </is>
      </c>
    </row>
    <row r="10">
      <c r="A10" s="1" t="inlineStr">
        <is>
          <t>INV-2025-40009</t>
        </is>
      </c>
      <c r="B10" s="2" t="n">
        <v>45959</v>
      </c>
      <c r="C10" s="1" t="inlineStr">
        <is>
          <t>Alderbrook Textiles</t>
        </is>
      </c>
      <c r="D10" s="1" t="inlineStr">
        <is>
          <t>ABT-MSA-2025-51</t>
        </is>
      </c>
      <c r="E10" s="1" t="inlineStr">
        <is>
          <t>Telemetry retention tier, extended</t>
        </is>
      </c>
      <c r="F10" s="1" t="n">
        <v>3</v>
      </c>
      <c r="G10" s="1" t="n">
        <v>23600</v>
      </c>
      <c r="H10" s="1">
        <f>F10*G10</f>
        <v/>
      </c>
      <c r="I10" s="1" t="n">
        <v>0.07000000000000001</v>
      </c>
      <c r="J10" s="1">
        <f>ROUND(H10*I10,2)</f>
        <v/>
      </c>
      <c r="K10" s="1" t="inlineStr">
        <is>
          <t>2025-11</t>
        </is>
      </c>
      <c r="L10" s="1" t="n">
        <v>44604</v>
      </c>
      <c r="M10" s="1" t="inlineStr">
        <is>
          <t>4020</t>
        </is>
      </c>
      <c r="N10" s="1" t="inlineStr">
        <is>
          <t>Open</t>
        </is>
      </c>
      <c r="O10" s="1" t="inlineStr">
        <is>
          <t>PO-ABT-9495</t>
        </is>
      </c>
    </row>
    <row r="11">
      <c r="A11" s="1" t="inlineStr">
        <is>
          <t>INV-2025-40010</t>
        </is>
      </c>
      <c r="B11" s="2" t="n">
        <v>45989</v>
      </c>
      <c r="C11" s="1" t="inlineStr">
        <is>
          <t>Ironvale Grocery Group</t>
        </is>
      </c>
      <c r="D11" s="1" t="inlineStr">
        <is>
          <t>IVG-MSA-2023-37</t>
        </is>
      </c>
      <c r="E11" s="1" t="inlineStr">
        <is>
          <t>Safety scanner retrofit kit</t>
        </is>
      </c>
      <c r="F11" s="1" t="n">
        <v>2</v>
      </c>
      <c r="G11" s="1" t="n">
        <v>5050</v>
      </c>
      <c r="H11" s="1">
        <f>F11*G11</f>
        <v/>
      </c>
      <c r="I11" s="1" t="n">
        <v>0.065</v>
      </c>
      <c r="J11" s="1">
        <f>ROUND(H11*I11,2)</f>
        <v/>
      </c>
      <c r="K11" s="1" t="inlineStr">
        <is>
          <t>2025-12</t>
        </is>
      </c>
      <c r="L11" s="1" t="n">
        <v>0</v>
      </c>
      <c r="M11" s="1" t="inlineStr">
        <is>
          <t>4010</t>
        </is>
      </c>
      <c r="N11" s="1" t="inlineStr">
        <is>
          <t>Credit issued</t>
        </is>
      </c>
      <c r="O11" s="1" t="inlineStr">
        <is>
          <t>PO-IVG-3804</t>
        </is>
      </c>
    </row>
    <row r="12">
      <c r="A12" s="1" t="inlineStr">
        <is>
          <t>INV-2025-40011</t>
        </is>
      </c>
      <c r="B12" s="2" t="n">
        <v>46020</v>
      </c>
      <c r="C12" s="1" t="inlineStr">
        <is>
          <t>Dorsey Grain Cooperative</t>
        </is>
      </c>
      <c r="D12" s="1" t="inlineStr">
        <is>
          <t>DGC-MSA-2022-53</t>
        </is>
      </c>
      <c r="E12" s="1" t="inlineStr">
        <is>
          <t>Deployment and commissioning services</t>
        </is>
      </c>
      <c r="F12" s="1" t="n">
        <v>37</v>
      </c>
      <c r="G12" s="1" t="n">
        <v>1600</v>
      </c>
      <c r="H12" s="1">
        <f>F12*G12</f>
        <v/>
      </c>
      <c r="I12" s="1" t="n">
        <v>0.0825</v>
      </c>
      <c r="J12" s="1">
        <f>ROUND(H12*I12,2)</f>
        <v/>
      </c>
      <c r="K12" s="1" t="inlineStr">
        <is>
          <t>2026-01</t>
        </is>
      </c>
      <c r="L12" s="1" t="n">
        <v>8288</v>
      </c>
      <c r="M12" s="1" t="inlineStr">
        <is>
          <t>4030</t>
        </is>
      </c>
      <c r="N12" s="1" t="inlineStr">
        <is>
          <t>Written off</t>
        </is>
      </c>
      <c r="O12" s="1" t="inlineStr">
        <is>
          <t>PO-DGC-9020</t>
        </is>
      </c>
    </row>
    <row r="13">
      <c r="A13" s="1" t="inlineStr">
        <is>
          <t>INV-2025-40012</t>
        </is>
      </c>
      <c r="B13" s="2" t="n">
        <v>45937</v>
      </c>
      <c r="C13" s="1" t="inlineStr">
        <is>
          <t>Elmsworth Publishing</t>
        </is>
      </c>
      <c r="D13" s="1" t="inlineStr">
        <is>
          <t>EWP-MSA-2024-62</t>
        </is>
      </c>
      <c r="E13" s="1" t="inlineStr">
        <is>
          <t>Autonomous mobile robot, 220 kg payload</t>
        </is>
      </c>
      <c r="F13" s="1" t="n">
        <v>13</v>
      </c>
      <c r="G13" s="1" t="n">
        <v>40600</v>
      </c>
      <c r="H13" s="1">
        <f>F13*G13</f>
        <v/>
      </c>
      <c r="I13" s="1" t="n">
        <v>0.065</v>
      </c>
      <c r="J13" s="1">
        <f>ROUND(H13*I13,2)</f>
        <v/>
      </c>
      <c r="K13" s="1" t="inlineStr">
        <is>
          <t>2025-11</t>
        </is>
      </c>
      <c r="L13" s="1" t="n">
        <v>0</v>
      </c>
      <c r="M13" s="1" t="inlineStr">
        <is>
          <t>4010</t>
        </is>
      </c>
      <c r="N13" s="1" t="inlineStr">
        <is>
          <t>Written off</t>
        </is>
      </c>
      <c r="O13" s="1" t="inlineStr">
        <is>
          <t>PO-EWP-3566</t>
        </is>
      </c>
    </row>
    <row r="14">
      <c r="A14" s="1" t="inlineStr">
        <is>
          <t>INV-2025-40013</t>
        </is>
      </c>
      <c r="B14" s="2" t="n">
        <v>45989</v>
      </c>
      <c r="C14" s="1" t="inlineStr">
        <is>
          <t>Quarrybridge Materials</t>
        </is>
      </c>
      <c r="D14" s="1" t="inlineStr">
        <is>
          <t>QBM-MSA-2023-63</t>
        </is>
      </c>
      <c r="E14" s="1" t="inlineStr">
        <is>
          <t>Autonomous mobile robot, 450 kg payload</t>
        </is>
      </c>
      <c r="F14" s="1" t="n">
        <v>10</v>
      </c>
      <c r="G14" s="1" t="n">
        <v>67900</v>
      </c>
      <c r="H14" s="1">
        <f>F14*G14</f>
        <v/>
      </c>
      <c r="I14" s="1" t="n">
        <v>0.06</v>
      </c>
      <c r="J14" s="1">
        <f>ROUND(H14*I14,2)</f>
        <v/>
      </c>
      <c r="K14" s="1" t="inlineStr">
        <is>
          <t>2025-12</t>
        </is>
      </c>
      <c r="L14" s="1" t="n">
        <v>0</v>
      </c>
      <c r="M14" s="1" t="inlineStr">
        <is>
          <t>4010</t>
        </is>
      </c>
      <c r="N14" s="1" t="inlineStr">
        <is>
          <t>Paid</t>
        </is>
      </c>
      <c r="O14" s="1" t="inlineStr">
        <is>
          <t>PO-QBM-4689</t>
        </is>
      </c>
    </row>
    <row r="15">
      <c r="A15" s="1" t="inlineStr">
        <is>
          <t>INV-2025-40014</t>
        </is>
      </c>
      <c r="B15" s="2" t="n">
        <v>46022</v>
      </c>
      <c r="C15" s="1" t="inlineStr">
        <is>
          <t>Asterion Logistics</t>
        </is>
      </c>
      <c r="D15" s="1" t="inlineStr">
        <is>
          <t>AST-MSA-2024-36</t>
        </is>
      </c>
      <c r="E15" s="1" t="inlineStr">
        <is>
          <t>Opportunity charging dock</t>
        </is>
      </c>
      <c r="F15" s="1" t="n">
        <v>12</v>
      </c>
      <c r="G15" s="1" t="n">
        <v>9600</v>
      </c>
      <c r="H15" s="1">
        <f>F15*G15</f>
        <v/>
      </c>
      <c r="I15" s="1" t="n">
        <v>0</v>
      </c>
      <c r="J15" s="1">
        <f>ROUND(H15*I15,2)</f>
        <v/>
      </c>
      <c r="K15" s="1" t="inlineStr">
        <is>
          <t>2026-01</t>
        </is>
      </c>
      <c r="L15" s="1" t="n">
        <v>0</v>
      </c>
      <c r="M15" s="1" t="inlineStr">
        <is>
          <t>4010</t>
        </is>
      </c>
      <c r="N15" s="1" t="inlineStr">
        <is>
          <t>Paid</t>
        </is>
      </c>
      <c r="O15" s="1" t="inlineStr">
        <is>
          <t>PO-AST-1589</t>
        </is>
      </c>
    </row>
    <row r="16">
      <c r="A16" s="1" t="inlineStr">
        <is>
          <t>INV-2025-40015</t>
        </is>
      </c>
      <c r="B16" s="2" t="n">
        <v>45960</v>
      </c>
      <c r="C16" s="1" t="inlineStr">
        <is>
          <t>Union Vale Pharma</t>
        </is>
      </c>
      <c r="D16" s="1" t="inlineStr">
        <is>
          <t>UVP-MSA-2023-34</t>
        </is>
      </c>
      <c r="E16" s="1" t="inlineStr">
        <is>
          <t>Telemetry retention tier, extended</t>
        </is>
      </c>
      <c r="F16" s="1" t="n">
        <v>1</v>
      </c>
      <c r="G16" s="1" t="n">
        <v>24500</v>
      </c>
      <c r="H16" s="1">
        <f>F16*G16</f>
        <v/>
      </c>
      <c r="I16" s="1" t="n">
        <v>0</v>
      </c>
      <c r="J16" s="1">
        <f>ROUND(H16*I16,2)</f>
        <v/>
      </c>
      <c r="K16" s="1" t="inlineStr">
        <is>
          <t>2025-11</t>
        </is>
      </c>
      <c r="L16" s="1" t="n">
        <v>13965</v>
      </c>
      <c r="M16" s="1" t="inlineStr">
        <is>
          <t>4020</t>
        </is>
      </c>
      <c r="N16" s="1" t="inlineStr">
        <is>
          <t>Partially paid</t>
        </is>
      </c>
      <c r="O16" s="1" t="inlineStr">
        <is>
          <t>PO-UVP-3434</t>
        </is>
      </c>
    </row>
    <row r="17">
      <c r="A17" s="1" t="inlineStr">
        <is>
          <t>INV-2025-40016</t>
        </is>
      </c>
      <c r="B17" s="2" t="n">
        <v>45982</v>
      </c>
      <c r="C17" s="1" t="inlineStr">
        <is>
          <t>Juniper Health Supply</t>
        </is>
      </c>
      <c r="D17" s="1" t="inlineStr">
        <is>
          <t>JHS-MSA-2022-82</t>
        </is>
      </c>
      <c r="E17" s="1" t="inlineStr">
        <is>
          <t>Remote operations desk coverage</t>
        </is>
      </c>
      <c r="F17" s="1" t="n">
        <v>2</v>
      </c>
      <c r="G17" s="1" t="n">
        <v>11200</v>
      </c>
      <c r="H17" s="1">
        <f>F17*G17</f>
        <v/>
      </c>
      <c r="I17" s="1" t="n">
        <v>0.065</v>
      </c>
      <c r="J17" s="1">
        <f>ROUND(H17*I17,2)</f>
        <v/>
      </c>
      <c r="K17" s="1" t="inlineStr">
        <is>
          <t>2025-12</t>
        </is>
      </c>
      <c r="L17" s="1" t="n">
        <v>17248</v>
      </c>
      <c r="M17" s="1" t="inlineStr">
        <is>
          <t>4020</t>
        </is>
      </c>
      <c r="N17" s="1" t="inlineStr">
        <is>
          <t>Paid</t>
        </is>
      </c>
      <c r="O17" s="1" t="inlineStr">
        <is>
          <t>PO-JHS-2032</t>
        </is>
      </c>
    </row>
    <row r="18">
      <c r="A18" s="1" t="inlineStr">
        <is>
          <t>INV-2025-40017</t>
        </is>
      </c>
      <c r="B18" s="2" t="n">
        <v>46021</v>
      </c>
      <c r="C18" s="1" t="inlineStr">
        <is>
          <t>Redwood Optics</t>
        </is>
      </c>
      <c r="D18" s="1" t="inlineStr">
        <is>
          <t>RWO-MSA-2024-61</t>
        </is>
      </c>
      <c r="E18" s="1" t="inlineStr">
        <is>
          <t>Fleet orchestration platform, annual site licence</t>
        </is>
      </c>
      <c r="F18" s="1" t="n">
        <v>1</v>
      </c>
      <c r="G18" s="1" t="n">
        <v>94600</v>
      </c>
      <c r="H18" s="1">
        <f>F18*G18</f>
        <v/>
      </c>
      <c r="I18" s="1" t="n">
        <v>0</v>
      </c>
      <c r="J18" s="1">
        <f>ROUND(H18*I18,2)</f>
        <v/>
      </c>
      <c r="K18" s="1" t="inlineStr">
        <is>
          <t>2026-01</t>
        </is>
      </c>
      <c r="L18" s="1" t="n">
        <v>67166</v>
      </c>
      <c r="M18" s="1" t="inlineStr">
        <is>
          <t>4020</t>
        </is>
      </c>
      <c r="N18" s="1" t="inlineStr">
        <is>
          <t>Open</t>
        </is>
      </c>
      <c r="O18" s="1" t="inlineStr">
        <is>
          <t>PO-RWO-3199</t>
        </is>
      </c>
    </row>
    <row r="19">
      <c r="A19" s="1" t="inlineStr">
        <is>
          <t>INV-2025-40018</t>
        </is>
      </c>
      <c r="B19" s="2" t="n">
        <v>45931</v>
      </c>
      <c r="C19" s="1" t="inlineStr">
        <is>
          <t>Meridian Dynamics</t>
        </is>
      </c>
      <c r="D19" s="1" t="inlineStr">
        <is>
          <t>MDY-MSA-2024-21</t>
        </is>
      </c>
      <c r="E19" s="1" t="inlineStr">
        <is>
          <t>Autonomous mobile robot, 450 kg payload</t>
        </is>
      </c>
      <c r="F19" s="1" t="n">
        <v>12</v>
      </c>
      <c r="G19" s="1" t="n">
        <v>67900</v>
      </c>
      <c r="H19" s="1">
        <f>F19*G19</f>
        <v/>
      </c>
      <c r="I19" s="1" t="n">
        <v>0.065</v>
      </c>
      <c r="J19" s="1">
        <f>ROUND(H19*I19,2)</f>
        <v/>
      </c>
      <c r="K19" s="1" t="inlineStr">
        <is>
          <t>2025-11</t>
        </is>
      </c>
      <c r="L19" s="1" t="n">
        <v>0</v>
      </c>
      <c r="M19" s="1" t="inlineStr">
        <is>
          <t>4010</t>
        </is>
      </c>
      <c r="N19" s="1" t="inlineStr">
        <is>
          <t>Paid</t>
        </is>
      </c>
      <c r="O19" s="1" t="inlineStr">
        <is>
          <t>PO-MDY-2419</t>
        </is>
      </c>
    </row>
    <row r="20">
      <c r="A20" s="1" t="inlineStr">
        <is>
          <t>INV-2025-40019</t>
        </is>
      </c>
      <c r="B20" s="2" t="n">
        <v>45989</v>
      </c>
      <c r="C20" s="1" t="inlineStr">
        <is>
          <t>Alderbrook Textiles</t>
        </is>
      </c>
      <c r="D20" s="1" t="inlineStr">
        <is>
          <t>ABT-MSA-2023-66</t>
        </is>
      </c>
      <c r="E20" s="1" t="inlineStr">
        <is>
          <t>Premium support and spares pool</t>
        </is>
      </c>
      <c r="F20" s="1" t="n">
        <v>4</v>
      </c>
      <c r="G20" s="1" t="n">
        <v>55900</v>
      </c>
      <c r="H20" s="1">
        <f>F20*G20</f>
        <v/>
      </c>
      <c r="I20" s="1" t="n">
        <v>0</v>
      </c>
      <c r="J20" s="1">
        <f>ROUND(H20*I20,2)</f>
        <v/>
      </c>
      <c r="K20" s="1" t="inlineStr">
        <is>
          <t>2025-12</t>
        </is>
      </c>
      <c r="L20" s="1" t="n">
        <v>140868</v>
      </c>
      <c r="M20" s="1" t="inlineStr">
        <is>
          <t>4020</t>
        </is>
      </c>
      <c r="N20" s="1" t="inlineStr">
        <is>
          <t>Paid</t>
        </is>
      </c>
      <c r="O20" s="1" t="inlineStr">
        <is>
          <t>PO-ABT-2047</t>
        </is>
      </c>
    </row>
    <row r="21">
      <c r="A21" s="1" t="inlineStr">
        <is>
          <t>INV-2025-40020</t>
        </is>
      </c>
      <c r="B21" s="2" t="n">
        <v>46022</v>
      </c>
      <c r="C21" s="1" t="inlineStr">
        <is>
          <t>Yarrow Home Goods</t>
        </is>
      </c>
      <c r="D21" s="1" t="inlineStr">
        <is>
          <t>YHG-MSA-2022-89</t>
        </is>
      </c>
      <c r="E21" s="1" t="inlineStr">
        <is>
          <t>Deployment and commissioning services</t>
        </is>
      </c>
      <c r="F21" s="1" t="n">
        <v>33</v>
      </c>
      <c r="G21" s="1" t="n">
        <v>1147</v>
      </c>
      <c r="H21" s="1">
        <f>F21*G21</f>
        <v/>
      </c>
      <c r="I21" s="1" t="n">
        <v>0.06</v>
      </c>
      <c r="J21" s="1">
        <f>ROUND(H21*I21,2)</f>
        <v/>
      </c>
      <c r="K21" s="1" t="inlineStr">
        <is>
          <t>2026-01</t>
        </is>
      </c>
      <c r="L21" s="1" t="n">
        <v>2271.06</v>
      </c>
      <c r="M21" s="1" t="inlineStr">
        <is>
          <t>4030</t>
        </is>
      </c>
      <c r="N21" s="1" t="inlineStr">
        <is>
          <t>Partially paid</t>
        </is>
      </c>
      <c r="O21" s="1" t="inlineStr">
        <is>
          <t>PO-YHG-2078</t>
        </is>
      </c>
    </row>
    <row r="22">
      <c r="A22" s="1" t="inlineStr">
        <is>
          <t>INV-2025-40021</t>
        </is>
      </c>
      <c r="B22" s="2" t="n">
        <v>45961</v>
      </c>
      <c r="C22" s="1" t="inlineStr">
        <is>
          <t>Tamarack Electronics</t>
        </is>
      </c>
      <c r="D22" s="1" t="inlineStr">
        <is>
          <t>TCE-MSA-2024-15</t>
        </is>
      </c>
      <c r="E22" s="1" t="inlineStr">
        <is>
          <t>Safety scanner retrofit kit</t>
        </is>
      </c>
      <c r="F22" s="1" t="n">
        <v>1</v>
      </c>
      <c r="G22" s="1" t="n">
        <v>5050</v>
      </c>
      <c r="H22" s="1">
        <f>F22*G22</f>
        <v/>
      </c>
      <c r="I22" s="1" t="n">
        <v>0.0475</v>
      </c>
      <c r="J22" s="1">
        <f>ROUND(H22*I22,2)</f>
        <v/>
      </c>
      <c r="K22" s="1" t="inlineStr">
        <is>
          <t>2025-11</t>
        </is>
      </c>
      <c r="L22" s="1" t="n">
        <v>0</v>
      </c>
      <c r="M22" s="1" t="inlineStr">
        <is>
          <t>4010</t>
        </is>
      </c>
      <c r="N22" s="1" t="inlineStr">
        <is>
          <t>Written off</t>
        </is>
      </c>
      <c r="O22" s="1" t="inlineStr">
        <is>
          <t>PO-TCE-8266</t>
        </is>
      </c>
    </row>
    <row r="23">
      <c r="A23" s="1" t="inlineStr">
        <is>
          <t>INV-2025-40022</t>
        </is>
      </c>
      <c r="B23" s="2" t="n">
        <v>45974</v>
      </c>
      <c r="C23" s="1" t="inlineStr">
        <is>
          <t>Larkspur Apparel</t>
        </is>
      </c>
      <c r="D23" s="1" t="inlineStr">
        <is>
          <t>LKA-MSA-2024-62</t>
        </is>
      </c>
      <c r="E23" s="1" t="inlineStr">
        <is>
          <t>Warehouse management system connector</t>
        </is>
      </c>
      <c r="F23" s="1" t="n">
        <v>3</v>
      </c>
      <c r="G23" s="1" t="n">
        <v>38900</v>
      </c>
      <c r="H23" s="1">
        <f>F23*G23</f>
        <v/>
      </c>
      <c r="I23" s="1" t="n">
        <v>0</v>
      </c>
      <c r="J23" s="1">
        <f>ROUND(H23*I23,2)</f>
        <v/>
      </c>
      <c r="K23" s="1" t="inlineStr">
        <is>
          <t>2025-12</t>
        </is>
      </c>
      <c r="L23" s="1" t="n">
        <v>0</v>
      </c>
      <c r="M23" s="1" t="inlineStr">
        <is>
          <t>4030</t>
        </is>
      </c>
      <c r="N23" s="1" t="inlineStr">
        <is>
          <t>Paid</t>
        </is>
      </c>
      <c r="O23" s="1" t="inlineStr">
        <is>
          <t>PO-LKA-7501</t>
        </is>
      </c>
    </row>
    <row r="24">
      <c r="A24" s="1" t="inlineStr">
        <is>
          <t>INV-2025-40023</t>
        </is>
      </c>
      <c r="B24" s="2" t="n">
        <v>46021</v>
      </c>
      <c r="C24" s="1" t="inlineStr">
        <is>
          <t>Alderbrook Textiles</t>
        </is>
      </c>
      <c r="D24" s="1" t="inlineStr">
        <is>
          <t>ABT-MSA-2024-84</t>
        </is>
      </c>
      <c r="E24" s="1" t="inlineStr">
        <is>
          <t>Warehouse management system connector</t>
        </is>
      </c>
      <c r="F24" s="1" t="n">
        <v>2</v>
      </c>
      <c r="G24" s="1" t="n">
        <v>37500</v>
      </c>
      <c r="H24" s="1">
        <f>F24*G24</f>
        <v/>
      </c>
      <c r="I24" s="1" t="n">
        <v>0.0825</v>
      </c>
      <c r="J24" s="1">
        <f>ROUND(H24*I24,2)</f>
        <v/>
      </c>
      <c r="K24" s="1" t="inlineStr">
        <is>
          <t>2026-01</t>
        </is>
      </c>
      <c r="L24" s="1" t="n">
        <v>9000</v>
      </c>
      <c r="M24" s="1" t="inlineStr">
        <is>
          <t>4030</t>
        </is>
      </c>
      <c r="N24" s="1" t="inlineStr">
        <is>
          <t>Disputed</t>
        </is>
      </c>
      <c r="O24" s="1" t="inlineStr">
        <is>
          <t>PO-ABT-1971</t>
        </is>
      </c>
    </row>
    <row r="25">
      <c r="A25" s="1" t="inlineStr">
        <is>
          <t>INV-2025-40024</t>
        </is>
      </c>
      <c r="B25" s="2" t="n">
        <v>45961</v>
      </c>
      <c r="C25" s="1" t="inlineStr">
        <is>
          <t>Pioneer Freight Union</t>
        </is>
      </c>
      <c r="D25" s="1" t="inlineStr">
        <is>
          <t>PFU-MSA-2023-84</t>
        </is>
      </c>
      <c r="E25" s="1" t="inlineStr">
        <is>
          <t>Warehouse management system connector</t>
        </is>
      </c>
      <c r="F25" s="1" t="n">
        <v>2</v>
      </c>
      <c r="G25" s="1" t="n">
        <v>38400</v>
      </c>
      <c r="H25" s="1">
        <f>F25*G25</f>
        <v/>
      </c>
      <c r="I25" s="1" t="n">
        <v>0</v>
      </c>
      <c r="J25" s="1">
        <f>ROUND(H25*I25,2)</f>
        <v/>
      </c>
      <c r="K25" s="1" t="inlineStr">
        <is>
          <t>2025-11</t>
        </is>
      </c>
      <c r="L25" s="1" t="n">
        <v>14592</v>
      </c>
      <c r="M25" s="1" t="inlineStr">
        <is>
          <t>4030</t>
        </is>
      </c>
      <c r="N25" s="1" t="inlineStr">
        <is>
          <t>Credit issued</t>
        </is>
      </c>
      <c r="O25" s="1" t="inlineStr">
        <is>
          <t>PO-PFU-4116</t>
        </is>
      </c>
    </row>
    <row r="26">
      <c r="A26" s="1" t="inlineStr">
        <is>
          <t>INV-2025-40025</t>
        </is>
      </c>
      <c r="B26" s="2" t="n">
        <v>45989</v>
      </c>
      <c r="C26" s="1" t="inlineStr">
        <is>
          <t>Asterion Logistics</t>
        </is>
      </c>
      <c r="D26" s="1" t="inlineStr">
        <is>
          <t>AST-MSA-2023-65</t>
        </is>
      </c>
      <c r="E26" s="1" t="inlineStr">
        <is>
          <t>Telemetry retention tier, extended</t>
        </is>
      </c>
      <c r="F26" s="1" t="n">
        <v>2</v>
      </c>
      <c r="G26" s="1" t="n">
        <v>24500</v>
      </c>
      <c r="H26" s="1">
        <f>F26*G26</f>
        <v/>
      </c>
      <c r="I26" s="1" t="n">
        <v>0.06</v>
      </c>
      <c r="J26" s="1">
        <f>ROUND(H26*I26,2)</f>
        <v/>
      </c>
      <c r="K26" s="1" t="inlineStr">
        <is>
          <t>2025-12</t>
        </is>
      </c>
      <c r="L26" s="1" t="n">
        <v>29890</v>
      </c>
      <c r="M26" s="1" t="inlineStr">
        <is>
          <t>4020</t>
        </is>
      </c>
      <c r="N26" s="1" t="inlineStr">
        <is>
          <t>Partially paid</t>
        </is>
      </c>
      <c r="O26" s="1" t="inlineStr">
        <is>
          <t>PO-AST-7328</t>
        </is>
      </c>
    </row>
    <row r="27">
      <c r="A27" s="1" t="inlineStr">
        <is>
          <t>INV-2025-40026</t>
        </is>
      </c>
      <c r="B27" s="2" t="n">
        <v>46021</v>
      </c>
      <c r="C27" s="1" t="inlineStr">
        <is>
          <t>Yarrow Home Goods</t>
        </is>
      </c>
      <c r="D27" s="1" t="inlineStr">
        <is>
          <t>YHG-MSA-2022-82</t>
        </is>
      </c>
      <c r="E27" s="1" t="inlineStr">
        <is>
          <t>Deployment and commissioning services</t>
        </is>
      </c>
      <c r="F27" s="1" t="n">
        <v>40</v>
      </c>
      <c r="G27" s="1" t="n">
        <v>1147</v>
      </c>
      <c r="H27" s="1">
        <f>F27*G27</f>
        <v/>
      </c>
      <c r="I27" s="1" t="n">
        <v>0.07000000000000001</v>
      </c>
      <c r="J27" s="1">
        <f>ROUND(H27*I27,2)</f>
        <v/>
      </c>
      <c r="K27" s="1" t="inlineStr">
        <is>
          <t>2026-01</t>
        </is>
      </c>
      <c r="L27" s="1" t="n">
        <v>458.8</v>
      </c>
      <c r="M27" s="1" t="inlineStr">
        <is>
          <t>4030</t>
        </is>
      </c>
      <c r="N27" s="1" t="inlineStr">
        <is>
          <t>Partially paid</t>
        </is>
      </c>
      <c r="O27" s="1" t="inlineStr">
        <is>
          <t>PO-YHG-2553</t>
        </is>
      </c>
    </row>
    <row r="28">
      <c r="A28" s="1" t="inlineStr">
        <is>
          <t>INV-2025-40027</t>
        </is>
      </c>
      <c r="B28" s="2" t="n">
        <v>45961</v>
      </c>
      <c r="C28" s="1" t="inlineStr">
        <is>
          <t>Yarrow Home Goods</t>
        </is>
      </c>
      <c r="D28" s="1" t="inlineStr">
        <is>
          <t>YHG-MSA-2022-43</t>
        </is>
      </c>
      <c r="E28" s="1" t="inlineStr">
        <is>
          <t>Opportunity charging dock</t>
        </is>
      </c>
      <c r="F28" s="1" t="n">
        <v>5</v>
      </c>
      <c r="G28" s="1" t="n">
        <v>9600</v>
      </c>
      <c r="H28" s="1">
        <f>F28*G28</f>
        <v/>
      </c>
      <c r="I28" s="1" t="n">
        <v>0.06</v>
      </c>
      <c r="J28" s="1">
        <f>ROUND(H28*I28,2)</f>
        <v/>
      </c>
      <c r="K28" s="1" t="inlineStr">
        <is>
          <t>2025-11</t>
        </is>
      </c>
      <c r="L28" s="1" t="n">
        <v>0</v>
      </c>
      <c r="M28" s="1" t="inlineStr">
        <is>
          <t>4010</t>
        </is>
      </c>
      <c r="N28" s="1" t="inlineStr">
        <is>
          <t>Partially paid</t>
        </is>
      </c>
      <c r="O28" s="1" t="inlineStr">
        <is>
          <t>PO-YHG-5871</t>
        </is>
      </c>
    </row>
    <row r="29">
      <c r="A29" s="1" t="inlineStr">
        <is>
          <t>INV-2025-40028</t>
        </is>
      </c>
      <c r="B29" s="2" t="n">
        <v>45989</v>
      </c>
      <c r="C29" s="1" t="inlineStr">
        <is>
          <t>Quarrybridge Materials</t>
        </is>
      </c>
      <c r="D29" s="1" t="inlineStr">
        <is>
          <t>QBM-MSA-2022-81</t>
        </is>
      </c>
      <c r="E29" s="1" t="inlineStr">
        <is>
          <t>Operator training programme</t>
        </is>
      </c>
      <c r="F29" s="1" t="n">
        <v>2</v>
      </c>
      <c r="G29" s="1" t="n">
        <v>3700</v>
      </c>
      <c r="H29" s="1">
        <f>F29*G29</f>
        <v/>
      </c>
      <c r="I29" s="1" t="n">
        <v>0.06</v>
      </c>
      <c r="J29" s="1">
        <f>ROUND(H29*I29,2)</f>
        <v/>
      </c>
      <c r="K29" s="1" t="inlineStr">
        <is>
          <t>2025-12</t>
        </is>
      </c>
      <c r="L29" s="1" t="n">
        <v>1110</v>
      </c>
      <c r="M29" s="1" t="inlineStr">
        <is>
          <t>4030</t>
        </is>
      </c>
      <c r="N29" s="1" t="inlineStr">
        <is>
          <t>Written off</t>
        </is>
      </c>
      <c r="O29" s="1" t="inlineStr">
        <is>
          <t>PO-QBM-3418</t>
        </is>
      </c>
    </row>
    <row r="30">
      <c r="A30" s="1" t="inlineStr">
        <is>
          <t>INV-2025-40029</t>
        </is>
      </c>
      <c r="B30" s="2" t="n">
        <v>46022</v>
      </c>
      <c r="C30" s="1" t="inlineStr">
        <is>
          <t>Harborline Systems</t>
        </is>
      </c>
      <c r="D30" s="1" t="inlineStr">
        <is>
          <t>HLS-MSA-2024-19</t>
        </is>
      </c>
      <c r="E30" s="1" t="inlineStr">
        <is>
          <t>Telemetry retention tier, extended</t>
        </is>
      </c>
      <c r="F30" s="1" t="n">
        <v>2</v>
      </c>
      <c r="G30" s="1" t="n">
        <v>24250</v>
      </c>
      <c r="H30" s="1">
        <f>F30*G30</f>
        <v/>
      </c>
      <c r="I30" s="1" t="n">
        <v>0</v>
      </c>
      <c r="J30" s="1">
        <f>ROUND(H30*I30,2)</f>
        <v/>
      </c>
      <c r="K30" s="1" t="inlineStr">
        <is>
          <t>2026-01</t>
        </is>
      </c>
      <c r="L30" s="1" t="n">
        <v>36375</v>
      </c>
      <c r="M30" s="1" t="inlineStr">
        <is>
          <t>4020</t>
        </is>
      </c>
      <c r="N30" s="1" t="inlineStr">
        <is>
          <t>Paid</t>
        </is>
      </c>
      <c r="O30" s="1" t="inlineStr">
        <is>
          <t>PO-HLS-9853</t>
        </is>
      </c>
    </row>
    <row r="31">
      <c r="A31" s="1" t="inlineStr">
        <is>
          <t>INV-2025-40030</t>
        </is>
      </c>
      <c r="B31" s="2" t="n">
        <v>45961</v>
      </c>
      <c r="C31" s="1" t="inlineStr">
        <is>
          <t>Orchard Grove Foods</t>
        </is>
      </c>
      <c r="D31" s="1" t="inlineStr">
        <is>
          <t>OGF-MSA-2025-68</t>
        </is>
      </c>
      <c r="E31" s="1" t="inlineStr">
        <is>
          <t>Fleet orchestration platform, annual site licence</t>
        </is>
      </c>
      <c r="F31" s="1" t="n">
        <v>2</v>
      </c>
      <c r="G31" s="1" t="n">
        <v>93800</v>
      </c>
      <c r="H31" s="1">
        <f>F31*G31</f>
        <v/>
      </c>
      <c r="I31" s="1" t="n">
        <v>0.0825</v>
      </c>
      <c r="J31" s="1">
        <f>ROUND(H31*I31,2)</f>
        <v/>
      </c>
      <c r="K31" s="1" t="inlineStr">
        <is>
          <t>2025-11</t>
        </is>
      </c>
      <c r="L31" s="1" t="n">
        <v>155708</v>
      </c>
      <c r="M31" s="1" t="inlineStr">
        <is>
          <t>4020</t>
        </is>
      </c>
      <c r="N31" s="1" t="inlineStr">
        <is>
          <t>Credit issued</t>
        </is>
      </c>
      <c r="O31" s="1" t="inlineStr">
        <is>
          <t>PO-OGF-7662</t>
        </is>
      </c>
    </row>
    <row r="32">
      <c r="A32" s="1" t="inlineStr">
        <is>
          <t>INV-2025-40031</t>
        </is>
      </c>
      <c r="B32" s="2" t="n">
        <v>45974</v>
      </c>
      <c r="C32" s="1" t="inlineStr">
        <is>
          <t>Union Vale Pharma</t>
        </is>
      </c>
      <c r="D32" s="1" t="inlineStr">
        <is>
          <t>UVP-MSA-2022-41</t>
        </is>
      </c>
      <c r="E32" s="1" t="inlineStr">
        <is>
          <t>Premium support and spares pool</t>
        </is>
      </c>
      <c r="F32" s="1" t="n">
        <v>3</v>
      </c>
      <c r="G32" s="1" t="n">
        <v>55100</v>
      </c>
      <c r="H32" s="1">
        <f>F32*G32</f>
        <v/>
      </c>
      <c r="I32" s="1" t="n">
        <v>0.065</v>
      </c>
      <c r="J32" s="1">
        <f>ROUND(H32*I32,2)</f>
        <v/>
      </c>
      <c r="K32" s="1" t="inlineStr">
        <is>
          <t>2025-12</t>
        </is>
      </c>
      <c r="L32" s="1" t="n">
        <v>107445</v>
      </c>
      <c r="M32" s="1" t="inlineStr">
        <is>
          <t>4020</t>
        </is>
      </c>
      <c r="N32" s="1" t="inlineStr">
        <is>
          <t>Paid</t>
        </is>
      </c>
      <c r="O32" s="1" t="inlineStr">
        <is>
          <t>PO-UVP-4773</t>
        </is>
      </c>
    </row>
    <row r="33">
      <c r="A33" s="1" t="inlineStr">
        <is>
          <t>INV-2025-40032</t>
        </is>
      </c>
      <c r="B33" s="2" t="n">
        <v>46021</v>
      </c>
      <c r="C33" s="1" t="inlineStr">
        <is>
          <t>Elmsworth Publishing</t>
        </is>
      </c>
      <c r="D33" s="1" t="inlineStr">
        <is>
          <t>EWP-MSA-2023-43</t>
        </is>
      </c>
      <c r="E33" s="1" t="inlineStr">
        <is>
          <t>Autonomous mobile robot, 450 kg payload</t>
        </is>
      </c>
      <c r="F33" s="1" t="n">
        <v>8</v>
      </c>
      <c r="G33" s="1" t="n">
        <v>67500</v>
      </c>
      <c r="H33" s="1">
        <f>F33*G33</f>
        <v/>
      </c>
      <c r="I33" s="1" t="n">
        <v>0.0475</v>
      </c>
      <c r="J33" s="1">
        <f>ROUND(H33*I33,2)</f>
        <v/>
      </c>
      <c r="K33" s="1" t="inlineStr">
        <is>
          <t>2026-01</t>
        </is>
      </c>
      <c r="L33" s="1" t="n">
        <v>0</v>
      </c>
      <c r="M33" s="1" t="inlineStr">
        <is>
          <t>4010</t>
        </is>
      </c>
      <c r="N33" s="1" t="inlineStr">
        <is>
          <t>Credit issued</t>
        </is>
      </c>
      <c r="O33" s="1" t="inlineStr">
        <is>
          <t>PO-EWP-7154</t>
        </is>
      </c>
    </row>
    <row r="34">
      <c r="A34" s="1" t="inlineStr">
        <is>
          <t>INV-2025-40033</t>
        </is>
      </c>
      <c r="B34" s="2" t="n">
        <v>45961</v>
      </c>
      <c r="C34" s="1" t="inlineStr">
        <is>
          <t>Tamarack Electronics</t>
        </is>
      </c>
      <c r="D34" s="1" t="inlineStr">
        <is>
          <t>TCE-MSA-2023-45</t>
        </is>
      </c>
      <c r="E34" s="1" t="inlineStr">
        <is>
          <t>Fleet orchestration expansion pack, per robot</t>
        </is>
      </c>
      <c r="F34" s="1" t="n">
        <v>122</v>
      </c>
      <c r="G34" s="1" t="n">
        <v>2250</v>
      </c>
      <c r="H34" s="1">
        <f>F34*G34</f>
        <v/>
      </c>
      <c r="I34" s="1" t="n">
        <v>0.065</v>
      </c>
      <c r="J34" s="1">
        <f>ROUND(H34*I34,2)</f>
        <v/>
      </c>
      <c r="K34" s="1" t="inlineStr">
        <is>
          <t>2025-11</t>
        </is>
      </c>
      <c r="L34" s="1" t="n">
        <v>203130</v>
      </c>
      <c r="M34" s="1" t="inlineStr">
        <is>
          <t>4020</t>
        </is>
      </c>
      <c r="N34" s="1" t="inlineStr">
        <is>
          <t>Partially paid</t>
        </is>
      </c>
      <c r="O34" s="1" t="inlineStr">
        <is>
          <t>PO-TCE-8690</t>
        </is>
      </c>
    </row>
    <row r="35">
      <c r="A35" s="1" t="inlineStr">
        <is>
          <t>INV-2025-40034</t>
        </is>
      </c>
      <c r="B35" s="2" t="n">
        <v>45979</v>
      </c>
      <c r="C35" s="1" t="inlineStr">
        <is>
          <t>Yarrow Home Goods</t>
        </is>
      </c>
      <c r="D35" s="1" t="inlineStr">
        <is>
          <t>YHG-MSA-2024-70</t>
        </is>
      </c>
      <c r="E35" s="1" t="inlineStr">
        <is>
          <t>Autonomous mobile robot, 220 kg payload</t>
        </is>
      </c>
      <c r="F35" s="1" t="n">
        <v>10</v>
      </c>
      <c r="G35" s="1" t="n">
        <v>41500</v>
      </c>
      <c r="H35" s="1">
        <f>F35*G35</f>
        <v/>
      </c>
      <c r="I35" s="1" t="n">
        <v>0.0475</v>
      </c>
      <c r="J35" s="1">
        <f>ROUND(H35*I35,2)</f>
        <v/>
      </c>
      <c r="K35" s="1" t="inlineStr">
        <is>
          <t>2025-12</t>
        </is>
      </c>
      <c r="L35" s="1" t="n">
        <v>0</v>
      </c>
      <c r="M35" s="1" t="inlineStr">
        <is>
          <t>4010</t>
        </is>
      </c>
      <c r="N35" s="1" t="inlineStr">
        <is>
          <t>Paid</t>
        </is>
      </c>
      <c r="O35" s="1" t="inlineStr">
        <is>
          <t>PO-YHG-7133</t>
        </is>
      </c>
    </row>
    <row r="36">
      <c r="A36" s="1" t="inlineStr">
        <is>
          <t>INV-2025-40035</t>
        </is>
      </c>
      <c r="B36" s="2" t="n">
        <v>46010</v>
      </c>
      <c r="C36" s="1" t="inlineStr">
        <is>
          <t>Keystone Paper &amp; Pack</t>
        </is>
      </c>
      <c r="D36" s="1" t="inlineStr">
        <is>
          <t>KPP-MSA-2024-29</t>
        </is>
      </c>
      <c r="E36" s="1" t="inlineStr">
        <is>
          <t>Autonomous mobile robot, 220 kg payload</t>
        </is>
      </c>
      <c r="F36" s="1" t="n">
        <v>12</v>
      </c>
      <c r="G36" s="1" t="n">
        <v>41500</v>
      </c>
      <c r="H36" s="1">
        <f>F36*G36</f>
        <v/>
      </c>
      <c r="I36" s="1" t="n">
        <v>0.0475</v>
      </c>
      <c r="J36" s="1">
        <f>ROUND(H36*I36,2)</f>
        <v/>
      </c>
      <c r="K36" s="1" t="inlineStr">
        <is>
          <t>2026-01</t>
        </is>
      </c>
      <c r="L36" s="1" t="n">
        <v>0</v>
      </c>
      <c r="M36" s="1" t="inlineStr">
        <is>
          <t>4010</t>
        </is>
      </c>
      <c r="N36" s="1" t="inlineStr">
        <is>
          <t>Disputed</t>
        </is>
      </c>
      <c r="O36" s="1" t="inlineStr">
        <is>
          <t>PO-KPP-4247</t>
        </is>
      </c>
    </row>
    <row r="37">
      <c r="A37" s="1" t="inlineStr">
        <is>
          <t>INV-2025-40036</t>
        </is>
      </c>
      <c r="B37" s="2" t="n">
        <v>45947</v>
      </c>
      <c r="C37" s="1" t="inlineStr">
        <is>
          <t>Westlake Chemical Depot</t>
        </is>
      </c>
      <c r="D37" s="1" t="inlineStr">
        <is>
          <t>WCD-MSA-2022-45</t>
        </is>
      </c>
      <c r="E37" s="1" t="inlineStr">
        <is>
          <t>Fleet orchestration platform, annual site licence</t>
        </is>
      </c>
      <c r="F37" s="1" t="n">
        <v>4</v>
      </c>
      <c r="G37" s="1" t="n">
        <v>95100</v>
      </c>
      <c r="H37" s="1">
        <f>F37*G37</f>
        <v/>
      </c>
      <c r="I37" s="1" t="n">
        <v>0</v>
      </c>
      <c r="J37" s="1">
        <f>ROUND(H37*I37,2)</f>
        <v/>
      </c>
      <c r="K37" s="1" t="inlineStr">
        <is>
          <t>2025-11</t>
        </is>
      </c>
      <c r="L37" s="1" t="n">
        <v>266280</v>
      </c>
      <c r="M37" s="1" t="inlineStr">
        <is>
          <t>4020</t>
        </is>
      </c>
      <c r="N37" s="1" t="inlineStr">
        <is>
          <t>Partially paid</t>
        </is>
      </c>
      <c r="O37" s="1" t="inlineStr">
        <is>
          <t>PO-WCD-8507</t>
        </is>
      </c>
    </row>
    <row r="38">
      <c r="A38" s="1" t="inlineStr">
        <is>
          <t>INV-2025-40037</t>
        </is>
      </c>
      <c r="B38" s="2" t="n">
        <v>45989</v>
      </c>
      <c r="C38" s="1" t="inlineStr">
        <is>
          <t>Zephyr Air Cargo</t>
        </is>
      </c>
      <c r="D38" s="1" t="inlineStr">
        <is>
          <t>ZAC-MSA-2024-82</t>
        </is>
      </c>
      <c r="E38" s="1" t="inlineStr">
        <is>
          <t>Fleet orchestration platform, annual site licence</t>
        </is>
      </c>
      <c r="F38" s="1" t="n">
        <v>4</v>
      </c>
      <c r="G38" s="1" t="n">
        <v>93800</v>
      </c>
      <c r="H38" s="1">
        <f>F38*G38</f>
        <v/>
      </c>
      <c r="I38" s="1" t="n">
        <v>0.07000000000000001</v>
      </c>
      <c r="J38" s="1">
        <f>ROUND(H38*I38,2)</f>
        <v/>
      </c>
      <c r="K38" s="1" t="inlineStr">
        <is>
          <t>2025-12</t>
        </is>
      </c>
      <c r="L38" s="1" t="n">
        <v>270144</v>
      </c>
      <c r="M38" s="1" t="inlineStr">
        <is>
          <t>4020</t>
        </is>
      </c>
      <c r="N38" s="1" t="inlineStr">
        <is>
          <t>Written off</t>
        </is>
      </c>
      <c r="O38" s="1" t="inlineStr">
        <is>
          <t>PO-ZAC-2798</t>
        </is>
      </c>
    </row>
    <row r="39">
      <c r="A39" s="1" t="inlineStr">
        <is>
          <t>INV-2025-40038</t>
        </is>
      </c>
      <c r="B39" s="2" t="n">
        <v>46003</v>
      </c>
      <c r="C39" s="1" t="inlineStr">
        <is>
          <t>Fathom Mobility</t>
        </is>
      </c>
      <c r="D39" s="1" t="inlineStr">
        <is>
          <t>FTM-MSA-2023-24</t>
        </is>
      </c>
      <c r="E39" s="1" t="inlineStr">
        <is>
          <t>Premium support and spares pool</t>
        </is>
      </c>
      <c r="F39" s="1" t="n">
        <v>1</v>
      </c>
      <c r="G39" s="1" t="n">
        <v>57300</v>
      </c>
      <c r="H39" s="1">
        <f>F39*G39</f>
        <v/>
      </c>
      <c r="I39" s="1" t="n">
        <v>0.0825</v>
      </c>
      <c r="J39" s="1">
        <f>ROUND(H39*I39,2)</f>
        <v/>
      </c>
      <c r="K39" s="1" t="inlineStr">
        <is>
          <t>2026-01</t>
        </is>
      </c>
      <c r="L39" s="1" t="n">
        <v>35526</v>
      </c>
      <c r="M39" s="1" t="inlineStr">
        <is>
          <t>4020</t>
        </is>
      </c>
      <c r="N39" s="1" t="inlineStr">
        <is>
          <t>Paid</t>
        </is>
      </c>
      <c r="O39" s="1" t="inlineStr">
        <is>
          <t>PO-FTM-9095</t>
        </is>
      </c>
    </row>
    <row r="40">
      <c r="A40" s="1" t="inlineStr">
        <is>
          <t>INV-2025-40039</t>
        </is>
      </c>
      <c r="B40" s="2" t="n">
        <v>45961</v>
      </c>
      <c r="C40" s="1" t="inlineStr">
        <is>
          <t>Union Vale Pharma</t>
        </is>
      </c>
      <c r="D40" s="1" t="inlineStr">
        <is>
          <t>UVP-MSA-2022-89</t>
        </is>
      </c>
      <c r="E40" s="1" t="inlineStr">
        <is>
          <t>Safety scanner retrofit kit</t>
        </is>
      </c>
      <c r="F40" s="1" t="n">
        <v>4</v>
      </c>
      <c r="G40" s="1" t="n">
        <v>5050</v>
      </c>
      <c r="H40" s="1">
        <f>F40*G40</f>
        <v/>
      </c>
      <c r="I40" s="1" t="n">
        <v>0.0825</v>
      </c>
      <c r="J40" s="1">
        <f>ROUND(H40*I40,2)</f>
        <v/>
      </c>
      <c r="K40" s="1" t="inlineStr">
        <is>
          <t>2025-11</t>
        </is>
      </c>
      <c r="L40" s="1" t="n">
        <v>0</v>
      </c>
      <c r="M40" s="1" t="inlineStr">
        <is>
          <t>4010</t>
        </is>
      </c>
      <c r="N40" s="1" t="inlineStr">
        <is>
          <t>Partially paid</t>
        </is>
      </c>
      <c r="O40" s="1" t="inlineStr">
        <is>
          <t>PO-UVP-6649</t>
        </is>
      </c>
    </row>
    <row r="41">
      <c r="A41" s="1" t="inlineStr">
        <is>
          <t>INV-2025-40040</t>
        </is>
      </c>
      <c r="B41" s="2" t="n">
        <v>45975</v>
      </c>
      <c r="C41" s="1" t="inlineStr">
        <is>
          <t>Bellweather Auto Group</t>
        </is>
      </c>
      <c r="D41" s="1" t="inlineStr">
        <is>
          <t>BWA-MSA-2024-13</t>
        </is>
      </c>
      <c r="E41" s="1" t="inlineStr">
        <is>
          <t>Remote operations desk coverage</t>
        </is>
      </c>
      <c r="F41" s="1" t="n">
        <v>4</v>
      </c>
      <c r="G41" s="1" t="n">
        <v>12100</v>
      </c>
      <c r="H41" s="1">
        <f>F41*G41</f>
        <v/>
      </c>
      <c r="I41" s="1" t="n">
        <v>0.07000000000000001</v>
      </c>
      <c r="J41" s="1">
        <f>ROUND(H41*I41,2)</f>
        <v/>
      </c>
      <c r="K41" s="1" t="inlineStr">
        <is>
          <t>2025-12</t>
        </is>
      </c>
      <c r="L41" s="1" t="n">
        <v>32428</v>
      </c>
      <c r="M41" s="1" t="inlineStr">
        <is>
          <t>4020</t>
        </is>
      </c>
      <c r="N41" s="1" t="inlineStr">
        <is>
          <t>Credit issued</t>
        </is>
      </c>
      <c r="O41" s="1" t="inlineStr">
        <is>
          <t>PO-BWA-4170</t>
        </is>
      </c>
    </row>
    <row r="42">
      <c r="A42" s="1" t="inlineStr">
        <is>
          <t>INV-2025-40041</t>
        </is>
      </c>
      <c r="B42" s="2" t="n">
        <v>46021</v>
      </c>
      <c r="C42" s="1" t="inlineStr">
        <is>
          <t>Vantage Robotics Supply</t>
        </is>
      </c>
      <c r="D42" s="1" t="inlineStr">
        <is>
          <t>VRS-MSA-2023-89</t>
        </is>
      </c>
      <c r="E42" s="1" t="inlineStr">
        <is>
          <t>Warehouse management system connector</t>
        </is>
      </c>
      <c r="F42" s="1" t="n">
        <v>1</v>
      </c>
      <c r="G42" s="1" t="n">
        <v>37500</v>
      </c>
      <c r="H42" s="1">
        <f>F42*G42</f>
        <v/>
      </c>
      <c r="I42" s="1" t="n">
        <v>0</v>
      </c>
      <c r="J42" s="1">
        <f>ROUND(H42*I42,2)</f>
        <v/>
      </c>
      <c r="K42" s="1" t="inlineStr">
        <is>
          <t>2026-01</t>
        </is>
      </c>
      <c r="L42" s="1" t="n">
        <v>2250</v>
      </c>
      <c r="M42" s="1" t="inlineStr">
        <is>
          <t>4030</t>
        </is>
      </c>
      <c r="N42" s="1" t="inlineStr">
        <is>
          <t>Disputed</t>
        </is>
      </c>
      <c r="O42" s="1" t="inlineStr">
        <is>
          <t>PO-VRS-1684</t>
        </is>
      </c>
    </row>
    <row r="43">
      <c r="A43" s="1" t="inlineStr">
        <is>
          <t>INV-2025-40042</t>
        </is>
      </c>
      <c r="B43" s="2" t="n">
        <v>45959</v>
      </c>
      <c r="C43" s="1" t="inlineStr">
        <is>
          <t>Quarrybridge Materials</t>
        </is>
      </c>
      <c r="D43" s="1" t="inlineStr">
        <is>
          <t>QBM-MSA-2022-27</t>
        </is>
      </c>
      <c r="E43" s="1" t="inlineStr">
        <is>
          <t>Warehouse management system connector</t>
        </is>
      </c>
      <c r="F43" s="1" t="n">
        <v>3</v>
      </c>
      <c r="G43" s="1" t="n">
        <v>38400</v>
      </c>
      <c r="H43" s="1">
        <f>F43*G43</f>
        <v/>
      </c>
      <c r="I43" s="1" t="n">
        <v>0.07000000000000001</v>
      </c>
      <c r="J43" s="1">
        <f>ROUND(H43*I43,2)</f>
        <v/>
      </c>
      <c r="K43" s="1" t="inlineStr">
        <is>
          <t>2025-11</t>
        </is>
      </c>
      <c r="L43" s="1" t="n">
        <v>11520</v>
      </c>
      <c r="M43" s="1" t="inlineStr">
        <is>
          <t>4030</t>
        </is>
      </c>
      <c r="N43" s="1" t="inlineStr">
        <is>
          <t>Paid</t>
        </is>
      </c>
      <c r="O43" s="1" t="inlineStr">
        <is>
          <t>PO-QBM-6083</t>
        </is>
      </c>
    </row>
    <row r="44">
      <c r="A44" s="1" t="inlineStr">
        <is>
          <t>INV-2025-40043</t>
        </is>
      </c>
      <c r="B44" s="2" t="n">
        <v>45980</v>
      </c>
      <c r="C44" s="1" t="inlineStr">
        <is>
          <t>Harborline Systems</t>
        </is>
      </c>
      <c r="D44" s="1" t="inlineStr">
        <is>
          <t>HLS-MSA-2023-50</t>
        </is>
      </c>
      <c r="E44" s="1" t="inlineStr">
        <is>
          <t>Telemetry retention tier, extended</t>
        </is>
      </c>
      <c r="F44" s="1" t="n">
        <v>3</v>
      </c>
      <c r="G44" s="1" t="n">
        <v>23600</v>
      </c>
      <c r="H44" s="1">
        <f>F44*G44</f>
        <v/>
      </c>
      <c r="I44" s="1" t="n">
        <v>0.07000000000000001</v>
      </c>
      <c r="J44" s="1">
        <f>ROUND(H44*I44,2)</f>
        <v/>
      </c>
      <c r="K44" s="1" t="inlineStr">
        <is>
          <t>2025-12</t>
        </is>
      </c>
      <c r="L44" s="1" t="n">
        <v>40356</v>
      </c>
      <c r="M44" s="1" t="inlineStr">
        <is>
          <t>4020</t>
        </is>
      </c>
      <c r="N44" s="1" t="inlineStr">
        <is>
          <t>Paid</t>
        </is>
      </c>
      <c r="O44" s="1" t="inlineStr">
        <is>
          <t>PO-HLS-6868</t>
        </is>
      </c>
    </row>
    <row r="45">
      <c r="A45" s="1" t="inlineStr">
        <is>
          <t>INV-2025-40044</t>
        </is>
      </c>
      <c r="B45" s="2" t="n">
        <v>46021</v>
      </c>
      <c r="C45" s="1" t="inlineStr">
        <is>
          <t>Orchard Grove Foods</t>
        </is>
      </c>
      <c r="D45" s="1" t="inlineStr">
        <is>
          <t>OGF-MSA-2024-72</t>
        </is>
      </c>
      <c r="E45" s="1" t="inlineStr">
        <is>
          <t>Remote operations desk coverage</t>
        </is>
      </c>
      <c r="F45" s="1" t="n">
        <v>4</v>
      </c>
      <c r="G45" s="1" t="n">
        <v>12600</v>
      </c>
      <c r="H45" s="1">
        <f>F45*G45</f>
        <v/>
      </c>
      <c r="I45" s="1" t="n">
        <v>0</v>
      </c>
      <c r="J45" s="1">
        <f>ROUND(H45*I45,2)</f>
        <v/>
      </c>
      <c r="K45" s="1" t="inlineStr">
        <is>
          <t>2026-01</t>
        </is>
      </c>
      <c r="L45" s="1" t="n">
        <v>39816</v>
      </c>
      <c r="M45" s="1" t="inlineStr">
        <is>
          <t>4020</t>
        </is>
      </c>
      <c r="N45" s="1" t="inlineStr">
        <is>
          <t>Disputed</t>
        </is>
      </c>
      <c r="O45" s="1" t="inlineStr">
        <is>
          <t>PO-OGF-7219</t>
        </is>
      </c>
    </row>
    <row r="46">
      <c r="A46" s="1" t="inlineStr">
        <is>
          <t>INV-2025-40045</t>
        </is>
      </c>
      <c r="B46" s="2" t="n">
        <v>45959</v>
      </c>
      <c r="C46" s="1" t="inlineStr">
        <is>
          <t>Pioneer Freight Union</t>
        </is>
      </c>
      <c r="D46" s="1" t="inlineStr">
        <is>
          <t>PFU-MSA-2025-18</t>
        </is>
      </c>
      <c r="E46" s="1" t="inlineStr">
        <is>
          <t>Fleet orchestration expansion pack, per robot</t>
        </is>
      </c>
      <c r="F46" s="1" t="n">
        <v>71</v>
      </c>
      <c r="G46" s="1" t="n">
        <v>2650</v>
      </c>
      <c r="H46" s="1">
        <f>F46*G46</f>
        <v/>
      </c>
      <c r="I46" s="1" t="n">
        <v>0.09</v>
      </c>
      <c r="J46" s="1">
        <f>ROUND(H46*I46,2)</f>
        <v/>
      </c>
      <c r="K46" s="1" t="inlineStr">
        <is>
          <t>2025-11</t>
        </is>
      </c>
      <c r="L46" s="1" t="n">
        <v>156164.5</v>
      </c>
      <c r="M46" s="1" t="inlineStr">
        <is>
          <t>4020</t>
        </is>
      </c>
      <c r="N46" s="1" t="inlineStr">
        <is>
          <t>Paid</t>
        </is>
      </c>
      <c r="O46" s="1" t="inlineStr">
        <is>
          <t>PO-PFU-3403</t>
        </is>
      </c>
    </row>
    <row r="47">
      <c r="A47" s="1" t="inlineStr">
        <is>
          <t>INV-2025-40046</t>
        </is>
      </c>
      <c r="B47" s="2" t="n">
        <v>45989</v>
      </c>
      <c r="C47" s="1" t="inlineStr">
        <is>
          <t>Harborline Systems</t>
        </is>
      </c>
      <c r="D47" s="1" t="inlineStr">
        <is>
          <t>HLS-MSA-2024-43</t>
        </is>
      </c>
      <c r="E47" s="1" t="inlineStr">
        <is>
          <t>Autonomous mobile robot, 450 kg payload</t>
        </is>
      </c>
      <c r="F47" s="1" t="n">
        <v>8</v>
      </c>
      <c r="G47" s="1" t="n">
        <v>68150</v>
      </c>
      <c r="H47" s="1">
        <f>F47*G47</f>
        <v/>
      </c>
      <c r="I47" s="1" t="n">
        <v>0.07000000000000001</v>
      </c>
      <c r="J47" s="1">
        <f>ROUND(H47*I47,2)</f>
        <v/>
      </c>
      <c r="K47" s="1" t="inlineStr">
        <is>
          <t>2025-12</t>
        </is>
      </c>
      <c r="L47" s="1" t="n">
        <v>0</v>
      </c>
      <c r="M47" s="1" t="inlineStr">
        <is>
          <t>4010</t>
        </is>
      </c>
      <c r="N47" s="1" t="inlineStr">
        <is>
          <t>Credit issued</t>
        </is>
      </c>
      <c r="O47" s="1" t="inlineStr">
        <is>
          <t>PO-HLS-3231</t>
        </is>
      </c>
    </row>
    <row r="48">
      <c r="A48" s="1" t="inlineStr">
        <is>
          <t>INV-2025-40047</t>
        </is>
      </c>
      <c r="B48" s="2" t="n">
        <v>46010</v>
      </c>
      <c r="C48" s="1" t="inlineStr">
        <is>
          <t>Larkspur Apparel</t>
        </is>
      </c>
      <c r="D48" s="1" t="inlineStr">
        <is>
          <t>LKA-MSA-2023-31</t>
        </is>
      </c>
      <c r="E48" s="1" t="inlineStr">
        <is>
          <t>Safety scanner retrofit kit</t>
        </is>
      </c>
      <c r="F48" s="1" t="n">
        <v>4</v>
      </c>
      <c r="G48" s="1" t="n">
        <v>7250</v>
      </c>
      <c r="H48" s="1">
        <f>F48*G48</f>
        <v/>
      </c>
      <c r="I48" s="1" t="n">
        <v>0.09</v>
      </c>
      <c r="J48" s="1">
        <f>ROUND(H48*I48,2)</f>
        <v/>
      </c>
      <c r="K48" s="1" t="inlineStr">
        <is>
          <t>2026-01</t>
        </is>
      </c>
      <c r="L48" s="1" t="n">
        <v>0</v>
      </c>
      <c r="M48" s="1" t="inlineStr">
        <is>
          <t>4010</t>
        </is>
      </c>
      <c r="N48" s="1" t="inlineStr">
        <is>
          <t>Paid</t>
        </is>
      </c>
      <c r="O48" s="1" t="inlineStr">
        <is>
          <t>PO-LKA-8532</t>
        </is>
      </c>
    </row>
    <row r="49">
      <c r="A49" s="1" t="inlineStr">
        <is>
          <t>INV-2025-40048</t>
        </is>
      </c>
      <c r="B49" s="2" t="n">
        <v>45961</v>
      </c>
      <c r="C49" s="1" t="inlineStr">
        <is>
          <t>Juniper Health Supply</t>
        </is>
      </c>
      <c r="D49" s="1" t="inlineStr">
        <is>
          <t>JHS-MSA-2023-23</t>
        </is>
      </c>
      <c r="E49" s="1" t="inlineStr">
        <is>
          <t>Fleet orchestration expansion pack, per robot</t>
        </is>
      </c>
      <c r="F49" s="1" t="n">
        <v>150</v>
      </c>
      <c r="G49" s="1" t="n">
        <v>2650</v>
      </c>
      <c r="H49" s="1">
        <f>F49*G49</f>
        <v/>
      </c>
      <c r="I49" s="1" t="n">
        <v>0</v>
      </c>
      <c r="J49" s="1">
        <f>ROUND(H49*I49,2)</f>
        <v/>
      </c>
      <c r="K49" s="1" t="inlineStr">
        <is>
          <t>2025-11</t>
        </is>
      </c>
      <c r="L49" s="1" t="n">
        <v>278250</v>
      </c>
      <c r="M49" s="1" t="inlineStr">
        <is>
          <t>4020</t>
        </is>
      </c>
      <c r="N49" s="1" t="inlineStr">
        <is>
          <t>Written off</t>
        </is>
      </c>
      <c r="O49" s="1" t="inlineStr">
        <is>
          <t>PO-JHS-7759</t>
        </is>
      </c>
    </row>
    <row r="50">
      <c r="A50" s="1" t="inlineStr">
        <is>
          <t>INV-2025-40049</t>
        </is>
      </c>
      <c r="B50" s="2" t="n">
        <v>45982</v>
      </c>
      <c r="C50" s="1" t="inlineStr">
        <is>
          <t>Evergreen Warehousing</t>
        </is>
      </c>
      <c r="D50" s="1" t="inlineStr">
        <is>
          <t>EVW-MSA-2023-34</t>
        </is>
      </c>
      <c r="E50" s="1" t="inlineStr">
        <is>
          <t>Warehouse management system connector</t>
        </is>
      </c>
      <c r="F50" s="1" t="n">
        <v>1</v>
      </c>
      <c r="G50" s="1" t="n">
        <v>38000</v>
      </c>
      <c r="H50" s="1">
        <f>F50*G50</f>
        <v/>
      </c>
      <c r="I50" s="1" t="n">
        <v>0.07000000000000001</v>
      </c>
      <c r="J50" s="1">
        <f>ROUND(H50*I50,2)</f>
        <v/>
      </c>
      <c r="K50" s="1" t="inlineStr">
        <is>
          <t>2025-12</t>
        </is>
      </c>
      <c r="L50" s="1" t="n">
        <v>1900</v>
      </c>
      <c r="M50" s="1" t="inlineStr">
        <is>
          <t>4030</t>
        </is>
      </c>
      <c r="N50" s="1" t="inlineStr">
        <is>
          <t>Paid</t>
        </is>
      </c>
      <c r="O50" s="1" t="inlineStr">
        <is>
          <t>PO-EVW-3684</t>
        </is>
      </c>
    </row>
    <row r="51">
      <c r="A51" s="1" t="inlineStr">
        <is>
          <t>INV-2025-40050</t>
        </is>
      </c>
      <c r="B51" s="2" t="n">
        <v>46022</v>
      </c>
      <c r="C51" s="1" t="inlineStr">
        <is>
          <t>Calder Marine Supply</t>
        </is>
      </c>
      <c r="D51" s="1" t="inlineStr">
        <is>
          <t>CMS-MSA-2025-82</t>
        </is>
      </c>
      <c r="E51" s="1" t="inlineStr">
        <is>
          <t>Autonomous mobile robot, 220 kg payload</t>
        </is>
      </c>
      <c r="F51" s="1" t="n">
        <v>7</v>
      </c>
      <c r="G51" s="1" t="n">
        <v>41250</v>
      </c>
      <c r="H51" s="1">
        <f>F51*G51</f>
        <v/>
      </c>
      <c r="I51" s="1" t="n">
        <v>0</v>
      </c>
      <c r="J51" s="1">
        <f>ROUND(H51*I51,2)</f>
        <v/>
      </c>
      <c r="K51" s="1" t="inlineStr">
        <is>
          <t>2026-01</t>
        </is>
      </c>
      <c r="L51" s="1" t="n">
        <v>0</v>
      </c>
      <c r="M51" s="1" t="inlineStr">
        <is>
          <t>4010</t>
        </is>
      </c>
      <c r="N51" s="1" t="inlineStr">
        <is>
          <t>Open</t>
        </is>
      </c>
      <c r="O51" s="1" t="inlineStr">
        <is>
          <t>PO-CMS-2647</t>
        </is>
      </c>
    </row>
    <row r="52">
      <c r="A52" s="1" t="inlineStr">
        <is>
          <t>INV-2025-40051</t>
        </is>
      </c>
      <c r="B52" s="2" t="n">
        <v>45959</v>
      </c>
      <c r="C52" s="1" t="inlineStr">
        <is>
          <t>Ironvale Grocery Group</t>
        </is>
      </c>
      <c r="D52" s="1" t="inlineStr">
        <is>
          <t>IVG-MSA-2025-30</t>
        </is>
      </c>
      <c r="E52" s="1" t="inlineStr">
        <is>
          <t>Fleet orchestration platform, annual site licence</t>
        </is>
      </c>
      <c r="F52" s="1" t="n">
        <v>2</v>
      </c>
      <c r="G52" s="1" t="n">
        <v>96000</v>
      </c>
      <c r="H52" s="1">
        <f>F52*G52</f>
        <v/>
      </c>
      <c r="I52" s="1" t="n">
        <v>0.07000000000000001</v>
      </c>
      <c r="J52" s="1">
        <f>ROUND(H52*I52,2)</f>
        <v/>
      </c>
      <c r="K52" s="1" t="inlineStr">
        <is>
          <t>2025-11</t>
        </is>
      </c>
      <c r="L52" s="1" t="n">
        <v>128640</v>
      </c>
      <c r="M52" s="1" t="inlineStr">
        <is>
          <t>4020</t>
        </is>
      </c>
      <c r="N52" s="1" t="inlineStr">
        <is>
          <t>Paid</t>
        </is>
      </c>
      <c r="O52" s="1" t="inlineStr">
        <is>
          <t>PO-IVG-5687</t>
        </is>
      </c>
    </row>
    <row r="53">
      <c r="A53" s="1" t="inlineStr">
        <is>
          <t>INV-2025-40052</t>
        </is>
      </c>
      <c r="B53" s="2" t="n">
        <v>45989</v>
      </c>
      <c r="C53" s="1" t="inlineStr">
        <is>
          <t>Dorsey Grain Cooperative</t>
        </is>
      </c>
      <c r="D53" s="1" t="inlineStr">
        <is>
          <t>DGC-MSA-2022-53</t>
        </is>
      </c>
      <c r="E53" s="1" t="inlineStr">
        <is>
          <t>Fleet orchestration platform, annual site licence</t>
        </is>
      </c>
      <c r="F53" s="1" t="n">
        <v>3</v>
      </c>
      <c r="G53" s="1" t="n">
        <v>95100</v>
      </c>
      <c r="H53" s="1">
        <f>F53*G53</f>
        <v/>
      </c>
      <c r="I53" s="1" t="n">
        <v>0.065</v>
      </c>
      <c r="J53" s="1">
        <f>ROUND(H53*I53,2)</f>
        <v/>
      </c>
      <c r="K53" s="1" t="inlineStr">
        <is>
          <t>2025-12</t>
        </is>
      </c>
      <c r="L53" s="1" t="n">
        <v>239652</v>
      </c>
      <c r="M53" s="1" t="inlineStr">
        <is>
          <t>4020</t>
        </is>
      </c>
      <c r="N53" s="1" t="inlineStr">
        <is>
          <t>Partially paid</t>
        </is>
      </c>
      <c r="O53" s="1" t="inlineStr">
        <is>
          <t>PO-DGC-5464</t>
        </is>
      </c>
    </row>
    <row r="54">
      <c r="A54" s="1" t="inlineStr">
        <is>
          <t>INV-2025-40053</t>
        </is>
      </c>
      <c r="B54" s="2" t="n">
        <v>46010</v>
      </c>
      <c r="C54" s="1" t="inlineStr">
        <is>
          <t>Asterion Logistics</t>
        </is>
      </c>
      <c r="D54" s="1" t="inlineStr">
        <is>
          <t>AST-MSA-2022-28</t>
        </is>
      </c>
      <c r="E54" s="1" t="inlineStr">
        <is>
          <t>Warehouse management system connector</t>
        </is>
      </c>
      <c r="F54" s="1" t="n">
        <v>4</v>
      </c>
      <c r="G54" s="1" t="n">
        <v>38900</v>
      </c>
      <c r="H54" s="1">
        <f>F54*G54</f>
        <v/>
      </c>
      <c r="I54" s="1" t="n">
        <v>0.065</v>
      </c>
      <c r="J54" s="1">
        <f>ROUND(H54*I54,2)</f>
        <v/>
      </c>
      <c r="K54" s="1" t="inlineStr">
        <is>
          <t>2026-01</t>
        </is>
      </c>
      <c r="L54" s="1" t="n">
        <v>6224</v>
      </c>
      <c r="M54" s="1" t="inlineStr">
        <is>
          <t>4030</t>
        </is>
      </c>
      <c r="N54" s="1" t="inlineStr">
        <is>
          <t>Paid</t>
        </is>
      </c>
      <c r="O54" s="1" t="inlineStr">
        <is>
          <t>PO-AST-1191</t>
        </is>
      </c>
    </row>
    <row r="55">
      <c r="A55" s="1" t="inlineStr">
        <is>
          <t>INV-2025-40054</t>
        </is>
      </c>
      <c r="B55" s="2" t="n">
        <v>45961</v>
      </c>
      <c r="C55" s="1" t="inlineStr">
        <is>
          <t>Granite Peak Distribution</t>
        </is>
      </c>
      <c r="D55" s="1" t="inlineStr">
        <is>
          <t>GPD-MSA-2025-42</t>
        </is>
      </c>
      <c r="E55" s="1" t="inlineStr">
        <is>
          <t>Fleet orchestration platform, annual site licence</t>
        </is>
      </c>
      <c r="F55" s="1" t="n">
        <v>1</v>
      </c>
      <c r="G55" s="1" t="n">
        <v>95500</v>
      </c>
      <c r="H55" s="1">
        <f>F55*G55</f>
        <v/>
      </c>
      <c r="I55" s="1" t="n">
        <v>0.09</v>
      </c>
      <c r="J55" s="1">
        <f>ROUND(H55*I55,2)</f>
        <v/>
      </c>
      <c r="K55" s="1" t="inlineStr">
        <is>
          <t>2025-11</t>
        </is>
      </c>
      <c r="L55" s="1" t="n">
        <v>67805</v>
      </c>
      <c r="M55" s="1" t="inlineStr">
        <is>
          <t>4020</t>
        </is>
      </c>
      <c r="N55" s="1" t="inlineStr">
        <is>
          <t>Open</t>
        </is>
      </c>
      <c r="O55" s="1" t="inlineStr">
        <is>
          <t>PO-GPD-7094</t>
        </is>
      </c>
    </row>
    <row r="56">
      <c r="A56" s="1" t="inlineStr">
        <is>
          <t>INV-2025-40055</t>
        </is>
      </c>
      <c r="B56" s="2" t="n">
        <v>45989</v>
      </c>
      <c r="C56" s="1" t="inlineStr">
        <is>
          <t>Alderbrook Textiles</t>
        </is>
      </c>
      <c r="D56" s="1" t="inlineStr">
        <is>
          <t>ABT-MSA-2023-86</t>
        </is>
      </c>
      <c r="E56" s="1" t="inlineStr">
        <is>
          <t>Operator training programme</t>
        </is>
      </c>
      <c r="F56" s="1" t="n">
        <v>1</v>
      </c>
      <c r="G56" s="1" t="n">
        <v>2604</v>
      </c>
      <c r="H56" s="1">
        <f>F56*G56</f>
        <v/>
      </c>
      <c r="I56" s="1" t="n">
        <v>0.0475</v>
      </c>
      <c r="J56" s="1">
        <f>ROUND(H56*I56,2)</f>
        <v/>
      </c>
      <c r="K56" s="1" t="inlineStr">
        <is>
          <t>2025-12</t>
        </is>
      </c>
      <c r="L56" s="1" t="n">
        <v>130.2</v>
      </c>
      <c r="M56" s="1" t="inlineStr">
        <is>
          <t>4030</t>
        </is>
      </c>
      <c r="N56" s="1" t="inlineStr">
        <is>
          <t>Credit issued</t>
        </is>
      </c>
      <c r="O56" s="1" t="inlineStr">
        <is>
          <t>PO-ABT-9317</t>
        </is>
      </c>
    </row>
    <row r="57">
      <c r="A57" s="1" t="inlineStr">
        <is>
          <t>INV-2025-40056</t>
        </is>
      </c>
      <c r="B57" s="2" t="n">
        <v>46008</v>
      </c>
      <c r="C57" s="1" t="inlineStr">
        <is>
          <t>Orchard Grove Foods</t>
        </is>
      </c>
      <c r="D57" s="1" t="inlineStr">
        <is>
          <t>OGF-MSA-2023-86</t>
        </is>
      </c>
      <c r="E57" s="1" t="inlineStr">
        <is>
          <t>Warehouse management system connector</t>
        </is>
      </c>
      <c r="F57" s="1" t="n">
        <v>2</v>
      </c>
      <c r="G57" s="1" t="n">
        <v>37500</v>
      </c>
      <c r="H57" s="1">
        <f>F57*G57</f>
        <v/>
      </c>
      <c r="I57" s="1" t="n">
        <v>0.0475</v>
      </c>
      <c r="J57" s="1">
        <f>ROUND(H57*I57,2)</f>
        <v/>
      </c>
      <c r="K57" s="1" t="inlineStr">
        <is>
          <t>2026-01</t>
        </is>
      </c>
      <c r="L57" s="1" t="n">
        <v>9000</v>
      </c>
      <c r="M57" s="1" t="inlineStr">
        <is>
          <t>4030</t>
        </is>
      </c>
      <c r="N57" s="1" t="inlineStr">
        <is>
          <t>Open</t>
        </is>
      </c>
      <c r="O57" s="1" t="inlineStr">
        <is>
          <t>PO-OGF-3716</t>
        </is>
      </c>
    </row>
    <row r="58">
      <c r="A58" s="1" t="inlineStr">
        <is>
          <t>INV-2025-40057</t>
        </is>
      </c>
      <c r="B58" s="2" t="n">
        <v>45961</v>
      </c>
      <c r="C58" s="1" t="inlineStr">
        <is>
          <t>Blue Mesa Components</t>
        </is>
      </c>
      <c r="D58" s="1" t="inlineStr">
        <is>
          <t>BMC-MSA-2022-24</t>
        </is>
      </c>
      <c r="E58" s="1" t="inlineStr">
        <is>
          <t>Remote operations desk coverage</t>
        </is>
      </c>
      <c r="F58" s="1" t="n">
        <v>4</v>
      </c>
      <c r="G58" s="1" t="n">
        <v>12100</v>
      </c>
      <c r="H58" s="1">
        <f>F58*G58</f>
        <v/>
      </c>
      <c r="I58" s="1" t="n">
        <v>0.09</v>
      </c>
      <c r="J58" s="1">
        <f>ROUND(H58*I58,2)</f>
        <v/>
      </c>
      <c r="K58" s="1" t="inlineStr">
        <is>
          <t>2025-11</t>
        </is>
      </c>
      <c r="L58" s="1" t="n">
        <v>40656</v>
      </c>
      <c r="M58" s="1" t="inlineStr">
        <is>
          <t>4020</t>
        </is>
      </c>
      <c r="N58" s="1" t="inlineStr">
        <is>
          <t>Paid</t>
        </is>
      </c>
      <c r="O58" s="1" t="inlineStr">
        <is>
          <t>PO-BMC-7777</t>
        </is>
      </c>
    </row>
    <row r="59">
      <c r="A59" s="1" t="inlineStr">
        <is>
          <t>INV-2025-40058</t>
        </is>
      </c>
      <c r="B59" s="2" t="n">
        <v>45978</v>
      </c>
      <c r="C59" s="1" t="inlineStr">
        <is>
          <t>Juniper Health Supply</t>
        </is>
      </c>
      <c r="D59" s="1" t="inlineStr">
        <is>
          <t>JHS-MSA-2022-43</t>
        </is>
      </c>
      <c r="E59" s="1" t="inlineStr">
        <is>
          <t>Autonomous mobile robot, 450 kg payload</t>
        </is>
      </c>
      <c r="F59" s="1" t="n">
        <v>4</v>
      </c>
      <c r="G59" s="1" t="n">
        <v>68400</v>
      </c>
      <c r="H59" s="1">
        <f>F59*G59</f>
        <v/>
      </c>
      <c r="I59" s="1" t="n">
        <v>0</v>
      </c>
      <c r="J59" s="1">
        <f>ROUND(H59*I59,2)</f>
        <v/>
      </c>
      <c r="K59" s="1" t="inlineStr">
        <is>
          <t>2025-12</t>
        </is>
      </c>
      <c r="L59" s="1" t="n">
        <v>0</v>
      </c>
      <c r="M59" s="1" t="inlineStr">
        <is>
          <t>4010</t>
        </is>
      </c>
      <c r="N59" s="1" t="inlineStr">
        <is>
          <t>Written off</t>
        </is>
      </c>
      <c r="O59" s="1" t="inlineStr">
        <is>
          <t>PO-JHS-1910</t>
        </is>
      </c>
    </row>
    <row r="60">
      <c r="A60" s="1" t="inlineStr">
        <is>
          <t>INV-2025-40059</t>
        </is>
      </c>
      <c r="B60" s="2" t="n">
        <v>46020</v>
      </c>
      <c r="C60" s="1" t="inlineStr">
        <is>
          <t>Bellweather Auto Group</t>
        </is>
      </c>
      <c r="D60" s="1" t="inlineStr">
        <is>
          <t>BWA-MSA-2024-79</t>
        </is>
      </c>
      <c r="E60" s="1" t="inlineStr">
        <is>
          <t>Autonomous mobile robot, 220 kg payload</t>
        </is>
      </c>
      <c r="F60" s="1" t="n">
        <v>11</v>
      </c>
      <c r="G60" s="1" t="n">
        <v>41500</v>
      </c>
      <c r="H60" s="1">
        <f>F60*G60</f>
        <v/>
      </c>
      <c r="I60" s="1" t="n">
        <v>0</v>
      </c>
      <c r="J60" s="1">
        <f>ROUND(H60*I60,2)</f>
        <v/>
      </c>
      <c r="K60" s="1" t="inlineStr">
        <is>
          <t>2026-01</t>
        </is>
      </c>
      <c r="L60" s="1" t="n">
        <v>0</v>
      </c>
      <c r="M60" s="1" t="inlineStr">
        <is>
          <t>4010</t>
        </is>
      </c>
      <c r="N60" s="1" t="inlineStr">
        <is>
          <t>Partially paid</t>
        </is>
      </c>
      <c r="O60" s="1" t="inlineStr">
        <is>
          <t>PO-BWA-5565</t>
        </is>
      </c>
    </row>
    <row r="61">
      <c r="A61" s="1" t="inlineStr">
        <is>
          <t>INV-2025-40060</t>
        </is>
      </c>
      <c r="B61" s="2" t="n">
        <v>45960</v>
      </c>
      <c r="C61" s="1" t="inlineStr">
        <is>
          <t>Redwood Optics</t>
        </is>
      </c>
      <c r="D61" s="1" t="inlineStr">
        <is>
          <t>RWO-MSA-2023-80</t>
        </is>
      </c>
      <c r="E61" s="1" t="inlineStr">
        <is>
          <t>Safety scanner retrofit kit</t>
        </is>
      </c>
      <c r="F61" s="1" t="n">
        <v>2</v>
      </c>
      <c r="G61" s="1" t="n">
        <v>6350</v>
      </c>
      <c r="H61" s="1">
        <f>F61*G61</f>
        <v/>
      </c>
      <c r="I61" s="1" t="n">
        <v>0.0475</v>
      </c>
      <c r="J61" s="1">
        <f>ROUND(H61*I61,2)</f>
        <v/>
      </c>
      <c r="K61" s="1" t="inlineStr">
        <is>
          <t>2025-11</t>
        </is>
      </c>
      <c r="L61" s="1" t="n">
        <v>0</v>
      </c>
      <c r="M61" s="1" t="inlineStr">
        <is>
          <t>4010</t>
        </is>
      </c>
      <c r="N61" s="1" t="inlineStr">
        <is>
          <t>Open</t>
        </is>
      </c>
      <c r="O61" s="1" t="inlineStr">
        <is>
          <t>PO-RWO-9355</t>
        </is>
      </c>
    </row>
    <row r="62">
      <c r="A62" s="1" t="inlineStr">
        <is>
          <t>INV-2025-40061</t>
        </is>
      </c>
      <c r="B62" s="2" t="n">
        <v>45971</v>
      </c>
      <c r="C62" s="1" t="inlineStr">
        <is>
          <t>Dunbar Industrial</t>
        </is>
      </c>
      <c r="D62" s="1" t="inlineStr">
        <is>
          <t>DBI-MSA-2023-21</t>
        </is>
      </c>
      <c r="E62" s="1" t="inlineStr">
        <is>
          <t>Fleet orchestration expansion pack, per robot</t>
        </is>
      </c>
      <c r="F62" s="1" t="n">
        <v>28</v>
      </c>
      <c r="G62" s="1" t="n">
        <v>2650</v>
      </c>
      <c r="H62" s="1">
        <f>F62*G62</f>
        <v/>
      </c>
      <c r="I62" s="1" t="n">
        <v>0.09</v>
      </c>
      <c r="J62" s="1">
        <f>ROUND(H62*I62,2)</f>
        <v/>
      </c>
      <c r="K62" s="1" t="inlineStr">
        <is>
          <t>2025-12</t>
        </is>
      </c>
      <c r="L62" s="1" t="n">
        <v>60844</v>
      </c>
      <c r="M62" s="1" t="inlineStr">
        <is>
          <t>4020</t>
        </is>
      </c>
      <c r="N62" s="1" t="inlineStr">
        <is>
          <t>Partially paid</t>
        </is>
      </c>
      <c r="O62" s="1" t="inlineStr">
        <is>
          <t>PO-DBI-8824</t>
        </is>
      </c>
    </row>
    <row r="63">
      <c r="A63" s="1" t="inlineStr">
        <is>
          <t>INV-2025-40062</t>
        </is>
      </c>
      <c r="B63" s="2" t="n">
        <v>46022</v>
      </c>
      <c r="C63" s="1" t="inlineStr">
        <is>
          <t>Summit Ridge Retail</t>
        </is>
      </c>
      <c r="D63" s="1" t="inlineStr">
        <is>
          <t>SRR-MSA-2022-22</t>
        </is>
      </c>
      <c r="E63" s="1" t="inlineStr">
        <is>
          <t>Operator training programme</t>
        </is>
      </c>
      <c r="F63" s="1" t="n">
        <v>1</v>
      </c>
      <c r="G63" s="1" t="n">
        <v>3300</v>
      </c>
      <c r="H63" s="1">
        <f>F63*G63</f>
        <v/>
      </c>
      <c r="I63" s="1" t="n">
        <v>0.0475</v>
      </c>
      <c r="J63" s="1">
        <f>ROUND(H63*I63,2)</f>
        <v/>
      </c>
      <c r="K63" s="1" t="inlineStr">
        <is>
          <t>2026-01</t>
        </is>
      </c>
      <c r="L63" s="1" t="n">
        <v>495</v>
      </c>
      <c r="M63" s="1" t="inlineStr">
        <is>
          <t>4030</t>
        </is>
      </c>
      <c r="N63" s="1" t="inlineStr">
        <is>
          <t>Open</t>
        </is>
      </c>
      <c r="O63" s="1" t="inlineStr">
        <is>
          <t>PO-SRR-8298</t>
        </is>
      </c>
    </row>
    <row r="64">
      <c r="A64" s="1" t="inlineStr">
        <is>
          <t>INV-2025-40063</t>
        </is>
      </c>
      <c r="B64" s="2" t="n">
        <v>45959</v>
      </c>
      <c r="C64" s="1" t="inlineStr">
        <is>
          <t>Yarrow Home Goods</t>
        </is>
      </c>
      <c r="D64" s="1" t="inlineStr">
        <is>
          <t>YHG-MSA-2022-45</t>
        </is>
      </c>
      <c r="E64" s="1" t="inlineStr">
        <is>
          <t>Autonomous mobile robot, 220 kg payload</t>
        </is>
      </c>
      <c r="F64" s="1" t="n">
        <v>5</v>
      </c>
      <c r="G64" s="1" t="n">
        <v>41250</v>
      </c>
      <c r="H64" s="1">
        <f>F64*G64</f>
        <v/>
      </c>
      <c r="I64" s="1" t="n">
        <v>0.065</v>
      </c>
      <c r="J64" s="1">
        <f>ROUND(H64*I64,2)</f>
        <v/>
      </c>
      <c r="K64" s="1" t="inlineStr">
        <is>
          <t>2025-11</t>
        </is>
      </c>
      <c r="L64" s="1" t="n">
        <v>0</v>
      </c>
      <c r="M64" s="1" t="inlineStr">
        <is>
          <t>4010</t>
        </is>
      </c>
      <c r="N64" s="1" t="inlineStr">
        <is>
          <t>Open</t>
        </is>
      </c>
      <c r="O64" s="1" t="inlineStr">
        <is>
          <t>PO-YHG-7975</t>
        </is>
      </c>
    </row>
    <row r="65">
      <c r="A65" s="1" t="inlineStr">
        <is>
          <t>INV-2025-40064</t>
        </is>
      </c>
      <c r="B65" s="2" t="n">
        <v>45989</v>
      </c>
      <c r="C65" s="1" t="inlineStr">
        <is>
          <t>Quarrybridge Materials</t>
        </is>
      </c>
      <c r="D65" s="1" t="inlineStr">
        <is>
          <t>QBM-MSA-2023-71</t>
        </is>
      </c>
      <c r="E65" s="1" t="inlineStr">
        <is>
          <t>Autonomous mobile robot, 220 kg payload</t>
        </is>
      </c>
      <c r="F65" s="1" t="n">
        <v>12</v>
      </c>
      <c r="G65" s="1" t="n">
        <v>41500</v>
      </c>
      <c r="H65" s="1">
        <f>F65*G65</f>
        <v/>
      </c>
      <c r="I65" s="1" t="n">
        <v>0</v>
      </c>
      <c r="J65" s="1">
        <f>ROUND(H65*I65,2)</f>
        <v/>
      </c>
      <c r="K65" s="1" t="inlineStr">
        <is>
          <t>2025-12</t>
        </is>
      </c>
      <c r="L65" s="1" t="n">
        <v>0</v>
      </c>
      <c r="M65" s="1" t="inlineStr">
        <is>
          <t>4010</t>
        </is>
      </c>
      <c r="N65" s="1" t="inlineStr">
        <is>
          <t>Paid</t>
        </is>
      </c>
      <c r="O65" s="1" t="inlineStr">
        <is>
          <t>PO-QBM-7066</t>
        </is>
      </c>
    </row>
    <row r="66">
      <c r="A66" s="1" t="inlineStr">
        <is>
          <t>INV-2025-40065</t>
        </is>
      </c>
      <c r="B66" s="2" t="n">
        <v>46021</v>
      </c>
      <c r="C66" s="1" t="inlineStr">
        <is>
          <t>Dunbar Industrial</t>
        </is>
      </c>
      <c r="D66" s="1" t="inlineStr">
        <is>
          <t>DBI-MSA-2023-29</t>
        </is>
      </c>
      <c r="E66" s="1" t="inlineStr">
        <is>
          <t>Autonomous mobile robot, 450 kg payload</t>
        </is>
      </c>
      <c r="F66" s="1" t="n">
        <v>2</v>
      </c>
      <c r="G66" s="1" t="n">
        <v>68400</v>
      </c>
      <c r="H66" s="1">
        <f>F66*G66</f>
        <v/>
      </c>
      <c r="I66" s="1" t="n">
        <v>0.0825</v>
      </c>
      <c r="J66" s="1">
        <f>ROUND(H66*I66,2)</f>
        <v/>
      </c>
      <c r="K66" s="1" t="inlineStr">
        <is>
          <t>2026-01</t>
        </is>
      </c>
      <c r="L66" s="1" t="n">
        <v>0</v>
      </c>
      <c r="M66" s="1" t="inlineStr">
        <is>
          <t>4010</t>
        </is>
      </c>
      <c r="N66" s="1" t="inlineStr">
        <is>
          <t>Credit issued</t>
        </is>
      </c>
      <c r="O66" s="1" t="inlineStr">
        <is>
          <t>PO-DBI-8695</t>
        </is>
      </c>
    </row>
    <row r="67">
      <c r="A67" s="1" t="inlineStr">
        <is>
          <t>INV-2025-40066</t>
        </is>
      </c>
      <c r="B67" s="2" t="n">
        <v>45940</v>
      </c>
      <c r="C67" s="1" t="inlineStr">
        <is>
          <t>Fathom Mobility</t>
        </is>
      </c>
      <c r="D67" s="1" t="inlineStr">
        <is>
          <t>FTM-MSA-2025-42</t>
        </is>
      </c>
      <c r="E67" s="1" t="inlineStr">
        <is>
          <t>Telemetry retention tier, extended</t>
        </is>
      </c>
      <c r="F67" s="1" t="n">
        <v>3</v>
      </c>
      <c r="G67" s="1" t="n">
        <v>24500</v>
      </c>
      <c r="H67" s="1">
        <f>F67*G67</f>
        <v/>
      </c>
      <c r="I67" s="1" t="n">
        <v>0.065</v>
      </c>
      <c r="J67" s="1">
        <f>ROUND(H67*I67,2)</f>
        <v/>
      </c>
      <c r="K67" s="1" t="inlineStr">
        <is>
          <t>2025-11</t>
        </is>
      </c>
      <c r="L67" s="1" t="n">
        <v>60270</v>
      </c>
      <c r="M67" s="1" t="inlineStr">
        <is>
          <t>4020</t>
        </is>
      </c>
      <c r="N67" s="1" t="inlineStr">
        <is>
          <t>Paid</t>
        </is>
      </c>
      <c r="O67" s="1" t="inlineStr">
        <is>
          <t>PO-FTM-1618</t>
        </is>
      </c>
    </row>
    <row r="68">
      <c r="A68" s="1" t="inlineStr">
        <is>
          <t>INV-2025-40067</t>
        </is>
      </c>
      <c r="B68" s="2" t="n">
        <v>45989</v>
      </c>
      <c r="C68" s="1" t="inlineStr">
        <is>
          <t>Northfield Beverage</t>
        </is>
      </c>
      <c r="D68" s="1" t="inlineStr">
        <is>
          <t>NFB-MSA-2023-59</t>
        </is>
      </c>
      <c r="E68" s="1" t="inlineStr">
        <is>
          <t>Warehouse management system connector</t>
        </is>
      </c>
      <c r="F68" s="1" t="n">
        <v>3</v>
      </c>
      <c r="G68" s="1" t="n">
        <v>38650</v>
      </c>
      <c r="H68" s="1">
        <f>F68*G68</f>
        <v/>
      </c>
      <c r="I68" s="1" t="n">
        <v>0.0825</v>
      </c>
      <c r="J68" s="1">
        <f>ROUND(H68*I68,2)</f>
        <v/>
      </c>
      <c r="K68" s="1" t="inlineStr">
        <is>
          <t>2025-12</t>
        </is>
      </c>
      <c r="L68" s="1" t="n">
        <v>16233</v>
      </c>
      <c r="M68" s="1" t="inlineStr">
        <is>
          <t>4030</t>
        </is>
      </c>
      <c r="N68" s="1" t="inlineStr">
        <is>
          <t>Partially paid</t>
        </is>
      </c>
      <c r="O68" s="1" t="inlineStr">
        <is>
          <t>PO-NFB-1251</t>
        </is>
      </c>
    </row>
    <row r="69">
      <c r="A69" s="1" t="inlineStr">
        <is>
          <t>INV-2025-40068</t>
        </is>
      </c>
      <c r="B69" s="2" t="n">
        <v>46020</v>
      </c>
      <c r="C69" s="1" t="inlineStr">
        <is>
          <t>Westlake Chemical Depot</t>
        </is>
      </c>
      <c r="D69" s="1" t="inlineStr">
        <is>
          <t>WCD-MSA-2024-63</t>
        </is>
      </c>
      <c r="E69" s="1" t="inlineStr">
        <is>
          <t>Warehouse management system connector</t>
        </is>
      </c>
      <c r="F69" s="1" t="n">
        <v>1</v>
      </c>
      <c r="G69" s="1" t="n">
        <v>38000</v>
      </c>
      <c r="H69" s="1">
        <f>F69*G69</f>
        <v/>
      </c>
      <c r="I69" s="1" t="n">
        <v>0.0825</v>
      </c>
      <c r="J69" s="1">
        <f>ROUND(H69*I69,2)</f>
        <v/>
      </c>
      <c r="K69" s="1" t="inlineStr">
        <is>
          <t>2026-01</t>
        </is>
      </c>
      <c r="L69" s="1" t="n">
        <v>8360</v>
      </c>
      <c r="M69" s="1" t="inlineStr">
        <is>
          <t>4030</t>
        </is>
      </c>
      <c r="N69" s="1" t="inlineStr">
        <is>
          <t>Disputed</t>
        </is>
      </c>
      <c r="O69" s="1" t="inlineStr">
        <is>
          <t>PO-WCD-2448</t>
        </is>
      </c>
    </row>
    <row r="70">
      <c r="A70" s="1" t="inlineStr">
        <is>
          <t>INV-2025-40069</t>
        </is>
      </c>
      <c r="B70" s="2" t="n">
        <v>45960</v>
      </c>
      <c r="C70" s="1" t="inlineStr">
        <is>
          <t>Orchard Grove Foods</t>
        </is>
      </c>
      <c r="D70" s="1" t="inlineStr">
        <is>
          <t>OGF-MSA-2023-78</t>
        </is>
      </c>
      <c r="E70" s="1" t="inlineStr">
        <is>
          <t>Premium support and spares pool</t>
        </is>
      </c>
      <c r="F70" s="1" t="n">
        <v>1</v>
      </c>
      <c r="G70" s="1" t="n">
        <v>55900</v>
      </c>
      <c r="H70" s="1">
        <f>F70*G70</f>
        <v/>
      </c>
      <c r="I70" s="1" t="n">
        <v>0.06</v>
      </c>
      <c r="J70" s="1">
        <f>ROUND(H70*I70,2)</f>
        <v/>
      </c>
      <c r="K70" s="1" t="inlineStr">
        <is>
          <t>2025-11</t>
        </is>
      </c>
      <c r="L70" s="1" t="n">
        <v>46956</v>
      </c>
      <c r="M70" s="1" t="inlineStr">
        <is>
          <t>4020</t>
        </is>
      </c>
      <c r="N70" s="1" t="inlineStr">
        <is>
          <t>Written off</t>
        </is>
      </c>
      <c r="O70" s="1" t="inlineStr">
        <is>
          <t>PO-OGF-8341</t>
        </is>
      </c>
    </row>
    <row r="71">
      <c r="A71" s="1" t="inlineStr">
        <is>
          <t>INV-2025-40070</t>
        </is>
      </c>
      <c r="B71" s="2" t="n">
        <v>45989</v>
      </c>
      <c r="C71" s="1" t="inlineStr">
        <is>
          <t>Westlake Chemical Depot</t>
        </is>
      </c>
      <c r="D71" s="1" t="inlineStr">
        <is>
          <t>WCD-MSA-2025-16</t>
        </is>
      </c>
      <c r="E71" s="1" t="inlineStr">
        <is>
          <t>Fleet orchestration expansion pack, per robot</t>
        </is>
      </c>
      <c r="F71" s="1" t="n">
        <v>172</v>
      </c>
      <c r="G71" s="1" t="n">
        <v>2250</v>
      </c>
      <c r="H71" s="1">
        <f>F71*G71</f>
        <v/>
      </c>
      <c r="I71" s="1" t="n">
        <v>0.06</v>
      </c>
      <c r="J71" s="1">
        <f>ROUND(H71*I71,2)</f>
        <v/>
      </c>
      <c r="K71" s="1" t="inlineStr">
        <is>
          <t>2025-12</t>
        </is>
      </c>
      <c r="L71" s="1" t="n">
        <v>239940</v>
      </c>
      <c r="M71" s="1" t="inlineStr">
        <is>
          <t>4020</t>
        </is>
      </c>
      <c r="N71" s="1" t="inlineStr">
        <is>
          <t>Open</t>
        </is>
      </c>
      <c r="O71" s="1" t="inlineStr">
        <is>
          <t>PO-WCD-5547</t>
        </is>
      </c>
    </row>
    <row r="72">
      <c r="A72" s="1" t="inlineStr">
        <is>
          <t>INV-2025-40071</t>
        </is>
      </c>
      <c r="B72" s="2" t="n">
        <v>45996</v>
      </c>
      <c r="C72" s="1" t="inlineStr">
        <is>
          <t>Union Vale Pharma</t>
        </is>
      </c>
      <c r="D72" s="1" t="inlineStr">
        <is>
          <t>UVP-MSA-2025-86</t>
        </is>
      </c>
      <c r="E72" s="1" t="inlineStr">
        <is>
          <t>Warehouse management system connector</t>
        </is>
      </c>
      <c r="F72" s="1" t="n">
        <v>3</v>
      </c>
      <c r="G72" s="1" t="n">
        <v>38000</v>
      </c>
      <c r="H72" s="1">
        <f>F72*G72</f>
        <v/>
      </c>
      <c r="I72" s="1" t="n">
        <v>0.0475</v>
      </c>
      <c r="J72" s="1">
        <f>ROUND(H72*I72,2)</f>
        <v/>
      </c>
      <c r="K72" s="1" t="inlineStr">
        <is>
          <t>2026-01</t>
        </is>
      </c>
      <c r="L72" s="1" t="n">
        <v>18240</v>
      </c>
      <c r="M72" s="1" t="inlineStr">
        <is>
          <t>4030</t>
        </is>
      </c>
      <c r="N72" s="1" t="inlineStr">
        <is>
          <t>Disputed</t>
        </is>
      </c>
      <c r="O72" s="1" t="inlineStr">
        <is>
          <t>PO-UVP-5586</t>
        </is>
      </c>
    </row>
    <row r="73">
      <c r="A73" s="1" t="inlineStr">
        <is>
          <t>INV-2025-40072</t>
        </is>
      </c>
      <c r="B73" s="2" t="n">
        <v>45953</v>
      </c>
      <c r="C73" s="1" t="inlineStr">
        <is>
          <t>Dorsey Grain Cooperative</t>
        </is>
      </c>
      <c r="D73" s="1" t="inlineStr">
        <is>
          <t>DGC-MSA-2023-31</t>
        </is>
      </c>
      <c r="E73" s="1" t="inlineStr">
        <is>
          <t>Autonomous mobile robot, 450 kg payload</t>
        </is>
      </c>
      <c r="F73" s="1" t="n">
        <v>6</v>
      </c>
      <c r="G73" s="1" t="n">
        <v>67900</v>
      </c>
      <c r="H73" s="1">
        <f>F73*G73</f>
        <v/>
      </c>
      <c r="I73" s="1" t="n">
        <v>0.0475</v>
      </c>
      <c r="J73" s="1">
        <f>ROUND(H73*I73,2)</f>
        <v/>
      </c>
      <c r="K73" s="1" t="inlineStr">
        <is>
          <t>2025-11</t>
        </is>
      </c>
      <c r="L73" s="1" t="n">
        <v>0</v>
      </c>
      <c r="M73" s="1" t="inlineStr">
        <is>
          <t>4010</t>
        </is>
      </c>
      <c r="N73" s="1" t="inlineStr">
        <is>
          <t>Paid</t>
        </is>
      </c>
      <c r="O73" s="1" t="inlineStr">
        <is>
          <t>PO-DGC-5975</t>
        </is>
      </c>
    </row>
    <row r="74">
      <c r="A74" s="1" t="inlineStr">
        <is>
          <t>INV-2025-40073</t>
        </is>
      </c>
      <c r="B74" s="2" t="n">
        <v>45989</v>
      </c>
      <c r="C74" s="1" t="inlineStr">
        <is>
          <t>Juniper Health Supply</t>
        </is>
      </c>
      <c r="D74" s="1" t="inlineStr">
        <is>
          <t>JHS-MSA-2022-52</t>
        </is>
      </c>
      <c r="E74" s="1" t="inlineStr">
        <is>
          <t>Remote operations desk coverage</t>
        </is>
      </c>
      <c r="F74" s="1" t="n">
        <v>2</v>
      </c>
      <c r="G74" s="1" t="n">
        <v>10400</v>
      </c>
      <c r="H74" s="1">
        <f>F74*G74</f>
        <v/>
      </c>
      <c r="I74" s="1" t="n">
        <v>0</v>
      </c>
      <c r="J74" s="1">
        <f>ROUND(H74*I74,2)</f>
        <v/>
      </c>
      <c r="K74" s="1" t="inlineStr">
        <is>
          <t>2025-12</t>
        </is>
      </c>
      <c r="L74" s="1" t="n">
        <v>13936</v>
      </c>
      <c r="M74" s="1" t="inlineStr">
        <is>
          <t>4020</t>
        </is>
      </c>
      <c r="N74" s="1" t="inlineStr">
        <is>
          <t>Paid</t>
        </is>
      </c>
      <c r="O74" s="1" t="inlineStr">
        <is>
          <t>PO-JHS-3305</t>
        </is>
      </c>
    </row>
    <row r="75">
      <c r="A75" s="1" t="inlineStr">
        <is>
          <t>INV-2025-40074</t>
        </is>
      </c>
      <c r="B75" s="2" t="n">
        <v>46021</v>
      </c>
      <c r="C75" s="1" t="inlineStr">
        <is>
          <t>Larkspur Apparel</t>
        </is>
      </c>
      <c r="D75" s="1" t="inlineStr">
        <is>
          <t>LKA-MSA-2025-63</t>
        </is>
      </c>
      <c r="E75" s="1" t="inlineStr">
        <is>
          <t>Safety scanner retrofit kit</t>
        </is>
      </c>
      <c r="F75" s="1" t="n">
        <v>1</v>
      </c>
      <c r="G75" s="1" t="n">
        <v>7250</v>
      </c>
      <c r="H75" s="1">
        <f>F75*G75</f>
        <v/>
      </c>
      <c r="I75" s="1" t="n">
        <v>0.065</v>
      </c>
      <c r="J75" s="1">
        <f>ROUND(H75*I75,2)</f>
        <v/>
      </c>
      <c r="K75" s="1" t="inlineStr">
        <is>
          <t>2026-01</t>
        </is>
      </c>
      <c r="L75" s="1" t="n">
        <v>0</v>
      </c>
      <c r="M75" s="1" t="inlineStr">
        <is>
          <t>4010</t>
        </is>
      </c>
      <c r="N75" s="1" t="inlineStr">
        <is>
          <t>Open</t>
        </is>
      </c>
      <c r="O75" s="1" t="inlineStr">
        <is>
          <t>PO-LKA-3493</t>
        </is>
      </c>
    </row>
    <row r="76">
      <c r="A76" s="1" t="inlineStr">
        <is>
          <t>INV-2025-40075</t>
        </is>
      </c>
      <c r="B76" s="2" t="n">
        <v>45959</v>
      </c>
      <c r="C76" s="1" t="inlineStr">
        <is>
          <t>Pioneer Freight Union</t>
        </is>
      </c>
      <c r="D76" s="1" t="inlineStr">
        <is>
          <t>PFU-MSA-2023-17</t>
        </is>
      </c>
      <c r="E76" s="1" t="inlineStr">
        <is>
          <t>Fleet orchestration platform, annual site licence</t>
        </is>
      </c>
      <c r="F76" s="1" t="n">
        <v>1</v>
      </c>
      <c r="G76" s="1" t="n">
        <v>93800</v>
      </c>
      <c r="H76" s="1">
        <f>F76*G76</f>
        <v/>
      </c>
      <c r="I76" s="1" t="n">
        <v>0.06</v>
      </c>
      <c r="J76" s="1">
        <f>ROUND(H76*I76,2)</f>
        <v/>
      </c>
      <c r="K76" s="1" t="inlineStr">
        <is>
          <t>2025-11</t>
        </is>
      </c>
      <c r="L76" s="1" t="n">
        <v>68474</v>
      </c>
      <c r="M76" s="1" t="inlineStr">
        <is>
          <t>4020</t>
        </is>
      </c>
      <c r="N76" s="1" t="inlineStr">
        <is>
          <t>Open</t>
        </is>
      </c>
      <c r="O76" s="1" t="inlineStr">
        <is>
          <t>PO-PFU-5698</t>
        </is>
      </c>
    </row>
    <row r="77">
      <c r="A77" s="1" t="inlineStr">
        <is>
          <t>INV-2025-40076</t>
        </is>
      </c>
      <c r="B77" s="2" t="n">
        <v>45967</v>
      </c>
      <c r="C77" s="1" t="inlineStr">
        <is>
          <t>Yarrow Home Goods</t>
        </is>
      </c>
      <c r="D77" s="1" t="inlineStr">
        <is>
          <t>YHG-MSA-2025-16</t>
        </is>
      </c>
      <c r="E77" s="1" t="inlineStr">
        <is>
          <t>Safety scanner retrofit kit</t>
        </is>
      </c>
      <c r="F77" s="1" t="n">
        <v>2</v>
      </c>
      <c r="G77" s="1" t="n">
        <v>6750</v>
      </c>
      <c r="H77" s="1">
        <f>F77*G77</f>
        <v/>
      </c>
      <c r="I77" s="1" t="n">
        <v>0.0475</v>
      </c>
      <c r="J77" s="1">
        <f>ROUND(H77*I77,2)</f>
        <v/>
      </c>
      <c r="K77" s="1" t="inlineStr">
        <is>
          <t>2025-12</t>
        </is>
      </c>
      <c r="L77" s="1" t="n">
        <v>0</v>
      </c>
      <c r="M77" s="1" t="inlineStr">
        <is>
          <t>4010</t>
        </is>
      </c>
      <c r="N77" s="1" t="inlineStr">
        <is>
          <t>Credit issued</t>
        </is>
      </c>
      <c r="O77" s="1" t="inlineStr">
        <is>
          <t>PO-YHG-4465</t>
        </is>
      </c>
    </row>
    <row r="78">
      <c r="A78" s="1" t="inlineStr">
        <is>
          <t>INV-2025-40077</t>
        </is>
      </c>
      <c r="B78" s="2" t="n">
        <v>46021</v>
      </c>
      <c r="C78" s="1" t="inlineStr">
        <is>
          <t>Northfield Beverage</t>
        </is>
      </c>
      <c r="D78" s="1" t="inlineStr">
        <is>
          <t>NFB-MSA-2023-52</t>
        </is>
      </c>
      <c r="E78" s="1" t="inlineStr">
        <is>
          <t>Fleet orchestration expansion pack, per robot</t>
        </is>
      </c>
      <c r="F78" s="1" t="n">
        <v>83</v>
      </c>
      <c r="G78" s="1" t="n">
        <v>3150</v>
      </c>
      <c r="H78" s="1">
        <f>F78*G78</f>
        <v/>
      </c>
      <c r="I78" s="1" t="n">
        <v>0.0475</v>
      </c>
      <c r="J78" s="1">
        <f>ROUND(H78*I78,2)</f>
        <v/>
      </c>
      <c r="K78" s="1" t="inlineStr">
        <is>
          <t>2026-01</t>
        </is>
      </c>
      <c r="L78" s="1" t="n">
        <v>162099</v>
      </c>
      <c r="M78" s="1" t="inlineStr">
        <is>
          <t>4020</t>
        </is>
      </c>
      <c r="N78" s="1" t="inlineStr">
        <is>
          <t>Partially paid</t>
        </is>
      </c>
      <c r="O78" s="1" t="inlineStr">
        <is>
          <t>PO-NFB-4806</t>
        </is>
      </c>
    </row>
    <row r="79">
      <c r="A79" s="1" t="inlineStr">
        <is>
          <t>INV-2025-40078</t>
        </is>
      </c>
      <c r="B79" s="2" t="n">
        <v>45950</v>
      </c>
      <c r="C79" s="1" t="inlineStr">
        <is>
          <t>Alderbrook Textiles</t>
        </is>
      </c>
      <c r="D79" s="1" t="inlineStr">
        <is>
          <t>ABT-MSA-2025-31</t>
        </is>
      </c>
      <c r="E79" s="1" t="inlineStr">
        <is>
          <t>Operator training programme</t>
        </is>
      </c>
      <c r="F79" s="1" t="n">
        <v>1</v>
      </c>
      <c r="G79" s="1" t="n">
        <v>2604</v>
      </c>
      <c r="H79" s="1">
        <f>F79*G79</f>
        <v/>
      </c>
      <c r="I79" s="1" t="n">
        <v>0.09</v>
      </c>
      <c r="J79" s="1">
        <f>ROUND(H79*I79,2)</f>
        <v/>
      </c>
      <c r="K79" s="1" t="inlineStr">
        <is>
          <t>2025-11</t>
        </is>
      </c>
      <c r="L79" s="1" t="n">
        <v>598.92</v>
      </c>
      <c r="M79" s="1" t="inlineStr">
        <is>
          <t>4030</t>
        </is>
      </c>
      <c r="N79" s="1" t="inlineStr">
        <is>
          <t>Paid</t>
        </is>
      </c>
      <c r="O79" s="1" t="inlineStr">
        <is>
          <t>PO-ABT-7630</t>
        </is>
      </c>
    </row>
    <row r="80">
      <c r="A80" s="1" t="inlineStr">
        <is>
          <t>INV-2025-40079</t>
        </is>
      </c>
      <c r="B80" s="2" t="n">
        <v>45989</v>
      </c>
      <c r="C80" s="1" t="inlineStr">
        <is>
          <t>Dorsey Grain Cooperative</t>
        </is>
      </c>
      <c r="D80" s="1" t="inlineStr">
        <is>
          <t>DGC-MSA-2024-47</t>
        </is>
      </c>
      <c r="E80" s="1" t="inlineStr">
        <is>
          <t>Operator training programme</t>
        </is>
      </c>
      <c r="F80" s="1" t="n">
        <v>2</v>
      </c>
      <c r="G80" s="1" t="n">
        <v>2604</v>
      </c>
      <c r="H80" s="1">
        <f>F80*G80</f>
        <v/>
      </c>
      <c r="I80" s="1" t="n">
        <v>0.065</v>
      </c>
      <c r="J80" s="1">
        <f>ROUND(H80*I80,2)</f>
        <v/>
      </c>
      <c r="K80" s="1" t="inlineStr">
        <is>
          <t>2025-12</t>
        </is>
      </c>
      <c r="L80" s="1" t="n">
        <v>937.4400000000001</v>
      </c>
      <c r="M80" s="1" t="inlineStr">
        <is>
          <t>4030</t>
        </is>
      </c>
      <c r="N80" s="1" t="inlineStr">
        <is>
          <t>Disputed</t>
        </is>
      </c>
      <c r="O80" s="1" t="inlineStr">
        <is>
          <t>PO-DGC-9368</t>
        </is>
      </c>
    </row>
    <row r="81">
      <c r="A81" s="1" t="inlineStr">
        <is>
          <t>INV-2025-40080</t>
        </is>
      </c>
      <c r="B81" s="2" t="n">
        <v>46021</v>
      </c>
      <c r="C81" s="1" t="inlineStr">
        <is>
          <t>Bellweather Auto Group</t>
        </is>
      </c>
      <c r="D81" s="1" t="inlineStr">
        <is>
          <t>BWA-MSA-2024-25</t>
        </is>
      </c>
      <c r="E81" s="1" t="inlineStr">
        <is>
          <t>Operator training programme</t>
        </is>
      </c>
      <c r="F81" s="1" t="n">
        <v>2</v>
      </c>
      <c r="G81" s="1" t="n">
        <v>4200</v>
      </c>
      <c r="H81" s="1">
        <f>F81*G81</f>
        <v/>
      </c>
      <c r="I81" s="1" t="n">
        <v>0.0475</v>
      </c>
      <c r="J81" s="1">
        <f>ROUND(H81*I81,2)</f>
        <v/>
      </c>
      <c r="K81" s="1" t="inlineStr">
        <is>
          <t>2026-01</t>
        </is>
      </c>
      <c r="L81" s="1" t="n">
        <v>504</v>
      </c>
      <c r="M81" s="1" t="inlineStr">
        <is>
          <t>4030</t>
        </is>
      </c>
      <c r="N81" s="1" t="inlineStr">
        <is>
          <t>Partially paid</t>
        </is>
      </c>
      <c r="O81" s="1" t="inlineStr">
        <is>
          <t>PO-BWA-7552</t>
        </is>
      </c>
    </row>
    <row r="82">
      <c r="A82" s="1" t="inlineStr">
        <is>
          <t>INV-2025-40081</t>
        </is>
      </c>
      <c r="B82" s="2" t="n">
        <v>45961</v>
      </c>
      <c r="C82" s="1" t="inlineStr">
        <is>
          <t>Blue Mesa Components</t>
        </is>
      </c>
      <c r="D82" s="1" t="inlineStr">
        <is>
          <t>BMC-MSA-2023-43</t>
        </is>
      </c>
      <c r="E82" s="1" t="inlineStr">
        <is>
          <t>Autonomous mobile robot, 220 kg payload</t>
        </is>
      </c>
      <c r="F82" s="1" t="n">
        <v>10</v>
      </c>
      <c r="G82" s="1" t="n">
        <v>41000</v>
      </c>
      <c r="H82" s="1">
        <f>F82*G82</f>
        <v/>
      </c>
      <c r="I82" s="1" t="n">
        <v>0</v>
      </c>
      <c r="J82" s="1">
        <f>ROUND(H82*I82,2)</f>
        <v/>
      </c>
      <c r="K82" s="1" t="inlineStr">
        <is>
          <t>2025-11</t>
        </is>
      </c>
      <c r="L82" s="1" t="n">
        <v>0</v>
      </c>
      <c r="M82" s="1" t="inlineStr">
        <is>
          <t>4010</t>
        </is>
      </c>
      <c r="N82" s="1" t="inlineStr">
        <is>
          <t>Open</t>
        </is>
      </c>
      <c r="O82" s="1" t="inlineStr">
        <is>
          <t>PO-BMC-2828</t>
        </is>
      </c>
    </row>
    <row r="83">
      <c r="A83" s="1" t="inlineStr">
        <is>
          <t>INV-2025-40082</t>
        </is>
      </c>
      <c r="B83" s="2" t="n">
        <v>45989</v>
      </c>
      <c r="C83" s="1" t="inlineStr">
        <is>
          <t>Vantage Robotics Supply</t>
        </is>
      </c>
      <c r="D83" s="1" t="inlineStr">
        <is>
          <t>VRS-MSA-2024-51</t>
        </is>
      </c>
      <c r="E83" s="1" t="inlineStr">
        <is>
          <t>Premium support and spares pool</t>
        </is>
      </c>
      <c r="F83" s="1" t="n">
        <v>4</v>
      </c>
      <c r="G83" s="1" t="n">
        <v>56800</v>
      </c>
      <c r="H83" s="1">
        <f>F83*G83</f>
        <v/>
      </c>
      <c r="I83" s="1" t="n">
        <v>0.09</v>
      </c>
      <c r="J83" s="1">
        <f>ROUND(H83*I83,2)</f>
        <v/>
      </c>
      <c r="K83" s="1" t="inlineStr">
        <is>
          <t>2025-12</t>
        </is>
      </c>
      <c r="L83" s="1" t="n">
        <v>127232</v>
      </c>
      <c r="M83" s="1" t="inlineStr">
        <is>
          <t>4020</t>
        </is>
      </c>
      <c r="N83" s="1" t="inlineStr">
        <is>
          <t>Credit issued</t>
        </is>
      </c>
      <c r="O83" s="1" t="inlineStr">
        <is>
          <t>PO-VRS-8544</t>
        </is>
      </c>
    </row>
    <row r="84">
      <c r="A84" s="1" t="inlineStr">
        <is>
          <t>INV-2025-40083</t>
        </is>
      </c>
      <c r="B84" s="2" t="n">
        <v>46022</v>
      </c>
      <c r="C84" s="1" t="inlineStr">
        <is>
          <t>Tamarack Electronics</t>
        </is>
      </c>
      <c r="D84" s="1" t="inlineStr">
        <is>
          <t>TCE-MSA-2025-64</t>
        </is>
      </c>
      <c r="E84" s="1" t="inlineStr">
        <is>
          <t>Autonomous mobile robot, 450 kg payload</t>
        </is>
      </c>
      <c r="F84" s="1" t="n">
        <v>11</v>
      </c>
      <c r="G84" s="1" t="n">
        <v>68400</v>
      </c>
      <c r="H84" s="1">
        <f>F84*G84</f>
        <v/>
      </c>
      <c r="I84" s="1" t="n">
        <v>0.09</v>
      </c>
      <c r="J84" s="1">
        <f>ROUND(H84*I84,2)</f>
        <v/>
      </c>
      <c r="K84" s="1" t="inlineStr">
        <is>
          <t>2026-01</t>
        </is>
      </c>
      <c r="L84" s="1" t="n">
        <v>0</v>
      </c>
      <c r="M84" s="1" t="inlineStr">
        <is>
          <t>4010</t>
        </is>
      </c>
      <c r="N84" s="1" t="inlineStr">
        <is>
          <t>Credit issued</t>
        </is>
      </c>
      <c r="O84" s="1" t="inlineStr">
        <is>
          <t>PO-TCE-5382</t>
        </is>
      </c>
    </row>
    <row r="85">
      <c r="A85" s="1" t="inlineStr">
        <is>
          <t>INV-2025-40084</t>
        </is>
      </c>
      <c r="B85" s="2" t="n">
        <v>45961</v>
      </c>
      <c r="C85" s="1" t="inlineStr">
        <is>
          <t>Fathom Mobility</t>
        </is>
      </c>
      <c r="D85" s="1" t="inlineStr">
        <is>
          <t>FTM-MSA-2022-79</t>
        </is>
      </c>
      <c r="E85" s="1" t="inlineStr">
        <is>
          <t>Telemetry retention tier, extended</t>
        </is>
      </c>
      <c r="F85" s="1" t="n">
        <v>3</v>
      </c>
      <c r="G85" s="1" t="n">
        <v>22300</v>
      </c>
      <c r="H85" s="1">
        <f>F85*G85</f>
        <v/>
      </c>
      <c r="I85" s="1" t="n">
        <v>0.0825</v>
      </c>
      <c r="J85" s="1">
        <f>ROUND(H85*I85,2)</f>
        <v/>
      </c>
      <c r="K85" s="1" t="inlineStr">
        <is>
          <t>2025-11</t>
        </is>
      </c>
      <c r="L85" s="1" t="n">
        <v>52182</v>
      </c>
      <c r="M85" s="1" t="inlineStr">
        <is>
          <t>4020</t>
        </is>
      </c>
      <c r="N85" s="1" t="inlineStr">
        <is>
          <t>Open</t>
        </is>
      </c>
      <c r="O85" s="1" t="inlineStr">
        <is>
          <t>PO-FTM-9836</t>
        </is>
      </c>
    </row>
    <row r="86">
      <c r="A86" s="1" t="inlineStr">
        <is>
          <t>INV-2025-40085</t>
        </is>
      </c>
      <c r="B86" s="2" t="n">
        <v>45989</v>
      </c>
      <c r="C86" s="1" t="inlineStr">
        <is>
          <t>Keystone Paper &amp; Pack</t>
        </is>
      </c>
      <c r="D86" s="1" t="inlineStr">
        <is>
          <t>KPP-MSA-2024-68</t>
        </is>
      </c>
      <c r="E86" s="1" t="inlineStr">
        <is>
          <t>Telemetry retention tier, extended</t>
        </is>
      </c>
      <c r="F86" s="1" t="n">
        <v>1</v>
      </c>
      <c r="G86" s="1" t="n">
        <v>23600</v>
      </c>
      <c r="H86" s="1">
        <f>F86*G86</f>
        <v/>
      </c>
      <c r="I86" s="1" t="n">
        <v>0.07000000000000001</v>
      </c>
      <c r="J86" s="1">
        <f>ROUND(H86*I86,2)</f>
        <v/>
      </c>
      <c r="K86" s="1" t="inlineStr">
        <is>
          <t>2025-12</t>
        </is>
      </c>
      <c r="L86" s="1" t="n">
        <v>16520</v>
      </c>
      <c r="M86" s="1" t="inlineStr">
        <is>
          <t>4020</t>
        </is>
      </c>
      <c r="N86" s="1" t="inlineStr">
        <is>
          <t>Open</t>
        </is>
      </c>
      <c r="O86" s="1" t="inlineStr">
        <is>
          <t>PO-KPP-6099</t>
        </is>
      </c>
    </row>
    <row r="87">
      <c r="A87" s="1" t="inlineStr">
        <is>
          <t>INV-2025-40086</t>
        </is>
      </c>
      <c r="B87" s="2" t="n">
        <v>46007</v>
      </c>
      <c r="C87" s="1" t="inlineStr">
        <is>
          <t>Calder Marine Supply</t>
        </is>
      </c>
      <c r="D87" s="1" t="inlineStr">
        <is>
          <t>CMS-MSA-2024-24</t>
        </is>
      </c>
      <c r="E87" s="1" t="inlineStr">
        <is>
          <t>Operator training programme</t>
        </is>
      </c>
      <c r="F87" s="1" t="n">
        <v>3</v>
      </c>
      <c r="G87" s="1" t="n">
        <v>2800</v>
      </c>
      <c r="H87" s="1">
        <f>F87*G87</f>
        <v/>
      </c>
      <c r="I87" s="1" t="n">
        <v>0</v>
      </c>
      <c r="J87" s="1">
        <f>ROUND(H87*I87,2)</f>
        <v/>
      </c>
      <c r="K87" s="1" t="inlineStr">
        <is>
          <t>2026-01</t>
        </is>
      </c>
      <c r="L87" s="1" t="n">
        <v>840</v>
      </c>
      <c r="M87" s="1" t="inlineStr">
        <is>
          <t>4030</t>
        </is>
      </c>
      <c r="N87" s="1" t="inlineStr">
        <is>
          <t>Paid</t>
        </is>
      </c>
      <c r="O87" s="1" t="inlineStr">
        <is>
          <t>PO-CMS-5101</t>
        </is>
      </c>
    </row>
    <row r="88">
      <c r="A88" s="1" t="inlineStr">
        <is>
          <t>INV-2025-40087</t>
        </is>
      </c>
      <c r="B88" s="2" t="n">
        <v>45961</v>
      </c>
      <c r="C88" s="1" t="inlineStr">
        <is>
          <t>Orchard Grove Foods</t>
        </is>
      </c>
      <c r="D88" s="1" t="inlineStr">
        <is>
          <t>OGF-MSA-2024-89</t>
        </is>
      </c>
      <c r="E88" s="1" t="inlineStr">
        <is>
          <t>Fleet orchestration platform, annual site licence</t>
        </is>
      </c>
      <c r="F88" s="1" t="n">
        <v>1</v>
      </c>
      <c r="G88" s="1" t="n">
        <v>96000</v>
      </c>
      <c r="H88" s="1">
        <f>F88*G88</f>
        <v/>
      </c>
      <c r="I88" s="1" t="n">
        <v>0.0475</v>
      </c>
      <c r="J88" s="1">
        <f>ROUND(H88*I88,2)</f>
        <v/>
      </c>
      <c r="K88" s="1" t="inlineStr">
        <is>
          <t>2025-11</t>
        </is>
      </c>
      <c r="L88" s="1" t="n">
        <v>68160</v>
      </c>
      <c r="M88" s="1" t="inlineStr">
        <is>
          <t>4020</t>
        </is>
      </c>
      <c r="N88" s="1" t="inlineStr">
        <is>
          <t>Credit issued</t>
        </is>
      </c>
      <c r="O88" s="1" t="inlineStr">
        <is>
          <t>PO-OGF-8311</t>
        </is>
      </c>
    </row>
    <row r="89">
      <c r="A89" s="1" t="inlineStr">
        <is>
          <t>INV-2025-40088</t>
        </is>
      </c>
      <c r="B89" s="2" t="n">
        <v>45989</v>
      </c>
      <c r="C89" s="1" t="inlineStr">
        <is>
          <t>Meridian Dynamics</t>
        </is>
      </c>
      <c r="D89" s="1" t="inlineStr">
        <is>
          <t>MDY-MSA-2024-68</t>
        </is>
      </c>
      <c r="E89" s="1" t="inlineStr">
        <is>
          <t>Deployment and commissioning services</t>
        </is>
      </c>
      <c r="F89" s="1" t="n">
        <v>6</v>
      </c>
      <c r="G89" s="1" t="n">
        <v>1600</v>
      </c>
      <c r="H89" s="1">
        <f>F89*G89</f>
        <v/>
      </c>
      <c r="I89" s="1" t="n">
        <v>0.09</v>
      </c>
      <c r="J89" s="1">
        <f>ROUND(H89*I89,2)</f>
        <v/>
      </c>
      <c r="K89" s="1" t="inlineStr">
        <is>
          <t>2025-12</t>
        </is>
      </c>
      <c r="L89" s="1" t="n">
        <v>768</v>
      </c>
      <c r="M89" s="1" t="inlineStr">
        <is>
          <t>4030</t>
        </is>
      </c>
      <c r="N89" s="1" t="inlineStr">
        <is>
          <t>Paid</t>
        </is>
      </c>
      <c r="O89" s="1" t="inlineStr">
        <is>
          <t>PO-MDY-1547</t>
        </is>
      </c>
    </row>
    <row r="90">
      <c r="A90" s="1" t="inlineStr">
        <is>
          <t>INV-2025-40089</t>
        </is>
      </c>
      <c r="B90" s="2" t="n">
        <v>46022</v>
      </c>
      <c r="C90" s="1" t="inlineStr">
        <is>
          <t>Meridian Dynamics</t>
        </is>
      </c>
      <c r="D90" s="1" t="inlineStr">
        <is>
          <t>MDY-MSA-2022-76</t>
        </is>
      </c>
      <c r="E90" s="1" t="inlineStr">
        <is>
          <t>Autonomous mobile robot, 450 kg payload</t>
        </is>
      </c>
      <c r="F90" s="1" t="n">
        <v>6</v>
      </c>
      <c r="G90" s="1" t="n">
        <v>67500</v>
      </c>
      <c r="H90" s="1">
        <f>F90*G90</f>
        <v/>
      </c>
      <c r="I90" s="1" t="n">
        <v>0</v>
      </c>
      <c r="J90" s="1">
        <f>ROUND(H90*I90,2)</f>
        <v/>
      </c>
      <c r="K90" s="1" t="inlineStr">
        <is>
          <t>2026-01</t>
        </is>
      </c>
      <c r="L90" s="1" t="n">
        <v>0</v>
      </c>
      <c r="M90" s="1" t="inlineStr">
        <is>
          <t>4010</t>
        </is>
      </c>
      <c r="N90" s="1" t="inlineStr">
        <is>
          <t>Open</t>
        </is>
      </c>
      <c r="O90" s="1" t="inlineStr">
        <is>
          <t>PO-MDY-5255</t>
        </is>
      </c>
    </row>
    <row r="91">
      <c r="A91" s="1" t="inlineStr">
        <is>
          <t>INV-2025-40090</t>
        </is>
      </c>
      <c r="B91" s="2" t="n">
        <v>45960</v>
      </c>
      <c r="C91" s="1" t="inlineStr">
        <is>
          <t>Larkspur Apparel</t>
        </is>
      </c>
      <c r="D91" s="1" t="inlineStr">
        <is>
          <t>LKA-MSA-2023-70</t>
        </is>
      </c>
      <c r="E91" s="1" t="inlineStr">
        <is>
          <t>Autonomous mobile robot, 220 kg payload</t>
        </is>
      </c>
      <c r="F91" s="1" t="n">
        <v>8</v>
      </c>
      <c r="G91" s="1" t="n">
        <v>40100</v>
      </c>
      <c r="H91" s="1">
        <f>F91*G91</f>
        <v/>
      </c>
      <c r="I91" s="1" t="n">
        <v>0.065</v>
      </c>
      <c r="J91" s="1">
        <f>ROUND(H91*I91,2)</f>
        <v/>
      </c>
      <c r="K91" s="1" t="inlineStr">
        <is>
          <t>2025-11</t>
        </is>
      </c>
      <c r="L91" s="1" t="n">
        <v>0</v>
      </c>
      <c r="M91" s="1" t="inlineStr">
        <is>
          <t>4010</t>
        </is>
      </c>
      <c r="N91" s="1" t="inlineStr">
        <is>
          <t>Open</t>
        </is>
      </c>
      <c r="O91" s="1" t="inlineStr">
        <is>
          <t>PO-LKA-9728</t>
        </is>
      </c>
    </row>
    <row r="92">
      <c r="A92" s="1" t="inlineStr">
        <is>
          <t>INV-2025-40091</t>
        </is>
      </c>
      <c r="B92" s="2" t="n">
        <v>45989</v>
      </c>
      <c r="C92" s="1" t="inlineStr">
        <is>
          <t>Keystone Paper &amp; Pack</t>
        </is>
      </c>
      <c r="D92" s="1" t="inlineStr">
        <is>
          <t>KPP-MSA-2025-14</t>
        </is>
      </c>
      <c r="E92" s="1" t="inlineStr">
        <is>
          <t>Autonomous mobile robot, 450 kg payload</t>
        </is>
      </c>
      <c r="F92" s="1" t="n">
        <v>9</v>
      </c>
      <c r="G92" s="1" t="n">
        <v>68150</v>
      </c>
      <c r="H92" s="1">
        <f>F92*G92</f>
        <v/>
      </c>
      <c r="I92" s="1" t="n">
        <v>0.0825</v>
      </c>
      <c r="J92" s="1">
        <f>ROUND(H92*I92,2)</f>
        <v/>
      </c>
      <c r="K92" s="1" t="inlineStr">
        <is>
          <t>2025-12</t>
        </is>
      </c>
      <c r="L92" s="1" t="n">
        <v>0</v>
      </c>
      <c r="M92" s="1" t="inlineStr">
        <is>
          <t>4010</t>
        </is>
      </c>
      <c r="N92" s="1" t="inlineStr">
        <is>
          <t>Paid</t>
        </is>
      </c>
      <c r="O92" s="1" t="inlineStr">
        <is>
          <t>PO-KPP-9821</t>
        </is>
      </c>
    </row>
    <row r="93">
      <c r="A93" s="1" t="inlineStr">
        <is>
          <t>INV-2025-40092</t>
        </is>
      </c>
      <c r="B93" s="2" t="n">
        <v>46010</v>
      </c>
      <c r="C93" s="1" t="inlineStr">
        <is>
          <t>Bellweather Auto Group</t>
        </is>
      </c>
      <c r="D93" s="1" t="inlineStr">
        <is>
          <t>BWA-MSA-2022-14</t>
        </is>
      </c>
      <c r="E93" s="1" t="inlineStr">
        <is>
          <t>Fleet orchestration platform, annual site licence</t>
        </is>
      </c>
      <c r="F93" s="1" t="n">
        <v>4</v>
      </c>
      <c r="G93" s="1" t="n">
        <v>95100</v>
      </c>
      <c r="H93" s="1">
        <f>F93*G93</f>
        <v/>
      </c>
      <c r="I93" s="1" t="n">
        <v>0.0475</v>
      </c>
      <c r="J93" s="1">
        <f>ROUND(H93*I93,2)</f>
        <v/>
      </c>
      <c r="K93" s="1" t="inlineStr">
        <is>
          <t>2026-01</t>
        </is>
      </c>
      <c r="L93" s="1" t="n">
        <v>308124</v>
      </c>
      <c r="M93" s="1" t="inlineStr">
        <is>
          <t>4020</t>
        </is>
      </c>
      <c r="N93" s="1" t="inlineStr">
        <is>
          <t>Credit issued</t>
        </is>
      </c>
      <c r="O93" s="1" t="inlineStr">
        <is>
          <t>PO-BWA-7525</t>
        </is>
      </c>
    </row>
    <row r="94">
      <c r="A94" s="1" t="inlineStr">
        <is>
          <t>INV-2025-40093</t>
        </is>
      </c>
      <c r="B94" s="2" t="n">
        <v>45959</v>
      </c>
      <c r="C94" s="1" t="inlineStr">
        <is>
          <t>Evergreen Warehousing</t>
        </is>
      </c>
      <c r="D94" s="1" t="inlineStr">
        <is>
          <t>EVW-MSA-2024-30</t>
        </is>
      </c>
      <c r="E94" s="1" t="inlineStr">
        <is>
          <t>Fleet orchestration platform, annual site licence</t>
        </is>
      </c>
      <c r="F94" s="1" t="n">
        <v>1</v>
      </c>
      <c r="G94" s="1" t="n">
        <v>93800</v>
      </c>
      <c r="H94" s="1">
        <f>F94*G94</f>
        <v/>
      </c>
      <c r="I94" s="1" t="n">
        <v>0.0475</v>
      </c>
      <c r="J94" s="1">
        <f>ROUND(H94*I94,2)</f>
        <v/>
      </c>
      <c r="K94" s="1" t="inlineStr">
        <is>
          <t>2025-11</t>
        </is>
      </c>
      <c r="L94" s="1" t="n">
        <v>53466</v>
      </c>
      <c r="M94" s="1" t="inlineStr">
        <is>
          <t>4020</t>
        </is>
      </c>
      <c r="N94" s="1" t="inlineStr">
        <is>
          <t>Paid</t>
        </is>
      </c>
      <c r="O94" s="1" t="inlineStr">
        <is>
          <t>PO-EVW-2114</t>
        </is>
      </c>
    </row>
    <row r="95">
      <c r="A95" s="1" t="inlineStr">
        <is>
          <t>INV-2025-40094</t>
        </is>
      </c>
      <c r="B95" s="2" t="n">
        <v>45989</v>
      </c>
      <c r="C95" s="1" t="inlineStr">
        <is>
          <t>Larkspur Apparel</t>
        </is>
      </c>
      <c r="D95" s="1" t="inlineStr">
        <is>
          <t>LKA-MSA-2022-19</t>
        </is>
      </c>
      <c r="E95" s="1" t="inlineStr">
        <is>
          <t>Safety scanner retrofit kit</t>
        </is>
      </c>
      <c r="F95" s="1" t="n">
        <v>4</v>
      </c>
      <c r="G95" s="1" t="n">
        <v>7250</v>
      </c>
      <c r="H95" s="1">
        <f>F95*G95</f>
        <v/>
      </c>
      <c r="I95" s="1" t="n">
        <v>0.0825</v>
      </c>
      <c r="J95" s="1">
        <f>ROUND(H95*I95,2)</f>
        <v/>
      </c>
      <c r="K95" s="1" t="inlineStr">
        <is>
          <t>2025-12</t>
        </is>
      </c>
      <c r="L95" s="1" t="n">
        <v>0</v>
      </c>
      <c r="M95" s="1" t="inlineStr">
        <is>
          <t>4010</t>
        </is>
      </c>
      <c r="N95" s="1" t="inlineStr">
        <is>
          <t>Disputed</t>
        </is>
      </c>
      <c r="O95" s="1" t="inlineStr">
        <is>
          <t>PO-LKA-8016</t>
        </is>
      </c>
    </row>
    <row r="96">
      <c r="A96" s="1" t="inlineStr">
        <is>
          <t>INV-2025-40095</t>
        </is>
      </c>
      <c r="B96" s="2" t="n">
        <v>46020</v>
      </c>
      <c r="C96" s="1" t="inlineStr">
        <is>
          <t>Larkspur Apparel</t>
        </is>
      </c>
      <c r="D96" s="1" t="inlineStr">
        <is>
          <t>LKA-MSA-2023-23</t>
        </is>
      </c>
      <c r="E96" s="1" t="inlineStr">
        <is>
          <t>Deployment and commissioning services</t>
        </is>
      </c>
      <c r="F96" s="1" t="n">
        <v>8</v>
      </c>
      <c r="G96" s="1" t="n">
        <v>1600</v>
      </c>
      <c r="H96" s="1">
        <f>F96*G96</f>
        <v/>
      </c>
      <c r="I96" s="1" t="n">
        <v>0.0825</v>
      </c>
      <c r="J96" s="1">
        <f>ROUND(H96*I96,2)</f>
        <v/>
      </c>
      <c r="K96" s="1" t="inlineStr">
        <is>
          <t>2026-01</t>
        </is>
      </c>
      <c r="L96" s="1" t="n">
        <v>512</v>
      </c>
      <c r="M96" s="1" t="inlineStr">
        <is>
          <t>4030</t>
        </is>
      </c>
      <c r="N96" s="1" t="inlineStr">
        <is>
          <t>Partially paid</t>
        </is>
      </c>
      <c r="O96" s="1" t="inlineStr">
        <is>
          <t>PO-LKA-1411</t>
        </is>
      </c>
    </row>
    <row r="97">
      <c r="A97" s="1" t="inlineStr">
        <is>
          <t>INV-2025-40096</t>
        </is>
      </c>
      <c r="B97" s="2" t="n">
        <v>45959</v>
      </c>
      <c r="C97" s="1" t="inlineStr">
        <is>
          <t>Harborline Systems</t>
        </is>
      </c>
      <c r="D97" s="1" t="inlineStr">
        <is>
          <t>HLS-MSA-2024-56</t>
        </is>
      </c>
      <c r="E97" s="1" t="inlineStr">
        <is>
          <t>Autonomous mobile robot, 450 kg payload</t>
        </is>
      </c>
      <c r="F97" s="1" t="n">
        <v>7</v>
      </c>
      <c r="G97" s="1" t="n">
        <v>68400</v>
      </c>
      <c r="H97" s="1">
        <f>F97*G97</f>
        <v/>
      </c>
      <c r="I97" s="1" t="n">
        <v>0.06</v>
      </c>
      <c r="J97" s="1">
        <f>ROUND(H97*I97,2)</f>
        <v/>
      </c>
      <c r="K97" s="1" t="inlineStr">
        <is>
          <t>2025-11</t>
        </is>
      </c>
      <c r="L97" s="1" t="n">
        <v>0</v>
      </c>
      <c r="M97" s="1" t="inlineStr">
        <is>
          <t>4010</t>
        </is>
      </c>
      <c r="N97" s="1" t="inlineStr">
        <is>
          <t>Paid</t>
        </is>
      </c>
      <c r="O97" s="1" t="inlineStr">
        <is>
          <t>PO-HLS-4015</t>
        </is>
      </c>
    </row>
    <row r="98">
      <c r="A98" s="1" t="inlineStr">
        <is>
          <t>INV-2025-40097</t>
        </is>
      </c>
      <c r="B98" s="2" t="n">
        <v>45989</v>
      </c>
      <c r="C98" s="1" t="inlineStr">
        <is>
          <t>Quarrybridge Materials</t>
        </is>
      </c>
      <c r="D98" s="1" t="inlineStr">
        <is>
          <t>QBM-MSA-2023-66</t>
        </is>
      </c>
      <c r="E98" s="1" t="inlineStr">
        <is>
          <t>Telemetry retention tier, extended</t>
        </is>
      </c>
      <c r="F98" s="1" t="n">
        <v>4</v>
      </c>
      <c r="G98" s="1" t="n">
        <v>22300</v>
      </c>
      <c r="H98" s="1">
        <f>F98*G98</f>
        <v/>
      </c>
      <c r="I98" s="1" t="n">
        <v>0.06</v>
      </c>
      <c r="J98" s="1">
        <f>ROUND(H98*I98,2)</f>
        <v/>
      </c>
      <c r="K98" s="1" t="inlineStr">
        <is>
          <t>2025-12</t>
        </is>
      </c>
      <c r="L98" s="1" t="n">
        <v>72252</v>
      </c>
      <c r="M98" s="1" t="inlineStr">
        <is>
          <t>4020</t>
        </is>
      </c>
      <c r="N98" s="1" t="inlineStr">
        <is>
          <t>Credit issued</t>
        </is>
      </c>
      <c r="O98" s="1" t="inlineStr">
        <is>
          <t>PO-QBM-4432</t>
        </is>
      </c>
    </row>
    <row r="99">
      <c r="A99" s="1" t="inlineStr">
        <is>
          <t>INV-2025-40098</t>
        </is>
      </c>
      <c r="B99" s="2" t="n">
        <v>45994</v>
      </c>
      <c r="C99" s="1" t="inlineStr">
        <is>
          <t>Orchard Grove Foods</t>
        </is>
      </c>
      <c r="D99" s="1" t="inlineStr">
        <is>
          <t>OGF-MSA-2024-69</t>
        </is>
      </c>
      <c r="E99" s="1" t="inlineStr">
        <is>
          <t>Autonomous mobile robot, 220 kg payload</t>
        </is>
      </c>
      <c r="F99" s="1" t="n">
        <v>6</v>
      </c>
      <c r="G99" s="1" t="n">
        <v>39300</v>
      </c>
      <c r="H99" s="1">
        <f>F99*G99</f>
        <v/>
      </c>
      <c r="I99" s="1" t="n">
        <v>0.065</v>
      </c>
      <c r="J99" s="1">
        <f>ROUND(H99*I99,2)</f>
        <v/>
      </c>
      <c r="K99" s="1" t="inlineStr">
        <is>
          <t>2026-01</t>
        </is>
      </c>
      <c r="L99" s="1" t="n">
        <v>0</v>
      </c>
      <c r="M99" s="1" t="inlineStr">
        <is>
          <t>4010</t>
        </is>
      </c>
      <c r="N99" s="1" t="inlineStr">
        <is>
          <t>Paid</t>
        </is>
      </c>
      <c r="O99" s="1" t="inlineStr">
        <is>
          <t>PO-OGF-8883</t>
        </is>
      </c>
    </row>
    <row r="100">
      <c r="A100" s="1" t="inlineStr">
        <is>
          <t>INV-2025-40099</t>
        </is>
      </c>
      <c r="B100" s="2" t="n">
        <v>45933</v>
      </c>
      <c r="C100" s="1" t="inlineStr">
        <is>
          <t>Meridian Dynamics</t>
        </is>
      </c>
      <c r="D100" s="1" t="inlineStr">
        <is>
          <t>MDY-MSA-2023-78</t>
        </is>
      </c>
      <c r="E100" s="1" t="inlineStr">
        <is>
          <t>Warehouse management system connector</t>
        </is>
      </c>
      <c r="F100" s="1" t="n">
        <v>3</v>
      </c>
      <c r="G100" s="1" t="n">
        <v>38650</v>
      </c>
      <c r="H100" s="1">
        <f>F100*G100</f>
        <v/>
      </c>
      <c r="I100" s="1" t="n">
        <v>0.065</v>
      </c>
      <c r="J100" s="1">
        <f>ROUND(H100*I100,2)</f>
        <v/>
      </c>
      <c r="K100" s="1" t="inlineStr">
        <is>
          <t>2025-11</t>
        </is>
      </c>
      <c r="L100" s="1" t="n">
        <v>8116.5</v>
      </c>
      <c r="M100" s="1" t="inlineStr">
        <is>
          <t>4030</t>
        </is>
      </c>
      <c r="N100" s="1" t="inlineStr">
        <is>
          <t>Partially paid</t>
        </is>
      </c>
      <c r="O100" s="1" t="inlineStr">
        <is>
          <t>PO-MDY-7509</t>
        </is>
      </c>
    </row>
    <row r="101">
      <c r="A101" s="1" t="inlineStr">
        <is>
          <t>INV-2025-40100</t>
        </is>
      </c>
      <c r="B101" s="2" t="n">
        <v>45989</v>
      </c>
      <c r="C101" s="1" t="inlineStr">
        <is>
          <t>Asterion Logistics</t>
        </is>
      </c>
      <c r="D101" s="1" t="inlineStr">
        <is>
          <t>AST-MSA-2025-34</t>
        </is>
      </c>
      <c r="E101" s="1" t="inlineStr">
        <is>
          <t>Remote operations desk coverage</t>
        </is>
      </c>
      <c r="F101" s="1" t="n">
        <v>4</v>
      </c>
      <c r="G101" s="1" t="n">
        <v>11200</v>
      </c>
      <c r="H101" s="1">
        <f>F101*G101</f>
        <v/>
      </c>
      <c r="I101" s="1" t="n">
        <v>0.065</v>
      </c>
      <c r="J101" s="1">
        <f>ROUND(H101*I101,2)</f>
        <v/>
      </c>
      <c r="K101" s="1" t="inlineStr">
        <is>
          <t>2025-12</t>
        </is>
      </c>
      <c r="L101" s="1" t="n">
        <v>32256</v>
      </c>
      <c r="M101" s="1" t="inlineStr">
        <is>
          <t>4020</t>
        </is>
      </c>
      <c r="N101" s="1" t="inlineStr">
        <is>
          <t>Disputed</t>
        </is>
      </c>
      <c r="O101" s="1" t="inlineStr">
        <is>
          <t>PO-AST-2765</t>
        </is>
      </c>
    </row>
    <row r="102">
      <c r="A102" s="1" t="inlineStr">
        <is>
          <t>INV-2025-40101</t>
        </is>
      </c>
      <c r="B102" s="2" t="n">
        <v>45995</v>
      </c>
      <c r="C102" s="1" t="inlineStr">
        <is>
          <t>Calder Marine Supply</t>
        </is>
      </c>
      <c r="D102" s="1" t="inlineStr">
        <is>
          <t>CMS-MSA-2025-55</t>
        </is>
      </c>
      <c r="E102" s="1" t="inlineStr">
        <is>
          <t>Remote operations desk coverage</t>
        </is>
      </c>
      <c r="F102" s="1" t="n">
        <v>3</v>
      </c>
      <c r="G102" s="1" t="n">
        <v>12350</v>
      </c>
      <c r="H102" s="1">
        <f>F102*G102</f>
        <v/>
      </c>
      <c r="I102" s="1" t="n">
        <v>0.06</v>
      </c>
      <c r="J102" s="1">
        <f>ROUND(H102*I102,2)</f>
        <v/>
      </c>
      <c r="K102" s="1" t="inlineStr">
        <is>
          <t>2026-01</t>
        </is>
      </c>
      <c r="L102" s="1" t="n">
        <v>21118.5</v>
      </c>
      <c r="M102" s="1" t="inlineStr">
        <is>
          <t>4020</t>
        </is>
      </c>
      <c r="N102" s="1" t="inlineStr">
        <is>
          <t>Credit issued</t>
        </is>
      </c>
      <c r="O102" s="1" t="inlineStr">
        <is>
          <t>PO-CMS-7736</t>
        </is>
      </c>
    </row>
    <row r="103">
      <c r="A103" s="1" t="inlineStr">
        <is>
          <t>INV-2025-40102</t>
        </is>
      </c>
      <c r="B103" s="2" t="n">
        <v>45961</v>
      </c>
      <c r="C103" s="1" t="inlineStr">
        <is>
          <t>Dorsey Grain Cooperative</t>
        </is>
      </c>
      <c r="D103" s="1" t="inlineStr">
        <is>
          <t>DGC-MSA-2024-32</t>
        </is>
      </c>
      <c r="E103" s="1" t="inlineStr">
        <is>
          <t>Safety scanner retrofit kit</t>
        </is>
      </c>
      <c r="F103" s="1" t="n">
        <v>2</v>
      </c>
      <c r="G103" s="1" t="n">
        <v>6350</v>
      </c>
      <c r="H103" s="1">
        <f>F103*G103</f>
        <v/>
      </c>
      <c r="I103" s="1" t="n">
        <v>0.09</v>
      </c>
      <c r="J103" s="1">
        <f>ROUND(H103*I103,2)</f>
        <v/>
      </c>
      <c r="K103" s="1" t="inlineStr">
        <is>
          <t>2025-11</t>
        </is>
      </c>
      <c r="L103" s="1" t="n">
        <v>0</v>
      </c>
      <c r="M103" s="1" t="inlineStr">
        <is>
          <t>4010</t>
        </is>
      </c>
      <c r="N103" s="1" t="inlineStr">
        <is>
          <t>Credit issued</t>
        </is>
      </c>
      <c r="O103" s="1" t="inlineStr">
        <is>
          <t>PO-DGC-4429</t>
        </is>
      </c>
    </row>
    <row r="104">
      <c r="A104" s="1" t="inlineStr">
        <is>
          <t>INV-2025-40103</t>
        </is>
      </c>
      <c r="B104" s="2" t="n">
        <v>45972</v>
      </c>
      <c r="C104" s="1" t="inlineStr">
        <is>
          <t>Ironvale Grocery Group</t>
        </is>
      </c>
      <c r="D104" s="1" t="inlineStr">
        <is>
          <t>IVG-MSA-2025-26</t>
        </is>
      </c>
      <c r="E104" s="1" t="inlineStr">
        <is>
          <t>Remote operations desk coverage</t>
        </is>
      </c>
      <c r="F104" s="1" t="n">
        <v>4</v>
      </c>
      <c r="G104" s="1" t="n">
        <v>11700</v>
      </c>
      <c r="H104" s="1">
        <f>F104*G104</f>
        <v/>
      </c>
      <c r="I104" s="1" t="n">
        <v>0.09</v>
      </c>
      <c r="J104" s="1">
        <f>ROUND(H104*I104,2)</f>
        <v/>
      </c>
      <c r="K104" s="1" t="inlineStr">
        <is>
          <t>2025-12</t>
        </is>
      </c>
      <c r="L104" s="1" t="n">
        <v>29484</v>
      </c>
      <c r="M104" s="1" t="inlineStr">
        <is>
          <t>4020</t>
        </is>
      </c>
      <c r="N104" s="1" t="inlineStr">
        <is>
          <t>Paid</t>
        </is>
      </c>
      <c r="O104" s="1" t="inlineStr">
        <is>
          <t>PO-IVG-3246</t>
        </is>
      </c>
    </row>
    <row r="105">
      <c r="A105" s="1" t="inlineStr">
        <is>
          <t>INV-2025-40104</t>
        </is>
      </c>
      <c r="B105" s="2" t="n">
        <v>46003</v>
      </c>
      <c r="C105" s="1" t="inlineStr">
        <is>
          <t>Union Vale Pharma</t>
        </is>
      </c>
      <c r="D105" s="1" t="inlineStr">
        <is>
          <t>UVP-MSA-2023-63</t>
        </is>
      </c>
      <c r="E105" s="1" t="inlineStr">
        <is>
          <t>Autonomous mobile robot, 450 kg payload</t>
        </is>
      </c>
      <c r="F105" s="1" t="n">
        <v>9</v>
      </c>
      <c r="G105" s="1" t="n">
        <v>67500</v>
      </c>
      <c r="H105" s="1">
        <f>F105*G105</f>
        <v/>
      </c>
      <c r="I105" s="1" t="n">
        <v>0.09</v>
      </c>
      <c r="J105" s="1">
        <f>ROUND(H105*I105,2)</f>
        <v/>
      </c>
      <c r="K105" s="1" t="inlineStr">
        <is>
          <t>2026-01</t>
        </is>
      </c>
      <c r="L105" s="1" t="n">
        <v>0</v>
      </c>
      <c r="M105" s="1" t="inlineStr">
        <is>
          <t>4010</t>
        </is>
      </c>
      <c r="N105" s="1" t="inlineStr">
        <is>
          <t>Open</t>
        </is>
      </c>
      <c r="O105" s="1" t="inlineStr">
        <is>
          <t>PO-UVP-7996</t>
        </is>
      </c>
    </row>
    <row r="106">
      <c r="A106" s="1" t="inlineStr">
        <is>
          <t>INV-2025-40105</t>
        </is>
      </c>
      <c r="B106" s="2" t="n">
        <v>45932</v>
      </c>
      <c r="C106" s="1" t="inlineStr">
        <is>
          <t>Alderbrook Textiles</t>
        </is>
      </c>
      <c r="D106" s="1" t="inlineStr">
        <is>
          <t>ABT-MSA-2022-12</t>
        </is>
      </c>
      <c r="E106" s="1" t="inlineStr">
        <is>
          <t>Opportunity charging dock</t>
        </is>
      </c>
      <c r="F106" s="1" t="n">
        <v>10</v>
      </c>
      <c r="G106" s="1" t="n">
        <v>10400</v>
      </c>
      <c r="H106" s="1">
        <f>F106*G106</f>
        <v/>
      </c>
      <c r="I106" s="1" t="n">
        <v>0.07000000000000001</v>
      </c>
      <c r="J106" s="1">
        <f>ROUND(H106*I106,2)</f>
        <v/>
      </c>
      <c r="K106" s="1" t="inlineStr">
        <is>
          <t>2025-11</t>
        </is>
      </c>
      <c r="L106" s="1" t="n">
        <v>0</v>
      </c>
      <c r="M106" s="1" t="inlineStr">
        <is>
          <t>4010</t>
        </is>
      </c>
      <c r="N106" s="1" t="inlineStr">
        <is>
          <t>Paid</t>
        </is>
      </c>
      <c r="O106" s="1" t="inlineStr">
        <is>
          <t>PO-ABT-5063</t>
        </is>
      </c>
    </row>
    <row r="107">
      <c r="A107" s="1" t="inlineStr">
        <is>
          <t>INV-2025-40106</t>
        </is>
      </c>
      <c r="B107" s="2" t="n">
        <v>45989</v>
      </c>
      <c r="C107" s="1" t="inlineStr">
        <is>
          <t>Blue Mesa Components</t>
        </is>
      </c>
      <c r="D107" s="1" t="inlineStr">
        <is>
          <t>BMC-MSA-2022-60</t>
        </is>
      </c>
      <c r="E107" s="1" t="inlineStr">
        <is>
          <t>Deployment and commissioning services</t>
        </is>
      </c>
      <c r="F107" s="1" t="n">
        <v>26</v>
      </c>
      <c r="G107" s="1" t="n">
        <v>1850</v>
      </c>
      <c r="H107" s="1">
        <f>F107*G107</f>
        <v/>
      </c>
      <c r="I107" s="1" t="n">
        <v>0.07000000000000001</v>
      </c>
      <c r="J107" s="1">
        <f>ROUND(H107*I107,2)</f>
        <v/>
      </c>
      <c r="K107" s="1" t="inlineStr">
        <is>
          <t>2025-12</t>
        </is>
      </c>
      <c r="L107" s="1" t="n">
        <v>1924</v>
      </c>
      <c r="M107" s="1" t="inlineStr">
        <is>
          <t>4030</t>
        </is>
      </c>
      <c r="N107" s="1" t="inlineStr">
        <is>
          <t>Disputed</t>
        </is>
      </c>
      <c r="O107" s="1" t="inlineStr">
        <is>
          <t>PO-BMC-5582</t>
        </is>
      </c>
    </row>
    <row r="108">
      <c r="A108" s="1" t="inlineStr">
        <is>
          <t>INV-2025-40107</t>
        </is>
      </c>
      <c r="B108" s="2" t="n">
        <v>46022</v>
      </c>
      <c r="C108" s="1" t="inlineStr">
        <is>
          <t>Dunbar Industrial</t>
        </is>
      </c>
      <c r="D108" s="1" t="inlineStr">
        <is>
          <t>DBI-MSA-2023-24</t>
        </is>
      </c>
      <c r="E108" s="1" t="inlineStr">
        <is>
          <t>Autonomous mobile robot, 220 kg payload</t>
        </is>
      </c>
      <c r="F108" s="1" t="n">
        <v>8</v>
      </c>
      <c r="G108" s="1" t="n">
        <v>39300</v>
      </c>
      <c r="H108" s="1">
        <f>F108*G108</f>
        <v/>
      </c>
      <c r="I108" s="1" t="n">
        <v>0.09</v>
      </c>
      <c r="J108" s="1">
        <f>ROUND(H108*I108,2)</f>
        <v/>
      </c>
      <c r="K108" s="1" t="inlineStr">
        <is>
          <t>2026-01</t>
        </is>
      </c>
      <c r="L108" s="1" t="n">
        <v>0</v>
      </c>
      <c r="M108" s="1" t="inlineStr">
        <is>
          <t>4010</t>
        </is>
      </c>
      <c r="N108" s="1" t="inlineStr">
        <is>
          <t>Credit issued</t>
        </is>
      </c>
      <c r="O108" s="1" t="inlineStr">
        <is>
          <t>PO-DBI-1196</t>
        </is>
      </c>
    </row>
    <row r="109">
      <c r="A109" s="1" t="inlineStr">
        <is>
          <t>INV-2025-40108</t>
        </is>
      </c>
      <c r="B109" s="2" t="n">
        <v>45961</v>
      </c>
      <c r="C109" s="1" t="inlineStr">
        <is>
          <t>Larkspur Apparel</t>
        </is>
      </c>
      <c r="D109" s="1" t="inlineStr">
        <is>
          <t>LKA-MSA-2023-29</t>
        </is>
      </c>
      <c r="E109" s="1" t="inlineStr">
        <is>
          <t>Telemetry retention tier, extended</t>
        </is>
      </c>
      <c r="F109" s="1" t="n">
        <v>2</v>
      </c>
      <c r="G109" s="1" t="n">
        <v>24500</v>
      </c>
      <c r="H109" s="1">
        <f>F109*G109</f>
        <v/>
      </c>
      <c r="I109" s="1" t="n">
        <v>0.065</v>
      </c>
      <c r="J109" s="1">
        <f>ROUND(H109*I109,2)</f>
        <v/>
      </c>
      <c r="K109" s="1" t="inlineStr">
        <is>
          <t>2025-11</t>
        </is>
      </c>
      <c r="L109" s="1" t="n">
        <v>38710</v>
      </c>
      <c r="M109" s="1" t="inlineStr">
        <is>
          <t>4020</t>
        </is>
      </c>
      <c r="N109" s="1" t="inlineStr">
        <is>
          <t>Open</t>
        </is>
      </c>
      <c r="O109" s="1" t="inlineStr">
        <is>
          <t>PO-LKA-5674</t>
        </is>
      </c>
    </row>
    <row r="110">
      <c r="A110" s="1" t="inlineStr">
        <is>
          <t>INV-2025-40109</t>
        </is>
      </c>
      <c r="B110" s="2" t="n">
        <v>45964</v>
      </c>
      <c r="C110" s="1" t="inlineStr">
        <is>
          <t>Larkspur Apparel</t>
        </is>
      </c>
      <c r="D110" s="1" t="inlineStr">
        <is>
          <t>LKA-MSA-2025-21</t>
        </is>
      </c>
      <c r="E110" s="1" t="inlineStr">
        <is>
          <t>Fleet orchestration platform, annual site licence</t>
        </is>
      </c>
      <c r="F110" s="1" t="n">
        <v>4</v>
      </c>
      <c r="G110" s="1" t="n">
        <v>95500</v>
      </c>
      <c r="H110" s="1">
        <f>F110*G110</f>
        <v/>
      </c>
      <c r="I110" s="1" t="n">
        <v>0.0475</v>
      </c>
      <c r="J110" s="1">
        <f>ROUND(H110*I110,2)</f>
        <v/>
      </c>
      <c r="K110" s="1" t="inlineStr">
        <is>
          <t>2025-12</t>
        </is>
      </c>
      <c r="L110" s="1" t="n">
        <v>275040</v>
      </c>
      <c r="M110" s="1" t="inlineStr">
        <is>
          <t>4020</t>
        </is>
      </c>
      <c r="N110" s="1" t="inlineStr">
        <is>
          <t>Open</t>
        </is>
      </c>
      <c r="O110" s="1" t="inlineStr">
        <is>
          <t>PO-LKA-1036</t>
        </is>
      </c>
    </row>
    <row r="111">
      <c r="A111" s="1" t="inlineStr">
        <is>
          <t>INV-2025-40110</t>
        </is>
      </c>
      <c r="B111" s="2" t="n">
        <v>46022</v>
      </c>
      <c r="C111" s="1" t="inlineStr">
        <is>
          <t>Ironvale Grocery Group</t>
        </is>
      </c>
      <c r="D111" s="1" t="inlineStr">
        <is>
          <t>IVG-MSA-2022-21</t>
        </is>
      </c>
      <c r="E111" s="1" t="inlineStr">
        <is>
          <t>Operator training programme</t>
        </is>
      </c>
      <c r="F111" s="1" t="n">
        <v>4</v>
      </c>
      <c r="G111" s="1" t="n">
        <v>2604</v>
      </c>
      <c r="H111" s="1">
        <f>F111*G111</f>
        <v/>
      </c>
      <c r="I111" s="1" t="n">
        <v>0.09</v>
      </c>
      <c r="J111" s="1">
        <f>ROUND(H111*I111,2)</f>
        <v/>
      </c>
      <c r="K111" s="1" t="inlineStr">
        <is>
          <t>2026-01</t>
        </is>
      </c>
      <c r="L111" s="1" t="n">
        <v>2291.52</v>
      </c>
      <c r="M111" s="1" t="inlineStr">
        <is>
          <t>4030</t>
        </is>
      </c>
      <c r="N111" s="1" t="inlineStr">
        <is>
          <t>Open</t>
        </is>
      </c>
      <c r="O111" s="1" t="inlineStr">
        <is>
          <t>PO-IVG-9050</t>
        </is>
      </c>
    </row>
    <row r="112">
      <c r="A112" s="1" t="inlineStr">
        <is>
          <t>INV-2025-40111</t>
        </is>
      </c>
      <c r="B112" s="2" t="n">
        <v>45961</v>
      </c>
      <c r="C112" s="1" t="inlineStr">
        <is>
          <t>Westlake Chemical Depot</t>
        </is>
      </c>
      <c r="D112" s="1" t="inlineStr">
        <is>
          <t>WCD-MSA-2023-64</t>
        </is>
      </c>
      <c r="E112" s="1" t="inlineStr">
        <is>
          <t>Safety scanner retrofit kit</t>
        </is>
      </c>
      <c r="F112" s="1" t="n">
        <v>2</v>
      </c>
      <c r="G112" s="1" t="n">
        <v>7000</v>
      </c>
      <c r="H112" s="1">
        <f>F112*G112</f>
        <v/>
      </c>
      <c r="I112" s="1" t="n">
        <v>0.07000000000000001</v>
      </c>
      <c r="J112" s="1">
        <f>ROUND(H112*I112,2)</f>
        <v/>
      </c>
      <c r="K112" s="1" t="inlineStr">
        <is>
          <t>2025-11</t>
        </is>
      </c>
      <c r="L112" s="1" t="n">
        <v>0</v>
      </c>
      <c r="M112" s="1" t="inlineStr">
        <is>
          <t>4010</t>
        </is>
      </c>
      <c r="N112" s="1" t="inlineStr">
        <is>
          <t>Paid</t>
        </is>
      </c>
      <c r="O112" s="1" t="inlineStr">
        <is>
          <t>PO-WCD-5634</t>
        </is>
      </c>
    </row>
    <row r="113">
      <c r="A113" s="1" t="inlineStr">
        <is>
          <t>INV-2025-40112</t>
        </is>
      </c>
      <c r="B113" s="2" t="n">
        <v>45966</v>
      </c>
      <c r="C113" s="1" t="inlineStr">
        <is>
          <t>Keystone Paper &amp; Pack</t>
        </is>
      </c>
      <c r="D113" s="1" t="inlineStr">
        <is>
          <t>KPP-MSA-2025-83</t>
        </is>
      </c>
      <c r="E113" s="1" t="inlineStr">
        <is>
          <t>Warehouse management system connector</t>
        </is>
      </c>
      <c r="F113" s="1" t="n">
        <v>1</v>
      </c>
      <c r="G113" s="1" t="n">
        <v>38900</v>
      </c>
      <c r="H113" s="1">
        <f>F113*G113</f>
        <v/>
      </c>
      <c r="I113" s="1" t="n">
        <v>0</v>
      </c>
      <c r="J113" s="1">
        <f>ROUND(H113*I113,2)</f>
        <v/>
      </c>
      <c r="K113" s="1" t="inlineStr">
        <is>
          <t>2025-12</t>
        </is>
      </c>
      <c r="L113" s="1" t="n">
        <v>7780</v>
      </c>
      <c r="M113" s="1" t="inlineStr">
        <is>
          <t>4030</t>
        </is>
      </c>
      <c r="N113" s="1" t="inlineStr">
        <is>
          <t>Disputed</t>
        </is>
      </c>
      <c r="O113" s="1" t="inlineStr">
        <is>
          <t>PO-KPP-2159</t>
        </is>
      </c>
    </row>
    <row r="114">
      <c r="A114" s="1" t="inlineStr">
        <is>
          <t>INV-2025-40113</t>
        </is>
      </c>
      <c r="B114" s="2" t="n">
        <v>46022</v>
      </c>
      <c r="C114" s="1" t="inlineStr">
        <is>
          <t>Dorsey Grain Cooperative</t>
        </is>
      </c>
      <c r="D114" s="1" t="inlineStr">
        <is>
          <t>DGC-MSA-2023-21</t>
        </is>
      </c>
      <c r="E114" s="1" t="inlineStr">
        <is>
          <t>Autonomous mobile robot, 220 kg payload</t>
        </is>
      </c>
      <c r="F114" s="1" t="n">
        <v>5</v>
      </c>
      <c r="G114" s="1" t="n">
        <v>40600</v>
      </c>
      <c r="H114" s="1">
        <f>F114*G114</f>
        <v/>
      </c>
      <c r="I114" s="1" t="n">
        <v>0.0825</v>
      </c>
      <c r="J114" s="1">
        <f>ROUND(H114*I114,2)</f>
        <v/>
      </c>
      <c r="K114" s="1" t="inlineStr">
        <is>
          <t>2026-01</t>
        </is>
      </c>
      <c r="L114" s="1" t="n">
        <v>0</v>
      </c>
      <c r="M114" s="1" t="inlineStr">
        <is>
          <t>4010</t>
        </is>
      </c>
      <c r="N114" s="1" t="inlineStr">
        <is>
          <t>Open</t>
        </is>
      </c>
      <c r="O114" s="1" t="inlineStr">
        <is>
          <t>PO-DGC-8179</t>
        </is>
      </c>
    </row>
    <row r="115">
      <c r="A115" s="1" t="inlineStr">
        <is>
          <t>INV-2025-40114</t>
        </is>
      </c>
      <c r="B115" s="2" t="n">
        <v>45960</v>
      </c>
      <c r="C115" s="1" t="inlineStr">
        <is>
          <t>Ironvale Grocery Group</t>
        </is>
      </c>
      <c r="D115" s="1" t="inlineStr">
        <is>
          <t>IVG-MSA-2023-73</t>
        </is>
      </c>
      <c r="E115" s="1" t="inlineStr">
        <is>
          <t>Autonomous mobile robot, 450 kg payload</t>
        </is>
      </c>
      <c r="F115" s="1" t="n">
        <v>4</v>
      </c>
      <c r="G115" s="1" t="n">
        <v>67900</v>
      </c>
      <c r="H115" s="1">
        <f>F115*G115</f>
        <v/>
      </c>
      <c r="I115" s="1" t="n">
        <v>0</v>
      </c>
      <c r="J115" s="1">
        <f>ROUND(H115*I115,2)</f>
        <v/>
      </c>
      <c r="K115" s="1" t="inlineStr">
        <is>
          <t>2025-11</t>
        </is>
      </c>
      <c r="L115" s="1" t="n">
        <v>0</v>
      </c>
      <c r="M115" s="1" t="inlineStr">
        <is>
          <t>4010</t>
        </is>
      </c>
      <c r="N115" s="1" t="inlineStr">
        <is>
          <t>Open</t>
        </is>
      </c>
      <c r="O115" s="1" t="inlineStr">
        <is>
          <t>PO-IVG-1417</t>
        </is>
      </c>
    </row>
    <row r="116">
      <c r="A116" s="1" t="inlineStr">
        <is>
          <t>INV-2025-40115</t>
        </is>
      </c>
      <c r="B116" s="2" t="n">
        <v>45989</v>
      </c>
      <c r="C116" s="1" t="inlineStr">
        <is>
          <t>Granite Peak Distribution</t>
        </is>
      </c>
      <c r="D116" s="1" t="inlineStr">
        <is>
          <t>GPD-MSA-2024-13</t>
        </is>
      </c>
      <c r="E116" s="1" t="inlineStr">
        <is>
          <t>Opportunity charging dock</t>
        </is>
      </c>
      <c r="F116" s="1" t="n">
        <v>13</v>
      </c>
      <c r="G116" s="1" t="n">
        <v>11800</v>
      </c>
      <c r="H116" s="1">
        <f>F116*G116</f>
        <v/>
      </c>
      <c r="I116" s="1" t="n">
        <v>0.0475</v>
      </c>
      <c r="J116" s="1">
        <f>ROUND(H116*I116,2)</f>
        <v/>
      </c>
      <c r="K116" s="1" t="inlineStr">
        <is>
          <t>2025-12</t>
        </is>
      </c>
      <c r="L116" s="1" t="n">
        <v>0</v>
      </c>
      <c r="M116" s="1" t="inlineStr">
        <is>
          <t>4010</t>
        </is>
      </c>
      <c r="N116" s="1" t="inlineStr">
        <is>
          <t>Paid</t>
        </is>
      </c>
      <c r="O116" s="1" t="inlineStr">
        <is>
          <t>PO-GPD-9317</t>
        </is>
      </c>
    </row>
    <row r="117">
      <c r="A117" s="1" t="inlineStr">
        <is>
          <t>INV-2025-40116</t>
        </is>
      </c>
      <c r="B117" s="2" t="n">
        <v>46021</v>
      </c>
      <c r="C117" s="1" t="inlineStr">
        <is>
          <t>Orchard Grove Foods</t>
        </is>
      </c>
      <c r="D117" s="1" t="inlineStr">
        <is>
          <t>OGF-MSA-2024-59</t>
        </is>
      </c>
      <c r="E117" s="1" t="inlineStr">
        <is>
          <t>Deployment and commissioning services</t>
        </is>
      </c>
      <c r="F117" s="1" t="n">
        <v>31</v>
      </c>
      <c r="G117" s="1" t="n">
        <v>1147</v>
      </c>
      <c r="H117" s="1">
        <f>F117*G117</f>
        <v/>
      </c>
      <c r="I117" s="1" t="n">
        <v>0.065</v>
      </c>
      <c r="J117" s="1">
        <f>ROUND(H117*I117,2)</f>
        <v/>
      </c>
      <c r="K117" s="1" t="inlineStr">
        <is>
          <t>2026-01</t>
        </is>
      </c>
      <c r="L117" s="1" t="n">
        <v>1422.28</v>
      </c>
      <c r="M117" s="1" t="inlineStr">
        <is>
          <t>4030</t>
        </is>
      </c>
      <c r="N117" s="1" t="inlineStr">
        <is>
          <t>Disputed</t>
        </is>
      </c>
      <c r="O117" s="1" t="inlineStr">
        <is>
          <t>PO-OGF-1312</t>
        </is>
      </c>
    </row>
    <row r="118">
      <c r="A118" s="1" t="inlineStr">
        <is>
          <t>INV-2025-40117</t>
        </is>
      </c>
      <c r="B118" s="2" t="n">
        <v>45947</v>
      </c>
      <c r="C118" s="1" t="inlineStr">
        <is>
          <t>Redwood Optics</t>
        </is>
      </c>
      <c r="D118" s="1" t="inlineStr">
        <is>
          <t>RWO-MSA-2022-77</t>
        </is>
      </c>
      <c r="E118" s="1" t="inlineStr">
        <is>
          <t>Opportunity charging dock</t>
        </is>
      </c>
      <c r="F118" s="1" t="n">
        <v>6</v>
      </c>
      <c r="G118" s="1" t="n">
        <v>9600</v>
      </c>
      <c r="H118" s="1">
        <f>F118*G118</f>
        <v/>
      </c>
      <c r="I118" s="1" t="n">
        <v>0.0475</v>
      </c>
      <c r="J118" s="1">
        <f>ROUND(H118*I118,2)</f>
        <v/>
      </c>
      <c r="K118" s="1" t="inlineStr">
        <is>
          <t>2025-11</t>
        </is>
      </c>
      <c r="L118" s="1" t="n">
        <v>0</v>
      </c>
      <c r="M118" s="1" t="inlineStr">
        <is>
          <t>4010</t>
        </is>
      </c>
      <c r="N118" s="1" t="inlineStr">
        <is>
          <t>Paid</t>
        </is>
      </c>
      <c r="O118" s="1" t="inlineStr">
        <is>
          <t>PO-RWO-2010</t>
        </is>
      </c>
    </row>
    <row r="119">
      <c r="A119" s="1" t="inlineStr">
        <is>
          <t>INV-2025-40118</t>
        </is>
      </c>
      <c r="B119" s="2" t="n">
        <v>45989</v>
      </c>
      <c r="C119" s="1" t="inlineStr">
        <is>
          <t>Granite Peak Distribution</t>
        </is>
      </c>
      <c r="D119" s="1" t="inlineStr">
        <is>
          <t>GPD-MSA-2024-33</t>
        </is>
      </c>
      <c r="E119" s="1" t="inlineStr">
        <is>
          <t>Safety scanner retrofit kit</t>
        </is>
      </c>
      <c r="F119" s="1" t="n">
        <v>4</v>
      </c>
      <c r="G119" s="1" t="n">
        <v>7250</v>
      </c>
      <c r="H119" s="1">
        <f>F119*G119</f>
        <v/>
      </c>
      <c r="I119" s="1" t="n">
        <v>0.06</v>
      </c>
      <c r="J119" s="1">
        <f>ROUND(H119*I119,2)</f>
        <v/>
      </c>
      <c r="K119" s="1" t="inlineStr">
        <is>
          <t>2025-12</t>
        </is>
      </c>
      <c r="L119" s="1" t="n">
        <v>0</v>
      </c>
      <c r="M119" s="1" t="inlineStr">
        <is>
          <t>4010</t>
        </is>
      </c>
      <c r="N119" s="1" t="inlineStr">
        <is>
          <t>Paid</t>
        </is>
      </c>
      <c r="O119" s="1" t="inlineStr">
        <is>
          <t>PO-GPD-9125</t>
        </is>
      </c>
    </row>
    <row r="120">
      <c r="A120" s="1" t="inlineStr">
        <is>
          <t>INV-2025-40119</t>
        </is>
      </c>
      <c r="B120" s="2" t="n">
        <v>45994</v>
      </c>
      <c r="C120" s="1" t="inlineStr">
        <is>
          <t>Pioneer Freight Union</t>
        </is>
      </c>
      <c r="D120" s="1" t="inlineStr">
        <is>
          <t>PFU-MSA-2023-46</t>
        </is>
      </c>
      <c r="E120" s="1" t="inlineStr">
        <is>
          <t>Fleet orchestration platform, annual site licence</t>
        </is>
      </c>
      <c r="F120" s="1" t="n">
        <v>4</v>
      </c>
      <c r="G120" s="1" t="n">
        <v>96000</v>
      </c>
      <c r="H120" s="1">
        <f>F120*G120</f>
        <v/>
      </c>
      <c r="I120" s="1" t="n">
        <v>0</v>
      </c>
      <c r="J120" s="1">
        <f>ROUND(H120*I120,2)</f>
        <v/>
      </c>
      <c r="K120" s="1" t="inlineStr">
        <is>
          <t>2026-01</t>
        </is>
      </c>
      <c r="L120" s="1" t="n">
        <v>276480</v>
      </c>
      <c r="M120" s="1" t="inlineStr">
        <is>
          <t>4020</t>
        </is>
      </c>
      <c r="N120" s="1" t="inlineStr">
        <is>
          <t>Partially paid</t>
        </is>
      </c>
      <c r="O120" s="1" t="inlineStr">
        <is>
          <t>PO-PFU-9844</t>
        </is>
      </c>
    </row>
    <row r="121">
      <c r="A121" s="1" t="inlineStr">
        <is>
          <t>INV-2025-40120</t>
        </is>
      </c>
      <c r="B121" s="2" t="n">
        <v>45961</v>
      </c>
      <c r="C121" s="1" t="inlineStr">
        <is>
          <t>Meridian Dynamics</t>
        </is>
      </c>
      <c r="D121" s="1" t="inlineStr">
        <is>
          <t>MDY-MSA-2025-82</t>
        </is>
      </c>
      <c r="E121" s="1" t="inlineStr">
        <is>
          <t>Remote operations desk coverage</t>
        </is>
      </c>
      <c r="F121" s="1" t="n">
        <v>1</v>
      </c>
      <c r="G121" s="1" t="n">
        <v>12600</v>
      </c>
      <c r="H121" s="1">
        <f>F121*G121</f>
        <v/>
      </c>
      <c r="I121" s="1" t="n">
        <v>0.07000000000000001</v>
      </c>
      <c r="J121" s="1">
        <f>ROUND(H121*I121,2)</f>
        <v/>
      </c>
      <c r="K121" s="1" t="inlineStr">
        <is>
          <t>2025-11</t>
        </is>
      </c>
      <c r="L121" s="1" t="n">
        <v>9198</v>
      </c>
      <c r="M121" s="1" t="inlineStr">
        <is>
          <t>4020</t>
        </is>
      </c>
      <c r="N121" s="1" t="inlineStr">
        <is>
          <t>Paid</t>
        </is>
      </c>
      <c r="O121" s="1" t="inlineStr">
        <is>
          <t>PO-MDY-6609</t>
        </is>
      </c>
    </row>
    <row r="122">
      <c r="A122" s="1" t="inlineStr">
        <is>
          <t>FY25Q4 Invoices subtotal</t>
        </is>
      </c>
      <c r="B122" s="1" t="inlineStr"/>
      <c r="C122" s="1" t="inlineStr"/>
      <c r="D122" s="1" t="inlineStr"/>
      <c r="E122" s="1" t="inlineStr"/>
      <c r="F122" s="1" t="inlineStr"/>
      <c r="G122" s="1" t="inlineStr"/>
      <c r="H122" s="1">
        <f>SUM(H2:H121)</f>
        <v/>
      </c>
      <c r="I122" s="1" t="inlineStr"/>
      <c r="J122" s="1">
        <f>SUM(J2:J121)</f>
        <v/>
      </c>
      <c r="K122" s="1" t="inlineStr"/>
      <c r="L122" s="1">
        <f>SUM(L2:L121)</f>
        <v/>
      </c>
      <c r="M122" s="1" t="inlineStr"/>
      <c r="N122" s="1" t="inlineStr">
        <is>
          <t>Subtotal</t>
        </is>
      </c>
      <c r="O122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invoice_date</t>
        </is>
      </c>
      <c r="C1" s="1" t="inlineStr">
        <is>
          <t>customer</t>
        </is>
      </c>
      <c r="D1" s="1" t="inlineStr">
        <is>
          <t>contract_ref</t>
        </is>
      </c>
      <c r="E1" s="1" t="inlineStr">
        <is>
          <t>line_description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extended_amount</t>
        </is>
      </c>
      <c r="I1" s="1" t="inlineStr">
        <is>
          <t>tax_rate</t>
        </is>
      </c>
      <c r="J1" s="1" t="inlineStr">
        <is>
          <t>tax_amount</t>
        </is>
      </c>
      <c r="K1" s="1" t="inlineStr">
        <is>
          <t>revenue_recognition_period</t>
        </is>
      </c>
      <c r="L1" s="1" t="inlineStr">
        <is>
          <t>deferred_portion</t>
        </is>
      </c>
      <c r="M1" s="1" t="inlineStr">
        <is>
          <t>gl_account</t>
        </is>
      </c>
      <c r="N1" s="1" t="inlineStr">
        <is>
          <t>status</t>
        </is>
      </c>
      <c r="O1" s="1" t="inlineStr">
        <is>
          <t>po_reference</t>
        </is>
      </c>
    </row>
    <row r="2">
      <c r="A2" s="1" t="inlineStr">
        <is>
          <t>INV-2026-50001</t>
        </is>
      </c>
      <c r="B2" s="2" t="n">
        <v>46080</v>
      </c>
      <c r="C2" s="1" t="inlineStr">
        <is>
          <t>Meridian Dynamics</t>
        </is>
      </c>
      <c r="D2" s="1" t="inlineStr">
        <is>
          <t>MDY-MSA-2023-13</t>
        </is>
      </c>
      <c r="E2" s="1" t="inlineStr">
        <is>
          <t>Autonomous mobile robot, 450 kg payload</t>
        </is>
      </c>
      <c r="F2" s="1" t="n">
        <v>12</v>
      </c>
      <c r="G2" s="1" t="n">
        <v>66200</v>
      </c>
      <c r="H2" s="1">
        <f>F2*G2</f>
        <v/>
      </c>
      <c r="I2" s="1" t="n">
        <v>0.0825</v>
      </c>
      <c r="J2" s="1">
        <f>ROUND(H2*I2,2)</f>
        <v/>
      </c>
      <c r="K2" s="1" t="inlineStr">
        <is>
          <t>2026-03</t>
        </is>
      </c>
      <c r="L2" s="1" t="n">
        <v>0</v>
      </c>
      <c r="M2" s="1" t="inlineStr">
        <is>
          <t>4010</t>
        </is>
      </c>
      <c r="N2" s="1" t="inlineStr">
        <is>
          <t>Paid</t>
        </is>
      </c>
      <c r="O2" s="1" t="inlineStr">
        <is>
          <t>PO-MDY-6232</t>
        </is>
      </c>
    </row>
    <row r="3">
      <c r="A3" s="1" t="inlineStr">
        <is>
          <t>INV-2026-50002</t>
        </is>
      </c>
      <c r="B3" s="2" t="n">
        <v>46087</v>
      </c>
      <c r="C3" s="1" t="inlineStr">
        <is>
          <t>Keystone Paper &amp; Pack</t>
        </is>
      </c>
      <c r="D3" s="1" t="inlineStr">
        <is>
          <t>KPP-MSA-2022-85</t>
        </is>
      </c>
      <c r="E3" s="1" t="inlineStr">
        <is>
          <t>Operator training programme</t>
        </is>
      </c>
      <c r="F3" s="1" t="n">
        <v>1</v>
      </c>
      <c r="G3" s="1" t="n">
        <v>2800</v>
      </c>
      <c r="H3" s="1">
        <f>F3*G3</f>
        <v/>
      </c>
      <c r="I3" s="1" t="n">
        <v>0</v>
      </c>
      <c r="J3" s="1">
        <f>ROUND(H3*I3,2)</f>
        <v/>
      </c>
      <c r="K3" s="1" t="inlineStr">
        <is>
          <t>2026-04</t>
        </is>
      </c>
      <c r="L3" s="1" t="n">
        <v>28</v>
      </c>
      <c r="M3" s="1" t="inlineStr">
        <is>
          <t>4030</t>
        </is>
      </c>
      <c r="N3" s="1" t="inlineStr">
        <is>
          <t>Paid</t>
        </is>
      </c>
      <c r="O3" s="1" t="inlineStr">
        <is>
          <t>PO-KPP-4650</t>
        </is>
      </c>
    </row>
    <row r="4">
      <c r="A4" s="1" t="inlineStr">
        <is>
          <t>INV-2026-50003</t>
        </is>
      </c>
      <c r="B4" s="2" t="n">
        <v>46052</v>
      </c>
      <c r="C4" s="1" t="inlineStr">
        <is>
          <t>Ironvale Grocery Group</t>
        </is>
      </c>
      <c r="D4" s="1" t="inlineStr">
        <is>
          <t>IVG-MSA-2022-80</t>
        </is>
      </c>
      <c r="E4" s="1" t="inlineStr">
        <is>
          <t>Safety scanner retrofit kit</t>
        </is>
      </c>
      <c r="F4" s="1" t="n">
        <v>1</v>
      </c>
      <c r="G4" s="1" t="n">
        <v>6350</v>
      </c>
      <c r="H4" s="1">
        <f>F4*G4</f>
        <v/>
      </c>
      <c r="I4" s="1" t="n">
        <v>0.0475</v>
      </c>
      <c r="J4" s="1">
        <f>ROUND(H4*I4,2)</f>
        <v/>
      </c>
      <c r="K4" s="1" t="inlineStr">
        <is>
          <t>2026-02</t>
        </is>
      </c>
      <c r="L4" s="1" t="n">
        <v>0</v>
      </c>
      <c r="M4" s="1" t="inlineStr">
        <is>
          <t>4010</t>
        </is>
      </c>
      <c r="N4" s="1" t="inlineStr">
        <is>
          <t>Credit issued</t>
        </is>
      </c>
      <c r="O4" s="1" t="inlineStr">
        <is>
          <t>PO-IVG-4650</t>
        </is>
      </c>
    </row>
    <row r="5">
      <c r="A5" s="1" t="inlineStr">
        <is>
          <t>INV-2026-50004</t>
        </is>
      </c>
      <c r="B5" s="2" t="n">
        <v>46080</v>
      </c>
      <c r="C5" s="1" t="inlineStr">
        <is>
          <t>Dunbar Industrial</t>
        </is>
      </c>
      <c r="D5" s="1" t="inlineStr">
        <is>
          <t>DBI-MSA-2024-12</t>
        </is>
      </c>
      <c r="E5" s="1" t="inlineStr">
        <is>
          <t>Deployment and commissioning services</t>
        </is>
      </c>
      <c r="F5" s="1" t="n">
        <v>17</v>
      </c>
      <c r="G5" s="1" t="n">
        <v>1600</v>
      </c>
      <c r="H5" s="1">
        <f>F5*G5</f>
        <v/>
      </c>
      <c r="I5" s="1" t="n">
        <v>0</v>
      </c>
      <c r="J5" s="1">
        <f>ROUND(H5*I5,2)</f>
        <v/>
      </c>
      <c r="K5" s="1" t="inlineStr">
        <is>
          <t>2026-03</t>
        </is>
      </c>
      <c r="L5" s="1" t="n">
        <v>1632</v>
      </c>
      <c r="M5" s="1" t="inlineStr">
        <is>
          <t>4030</t>
        </is>
      </c>
      <c r="N5" s="1" t="inlineStr">
        <is>
          <t>Disputed</t>
        </is>
      </c>
      <c r="O5" s="1" t="inlineStr">
        <is>
          <t>PO-DBI-6147</t>
        </is>
      </c>
    </row>
    <row r="6">
      <c r="A6" s="1" t="inlineStr">
        <is>
          <t>INV-2026-50005</t>
        </is>
      </c>
      <c r="B6" s="2" t="n">
        <v>46112</v>
      </c>
      <c r="C6" s="1" t="inlineStr">
        <is>
          <t>Evergreen Warehousing</t>
        </is>
      </c>
      <c r="D6" s="1" t="inlineStr">
        <is>
          <t>EVW-MSA-2023-48</t>
        </is>
      </c>
      <c r="E6" s="1" t="inlineStr">
        <is>
          <t>Deployment and commissioning services</t>
        </is>
      </c>
      <c r="F6" s="1" t="n">
        <v>34</v>
      </c>
      <c r="G6" s="1" t="n">
        <v>1600</v>
      </c>
      <c r="H6" s="1">
        <f>F6*G6</f>
        <v/>
      </c>
      <c r="I6" s="1" t="n">
        <v>0.0475</v>
      </c>
      <c r="J6" s="1">
        <f>ROUND(H6*I6,2)</f>
        <v/>
      </c>
      <c r="K6" s="1" t="inlineStr">
        <is>
          <t>2026-04</t>
        </is>
      </c>
      <c r="L6" s="1" t="n">
        <v>9248</v>
      </c>
      <c r="M6" s="1" t="inlineStr">
        <is>
          <t>4030</t>
        </is>
      </c>
      <c r="N6" s="1" t="inlineStr">
        <is>
          <t>Credit issued</t>
        </is>
      </c>
      <c r="O6" s="1" t="inlineStr">
        <is>
          <t>PO-EVW-7321</t>
        </is>
      </c>
    </row>
    <row r="7">
      <c r="A7" s="1" t="inlineStr">
        <is>
          <t>INV-2026-50006</t>
        </is>
      </c>
      <c r="B7" s="2" t="n">
        <v>46034</v>
      </c>
      <c r="C7" s="1" t="inlineStr">
        <is>
          <t>Pioneer Freight Union</t>
        </is>
      </c>
      <c r="D7" s="1" t="inlineStr">
        <is>
          <t>PFU-MSA-2024-16</t>
        </is>
      </c>
      <c r="E7" s="1" t="inlineStr">
        <is>
          <t>Opportunity charging dock</t>
        </is>
      </c>
      <c r="F7" s="1" t="n">
        <v>9</v>
      </c>
      <c r="G7" s="1" t="n">
        <v>10400</v>
      </c>
      <c r="H7" s="1">
        <f>F7*G7</f>
        <v/>
      </c>
      <c r="I7" s="1" t="n">
        <v>0.07000000000000001</v>
      </c>
      <c r="J7" s="1">
        <f>ROUND(H7*I7,2)</f>
        <v/>
      </c>
      <c r="K7" s="1" t="inlineStr">
        <is>
          <t>2026-02</t>
        </is>
      </c>
      <c r="L7" s="1" t="n">
        <v>0</v>
      </c>
      <c r="M7" s="1" t="inlineStr">
        <is>
          <t>4010</t>
        </is>
      </c>
      <c r="N7" s="1" t="inlineStr">
        <is>
          <t>Paid</t>
        </is>
      </c>
      <c r="O7" s="1" t="inlineStr">
        <is>
          <t>PO-PFU-3439</t>
        </is>
      </c>
    </row>
    <row r="8">
      <c r="A8" s="1" t="inlineStr">
        <is>
          <t>INV-2026-50007</t>
        </is>
      </c>
      <c r="B8" s="2" t="n">
        <v>46079</v>
      </c>
      <c r="C8" s="1" t="inlineStr">
        <is>
          <t>Union Vale Pharma</t>
        </is>
      </c>
      <c r="D8" s="1" t="inlineStr">
        <is>
          <t>UVP-MSA-2025-33</t>
        </is>
      </c>
      <c r="E8" s="1" t="inlineStr">
        <is>
          <t>Remote operations desk coverage</t>
        </is>
      </c>
      <c r="F8" s="1" t="n">
        <v>3</v>
      </c>
      <c r="G8" s="1" t="n">
        <v>11200</v>
      </c>
      <c r="H8" s="1">
        <f>F8*G8</f>
        <v/>
      </c>
      <c r="I8" s="1" t="n">
        <v>0</v>
      </c>
      <c r="J8" s="1">
        <f>ROUND(H8*I8,2)</f>
        <v/>
      </c>
      <c r="K8" s="1" t="inlineStr">
        <is>
          <t>2026-03</t>
        </is>
      </c>
      <c r="L8" s="1" t="n">
        <v>26208</v>
      </c>
      <c r="M8" s="1" t="inlineStr">
        <is>
          <t>4020</t>
        </is>
      </c>
      <c r="N8" s="1" t="inlineStr">
        <is>
          <t>Paid</t>
        </is>
      </c>
      <c r="O8" s="1" t="inlineStr">
        <is>
          <t>PO-UVP-5066</t>
        </is>
      </c>
    </row>
    <row r="9">
      <c r="A9" s="1" t="inlineStr">
        <is>
          <t>INV-2026-50008</t>
        </is>
      </c>
      <c r="B9" s="2" t="n">
        <v>46105</v>
      </c>
      <c r="C9" s="1" t="inlineStr">
        <is>
          <t>Zephyr Air Cargo</t>
        </is>
      </c>
      <c r="D9" s="1" t="inlineStr">
        <is>
          <t>ZAC-MSA-2024-30</t>
        </is>
      </c>
      <c r="E9" s="1" t="inlineStr">
        <is>
          <t>Remote operations desk coverage</t>
        </is>
      </c>
      <c r="F9" s="1" t="n">
        <v>2</v>
      </c>
      <c r="G9" s="1" t="n">
        <v>10400</v>
      </c>
      <c r="H9" s="1">
        <f>F9*G9</f>
        <v/>
      </c>
      <c r="I9" s="1" t="n">
        <v>0.06</v>
      </c>
      <c r="J9" s="1">
        <f>ROUND(H9*I9,2)</f>
        <v/>
      </c>
      <c r="K9" s="1" t="inlineStr">
        <is>
          <t>2026-04</t>
        </is>
      </c>
      <c r="L9" s="1" t="n">
        <v>17264</v>
      </c>
      <c r="M9" s="1" t="inlineStr">
        <is>
          <t>4020</t>
        </is>
      </c>
      <c r="N9" s="1" t="inlineStr">
        <is>
          <t>Open</t>
        </is>
      </c>
      <c r="O9" s="1" t="inlineStr">
        <is>
          <t>PO-ZAC-1623</t>
        </is>
      </c>
    </row>
    <row r="10">
      <c r="A10" s="1" t="inlineStr">
        <is>
          <t>INV-2026-50009</t>
        </is>
      </c>
      <c r="B10" s="2" t="n">
        <v>46035</v>
      </c>
      <c r="C10" s="1" t="inlineStr">
        <is>
          <t>Granite Peak Distribution</t>
        </is>
      </c>
      <c r="D10" s="1" t="inlineStr">
        <is>
          <t>GPD-MSA-2024-63</t>
        </is>
      </c>
      <c r="E10" s="1" t="inlineStr">
        <is>
          <t>Autonomous mobile robot, 220 kg payload</t>
        </is>
      </c>
      <c r="F10" s="1" t="n">
        <v>8</v>
      </c>
      <c r="G10" s="1" t="n">
        <v>41250</v>
      </c>
      <c r="H10" s="1">
        <f>F10*G10</f>
        <v/>
      </c>
      <c r="I10" s="1" t="n">
        <v>0.065</v>
      </c>
      <c r="J10" s="1">
        <f>ROUND(H10*I10,2)</f>
        <v/>
      </c>
      <c r="K10" s="1" t="inlineStr">
        <is>
          <t>2026-02</t>
        </is>
      </c>
      <c r="L10" s="1" t="n">
        <v>0</v>
      </c>
      <c r="M10" s="1" t="inlineStr">
        <is>
          <t>4010</t>
        </is>
      </c>
      <c r="N10" s="1" t="inlineStr">
        <is>
          <t>Credit issued</t>
        </is>
      </c>
      <c r="O10" s="1" t="inlineStr">
        <is>
          <t>PO-GPD-9250</t>
        </is>
      </c>
    </row>
    <row r="11">
      <c r="A11" s="1" t="inlineStr">
        <is>
          <t>INV-2026-50010</t>
        </is>
      </c>
      <c r="B11" s="2" t="n">
        <v>46080</v>
      </c>
      <c r="C11" s="1" t="inlineStr">
        <is>
          <t>Yarrow Home Goods</t>
        </is>
      </c>
      <c r="D11" s="1" t="inlineStr">
        <is>
          <t>YHG-MSA-2023-37</t>
        </is>
      </c>
      <c r="E11" s="1" t="inlineStr">
        <is>
          <t>Deployment and commissioning services</t>
        </is>
      </c>
      <c r="F11" s="1" t="n">
        <v>45</v>
      </c>
      <c r="G11" s="1" t="n">
        <v>1147</v>
      </c>
      <c r="H11" s="1">
        <f>F11*G11</f>
        <v/>
      </c>
      <c r="I11" s="1" t="n">
        <v>0</v>
      </c>
      <c r="J11" s="1">
        <f>ROUND(H11*I11,2)</f>
        <v/>
      </c>
      <c r="K11" s="1" t="inlineStr">
        <is>
          <t>2026-03</t>
        </is>
      </c>
      <c r="L11" s="1" t="n">
        <v>3613.05</v>
      </c>
      <c r="M11" s="1" t="inlineStr">
        <is>
          <t>4030</t>
        </is>
      </c>
      <c r="N11" s="1" t="inlineStr">
        <is>
          <t>Paid</t>
        </is>
      </c>
      <c r="O11" s="1" t="inlineStr">
        <is>
          <t>PO-YHG-1318</t>
        </is>
      </c>
    </row>
    <row r="12">
      <c r="A12" s="1" t="inlineStr">
        <is>
          <t>INV-2026-50011</t>
        </is>
      </c>
      <c r="B12" s="2" t="n">
        <v>46094</v>
      </c>
      <c r="C12" s="1" t="inlineStr">
        <is>
          <t>Harborline Systems</t>
        </is>
      </c>
      <c r="D12" s="1" t="inlineStr">
        <is>
          <t>HLS-MSA-2025-59</t>
        </is>
      </c>
      <c r="E12" s="1" t="inlineStr">
        <is>
          <t>Fleet orchestration platform, annual site licence</t>
        </is>
      </c>
      <c r="F12" s="1" t="n">
        <v>4</v>
      </c>
      <c r="G12" s="1" t="n">
        <v>96000</v>
      </c>
      <c r="H12" s="1">
        <f>F12*G12</f>
        <v/>
      </c>
      <c r="I12" s="1" t="n">
        <v>0.06</v>
      </c>
      <c r="J12" s="1">
        <f>ROUND(H12*I12,2)</f>
        <v/>
      </c>
      <c r="K12" s="1" t="inlineStr">
        <is>
          <t>2026-04</t>
        </is>
      </c>
      <c r="L12" s="1" t="n">
        <v>261120</v>
      </c>
      <c r="M12" s="1" t="inlineStr">
        <is>
          <t>4020</t>
        </is>
      </c>
      <c r="N12" s="1" t="inlineStr">
        <is>
          <t>Written off</t>
        </is>
      </c>
      <c r="O12" s="1" t="inlineStr">
        <is>
          <t>PO-HLS-6028</t>
        </is>
      </c>
    </row>
    <row r="13">
      <c r="A13" s="1" t="inlineStr">
        <is>
          <t>INV-2026-50012</t>
        </is>
      </c>
      <c r="B13" s="2" t="n">
        <v>46052</v>
      </c>
      <c r="C13" s="1" t="inlineStr">
        <is>
          <t>Blue Mesa Components</t>
        </is>
      </c>
      <c r="D13" s="1" t="inlineStr">
        <is>
          <t>BMC-MSA-2022-50</t>
        </is>
      </c>
      <c r="E13" s="1" t="inlineStr">
        <is>
          <t>Safety scanner retrofit kit</t>
        </is>
      </c>
      <c r="F13" s="1" t="n">
        <v>4</v>
      </c>
      <c r="G13" s="1" t="n">
        <v>5050</v>
      </c>
      <c r="H13" s="1">
        <f>F13*G13</f>
        <v/>
      </c>
      <c r="I13" s="1" t="n">
        <v>0.07000000000000001</v>
      </c>
      <c r="J13" s="1">
        <f>ROUND(H13*I13,2)</f>
        <v/>
      </c>
      <c r="K13" s="1" t="inlineStr">
        <is>
          <t>2026-02</t>
        </is>
      </c>
      <c r="L13" s="1" t="n">
        <v>0</v>
      </c>
      <c r="M13" s="1" t="inlineStr">
        <is>
          <t>4010</t>
        </is>
      </c>
      <c r="N13" s="1" t="inlineStr">
        <is>
          <t>Credit issued</t>
        </is>
      </c>
      <c r="O13" s="1" t="inlineStr">
        <is>
          <t>PO-BMC-6759</t>
        </is>
      </c>
    </row>
    <row r="14">
      <c r="A14" s="1" t="inlineStr">
        <is>
          <t>INV-2026-50013</t>
        </is>
      </c>
      <c r="B14" s="2" t="n">
        <v>46057</v>
      </c>
      <c r="C14" s="1" t="inlineStr">
        <is>
          <t>Calder Marine Supply</t>
        </is>
      </c>
      <c r="D14" s="1" t="inlineStr">
        <is>
          <t>CMS-MSA-2023-46</t>
        </is>
      </c>
      <c r="E14" s="1" t="inlineStr">
        <is>
          <t>Operator training programme</t>
        </is>
      </c>
      <c r="F14" s="1" t="n">
        <v>3</v>
      </c>
      <c r="G14" s="1" t="n">
        <v>2604</v>
      </c>
      <c r="H14" s="1">
        <f>F14*G14</f>
        <v/>
      </c>
      <c r="I14" s="1" t="n">
        <v>0.0475</v>
      </c>
      <c r="J14" s="1">
        <f>ROUND(H14*I14,2)</f>
        <v/>
      </c>
      <c r="K14" s="1" t="inlineStr">
        <is>
          <t>2026-03</t>
        </is>
      </c>
      <c r="L14" s="1" t="n">
        <v>1562.4</v>
      </c>
      <c r="M14" s="1" t="inlineStr">
        <is>
          <t>4030</t>
        </is>
      </c>
      <c r="N14" s="1" t="inlineStr">
        <is>
          <t>Paid</t>
        </is>
      </c>
      <c r="O14" s="1" t="inlineStr">
        <is>
          <t>PO-CMS-1415</t>
        </is>
      </c>
    </row>
    <row r="15">
      <c r="A15" s="1" t="inlineStr">
        <is>
          <t>INV-2026-50014</t>
        </is>
      </c>
      <c r="B15" s="2" t="n">
        <v>46112</v>
      </c>
      <c r="C15" s="1" t="inlineStr">
        <is>
          <t>Asterion Logistics</t>
        </is>
      </c>
      <c r="D15" s="1" t="inlineStr">
        <is>
          <t>AST-MSA-2023-30</t>
        </is>
      </c>
      <c r="E15" s="1" t="inlineStr">
        <is>
          <t>Autonomous mobile robot, 220 kg payload</t>
        </is>
      </c>
      <c r="F15" s="1" t="n">
        <v>11</v>
      </c>
      <c r="G15" s="1" t="n">
        <v>41500</v>
      </c>
      <c r="H15" s="1">
        <f>F15*G15</f>
        <v/>
      </c>
      <c r="I15" s="1" t="n">
        <v>0.07000000000000001</v>
      </c>
      <c r="J15" s="1">
        <f>ROUND(H15*I15,2)</f>
        <v/>
      </c>
      <c r="K15" s="1" t="inlineStr">
        <is>
          <t>2026-04</t>
        </is>
      </c>
      <c r="L15" s="1" t="n">
        <v>0</v>
      </c>
      <c r="M15" s="1" t="inlineStr">
        <is>
          <t>4010</t>
        </is>
      </c>
      <c r="N15" s="1" t="inlineStr">
        <is>
          <t>Paid</t>
        </is>
      </c>
      <c r="O15" s="1" t="inlineStr">
        <is>
          <t>PO-AST-7990</t>
        </is>
      </c>
    </row>
    <row r="16">
      <c r="A16" s="1" t="inlineStr">
        <is>
          <t>INV-2026-50015</t>
        </is>
      </c>
      <c r="B16" s="2" t="n">
        <v>46038</v>
      </c>
      <c r="C16" s="1" t="inlineStr">
        <is>
          <t>Keystone Paper &amp; Pack</t>
        </is>
      </c>
      <c r="D16" s="1" t="inlineStr">
        <is>
          <t>KPP-MSA-2025-30</t>
        </is>
      </c>
      <c r="E16" s="1" t="inlineStr">
        <is>
          <t>Telemetry retention tier, extended</t>
        </is>
      </c>
      <c r="F16" s="1" t="n">
        <v>3</v>
      </c>
      <c r="G16" s="1" t="n">
        <v>24250</v>
      </c>
      <c r="H16" s="1">
        <f>F16*G16</f>
        <v/>
      </c>
      <c r="I16" s="1" t="n">
        <v>0.0475</v>
      </c>
      <c r="J16" s="1">
        <f>ROUND(H16*I16,2)</f>
        <v/>
      </c>
      <c r="K16" s="1" t="inlineStr">
        <is>
          <t>2026-02</t>
        </is>
      </c>
      <c r="L16" s="1" t="n">
        <v>49470</v>
      </c>
      <c r="M16" s="1" t="inlineStr">
        <is>
          <t>4020</t>
        </is>
      </c>
      <c r="N16" s="1" t="inlineStr">
        <is>
          <t>Paid</t>
        </is>
      </c>
      <c r="O16" s="1" t="inlineStr">
        <is>
          <t>PO-KPP-7594</t>
        </is>
      </c>
    </row>
    <row r="17">
      <c r="A17" s="1" t="inlineStr">
        <is>
          <t>INV-2026-50016</t>
        </is>
      </c>
      <c r="B17" s="2" t="n">
        <v>46080</v>
      </c>
      <c r="C17" s="1" t="inlineStr">
        <is>
          <t>Westlake Chemical Depot</t>
        </is>
      </c>
      <c r="D17" s="1" t="inlineStr">
        <is>
          <t>WCD-MSA-2025-14</t>
        </is>
      </c>
      <c r="E17" s="1" t="inlineStr">
        <is>
          <t>Fleet orchestration platform, annual site licence</t>
        </is>
      </c>
      <c r="F17" s="1" t="n">
        <v>2</v>
      </c>
      <c r="G17" s="1" t="n">
        <v>94600</v>
      </c>
      <c r="H17" s="1">
        <f>F17*G17</f>
        <v/>
      </c>
      <c r="I17" s="1" t="n">
        <v>0.0825</v>
      </c>
      <c r="J17" s="1">
        <f>ROUND(H17*I17,2)</f>
        <v/>
      </c>
      <c r="K17" s="1" t="inlineStr">
        <is>
          <t>2026-03</t>
        </is>
      </c>
      <c r="L17" s="1" t="n">
        <v>153252</v>
      </c>
      <c r="M17" s="1" t="inlineStr">
        <is>
          <t>4020</t>
        </is>
      </c>
      <c r="N17" s="1" t="inlineStr">
        <is>
          <t>Paid</t>
        </is>
      </c>
      <c r="O17" s="1" t="inlineStr">
        <is>
          <t>PO-WCD-9713</t>
        </is>
      </c>
    </row>
    <row r="18">
      <c r="A18" s="1" t="inlineStr">
        <is>
          <t>INV-2026-50017</t>
        </is>
      </c>
      <c r="B18" s="2" t="n">
        <v>46112</v>
      </c>
      <c r="C18" s="1" t="inlineStr">
        <is>
          <t>Granite Peak Distribution</t>
        </is>
      </c>
      <c r="D18" s="1" t="inlineStr">
        <is>
          <t>GPD-MSA-2023-33</t>
        </is>
      </c>
      <c r="E18" s="1" t="inlineStr">
        <is>
          <t>Premium support and spares pool</t>
        </is>
      </c>
      <c r="F18" s="1" t="n">
        <v>2</v>
      </c>
      <c r="G18" s="1" t="n">
        <v>55900</v>
      </c>
      <c r="H18" s="1">
        <f>F18*G18</f>
        <v/>
      </c>
      <c r="I18" s="1" t="n">
        <v>0.0475</v>
      </c>
      <c r="J18" s="1">
        <f>ROUND(H18*I18,2)</f>
        <v/>
      </c>
      <c r="K18" s="1" t="inlineStr">
        <is>
          <t>2026-04</t>
        </is>
      </c>
      <c r="L18" s="1" t="n">
        <v>74906</v>
      </c>
      <c r="M18" s="1" t="inlineStr">
        <is>
          <t>4020</t>
        </is>
      </c>
      <c r="N18" s="1" t="inlineStr">
        <is>
          <t>Written off</t>
        </is>
      </c>
      <c r="O18" s="1" t="inlineStr">
        <is>
          <t>PO-GPD-2851</t>
        </is>
      </c>
    </row>
    <row r="19">
      <c r="A19" s="1" t="inlineStr">
        <is>
          <t>INV-2026-50018</t>
        </is>
      </c>
      <c r="B19" s="2" t="n">
        <v>46044</v>
      </c>
      <c r="C19" s="1" t="inlineStr">
        <is>
          <t>Dorsey Grain Cooperative</t>
        </is>
      </c>
      <c r="D19" s="1" t="inlineStr">
        <is>
          <t>DGC-MSA-2022-66</t>
        </is>
      </c>
      <c r="E19" s="1" t="inlineStr">
        <is>
          <t>Safety scanner retrofit kit</t>
        </is>
      </c>
      <c r="F19" s="1" t="n">
        <v>1</v>
      </c>
      <c r="G19" s="1" t="n">
        <v>5050</v>
      </c>
      <c r="H19" s="1">
        <f>F19*G19</f>
        <v/>
      </c>
      <c r="I19" s="1" t="n">
        <v>0.09</v>
      </c>
      <c r="J19" s="1">
        <f>ROUND(H19*I19,2)</f>
        <v/>
      </c>
      <c r="K19" s="1" t="inlineStr">
        <is>
          <t>2026-02</t>
        </is>
      </c>
      <c r="L19" s="1" t="n">
        <v>0</v>
      </c>
      <c r="M19" s="1" t="inlineStr">
        <is>
          <t>4010</t>
        </is>
      </c>
      <c r="N19" s="1" t="inlineStr">
        <is>
          <t>Disputed</t>
        </is>
      </c>
      <c r="O19" s="1" t="inlineStr">
        <is>
          <t>PO-DGC-8413</t>
        </is>
      </c>
    </row>
    <row r="20">
      <c r="A20" s="1" t="inlineStr">
        <is>
          <t>INV-2026-50019</t>
        </is>
      </c>
      <c r="B20" s="2" t="n">
        <v>46052</v>
      </c>
      <c r="C20" s="1" t="inlineStr">
        <is>
          <t>Harborline Systems</t>
        </is>
      </c>
      <c r="D20" s="1" t="inlineStr">
        <is>
          <t>HLS-MSA-2022-33</t>
        </is>
      </c>
      <c r="E20" s="1" t="inlineStr">
        <is>
          <t>Premium support and spares pool</t>
        </is>
      </c>
      <c r="F20" s="1" t="n">
        <v>2</v>
      </c>
      <c r="G20" s="1" t="n">
        <v>55900</v>
      </c>
      <c r="H20" s="1">
        <f>F20*G20</f>
        <v/>
      </c>
      <c r="I20" s="1" t="n">
        <v>0.09</v>
      </c>
      <c r="J20" s="1">
        <f>ROUND(H20*I20,2)</f>
        <v/>
      </c>
      <c r="K20" s="1" t="inlineStr">
        <is>
          <t>2026-02</t>
        </is>
      </c>
      <c r="L20" s="1" t="n">
        <v>67080</v>
      </c>
      <c r="M20" s="1" t="inlineStr">
        <is>
          <t>4020</t>
        </is>
      </c>
      <c r="N20" s="1" t="inlineStr">
        <is>
          <t>Paid</t>
        </is>
      </c>
      <c r="O20" s="1" t="inlineStr">
        <is>
          <t>PO-HLS-9397</t>
        </is>
      </c>
    </row>
    <row r="21">
      <c r="A21" s="1" t="inlineStr">
        <is>
          <t>INV-2026-50020</t>
        </is>
      </c>
      <c r="B21" s="2" t="n">
        <v>46099</v>
      </c>
      <c r="C21" s="1" t="inlineStr">
        <is>
          <t>Asterion Logistics</t>
        </is>
      </c>
      <c r="D21" s="1" t="inlineStr">
        <is>
          <t>AST-MSA-2022-26</t>
        </is>
      </c>
      <c r="E21" s="1" t="inlineStr">
        <is>
          <t>Operator training programme</t>
        </is>
      </c>
      <c r="F21" s="1" t="n">
        <v>2</v>
      </c>
      <c r="G21" s="1" t="n">
        <v>2604</v>
      </c>
      <c r="H21" s="1">
        <f>F21*G21</f>
        <v/>
      </c>
      <c r="I21" s="1" t="n">
        <v>0.06</v>
      </c>
      <c r="J21" s="1">
        <f>ROUND(H21*I21,2)</f>
        <v/>
      </c>
      <c r="K21" s="1" t="inlineStr">
        <is>
          <t>2026-04</t>
        </is>
      </c>
      <c r="L21" s="1" t="n">
        <v>1093.68</v>
      </c>
      <c r="M21" s="1" t="inlineStr">
        <is>
          <t>4030</t>
        </is>
      </c>
      <c r="N21" s="1" t="inlineStr">
        <is>
          <t>Paid</t>
        </is>
      </c>
      <c r="O21" s="1" t="inlineStr">
        <is>
          <t>PO-AST-5299</t>
        </is>
      </c>
    </row>
    <row r="22">
      <c r="A22" s="1" t="inlineStr">
        <is>
          <t>INV-2026-50021</t>
        </is>
      </c>
      <c r="B22" s="2" t="n">
        <v>46034</v>
      </c>
      <c r="C22" s="1" t="inlineStr">
        <is>
          <t>Larkspur Apparel</t>
        </is>
      </c>
      <c r="D22" s="1" t="inlineStr">
        <is>
          <t>LKA-MSA-2025-31</t>
        </is>
      </c>
      <c r="E22" s="1" t="inlineStr">
        <is>
          <t>Deployment and commissioning services</t>
        </is>
      </c>
      <c r="F22" s="1" t="n">
        <v>26</v>
      </c>
      <c r="G22" s="1" t="n">
        <v>1850</v>
      </c>
      <c r="H22" s="1">
        <f>F22*G22</f>
        <v/>
      </c>
      <c r="I22" s="1" t="n">
        <v>0.065</v>
      </c>
      <c r="J22" s="1">
        <f>ROUND(H22*I22,2)</f>
        <v/>
      </c>
      <c r="K22" s="1" t="inlineStr">
        <is>
          <t>2026-02</t>
        </is>
      </c>
      <c r="L22" s="1" t="n">
        <v>481</v>
      </c>
      <c r="M22" s="1" t="inlineStr">
        <is>
          <t>4030</t>
        </is>
      </c>
      <c r="N22" s="1" t="inlineStr">
        <is>
          <t>Paid</t>
        </is>
      </c>
      <c r="O22" s="1" t="inlineStr">
        <is>
          <t>PO-LKA-3706</t>
        </is>
      </c>
    </row>
    <row r="23">
      <c r="A23" s="1" t="inlineStr">
        <is>
          <t>INV-2026-50022</t>
        </is>
      </c>
      <c r="B23" s="2" t="n">
        <v>46063</v>
      </c>
      <c r="C23" s="1" t="inlineStr">
        <is>
          <t>Dorsey Grain Cooperative</t>
        </is>
      </c>
      <c r="D23" s="1" t="inlineStr">
        <is>
          <t>DGC-MSA-2025-17</t>
        </is>
      </c>
      <c r="E23" s="1" t="inlineStr">
        <is>
          <t>Deployment and commissioning services</t>
        </is>
      </c>
      <c r="F23" s="1" t="n">
        <v>39</v>
      </c>
      <c r="G23" s="1" t="n">
        <v>1147</v>
      </c>
      <c r="H23" s="1">
        <f>F23*G23</f>
        <v/>
      </c>
      <c r="I23" s="1" t="n">
        <v>0.065</v>
      </c>
      <c r="J23" s="1">
        <f>ROUND(H23*I23,2)</f>
        <v/>
      </c>
      <c r="K23" s="1" t="inlineStr">
        <is>
          <t>2026-03</t>
        </is>
      </c>
      <c r="L23" s="1" t="n">
        <v>8946.6</v>
      </c>
      <c r="M23" s="1" t="inlineStr">
        <is>
          <t>4030</t>
        </is>
      </c>
      <c r="N23" s="1" t="inlineStr">
        <is>
          <t>Written off</t>
        </is>
      </c>
      <c r="O23" s="1" t="inlineStr">
        <is>
          <t>PO-DGC-4124</t>
        </is>
      </c>
    </row>
    <row r="24">
      <c r="A24" s="1" t="inlineStr">
        <is>
          <t>INV-2026-50023</t>
        </is>
      </c>
      <c r="B24" s="2" t="n">
        <v>46111</v>
      </c>
      <c r="C24" s="1" t="inlineStr">
        <is>
          <t>Zephyr Air Cargo</t>
        </is>
      </c>
      <c r="D24" s="1" t="inlineStr">
        <is>
          <t>ZAC-MSA-2023-19</t>
        </is>
      </c>
      <c r="E24" s="1" t="inlineStr">
        <is>
          <t>Autonomous mobile robot, 220 kg payload</t>
        </is>
      </c>
      <c r="F24" s="1" t="n">
        <v>7</v>
      </c>
      <c r="G24" s="1" t="n">
        <v>40600</v>
      </c>
      <c r="H24" s="1">
        <f>F24*G24</f>
        <v/>
      </c>
      <c r="I24" s="1" t="n">
        <v>0.065</v>
      </c>
      <c r="J24" s="1">
        <f>ROUND(H24*I24,2)</f>
        <v/>
      </c>
      <c r="K24" s="1" t="inlineStr">
        <is>
          <t>2026-04</t>
        </is>
      </c>
      <c r="L24" s="1" t="n">
        <v>0</v>
      </c>
      <c r="M24" s="1" t="inlineStr">
        <is>
          <t>4010</t>
        </is>
      </c>
      <c r="N24" s="1" t="inlineStr">
        <is>
          <t>Paid</t>
        </is>
      </c>
      <c r="O24" s="1" t="inlineStr">
        <is>
          <t>PO-ZAC-2684</t>
        </is>
      </c>
    </row>
    <row r="25">
      <c r="A25" s="1" t="inlineStr">
        <is>
          <t>INV-2026-50024</t>
        </is>
      </c>
      <c r="B25" s="2" t="n">
        <v>46024</v>
      </c>
      <c r="C25" s="1" t="inlineStr">
        <is>
          <t>Pioneer Freight Union</t>
        </is>
      </c>
      <c r="D25" s="1" t="inlineStr">
        <is>
          <t>PFU-MSA-2024-39</t>
        </is>
      </c>
      <c r="E25" s="1" t="inlineStr">
        <is>
          <t>Premium support and spares pool</t>
        </is>
      </c>
      <c r="F25" s="1" t="n">
        <v>2</v>
      </c>
      <c r="G25" s="1" t="n">
        <v>56400</v>
      </c>
      <c r="H25" s="1">
        <f>F25*G25</f>
        <v/>
      </c>
      <c r="I25" s="1" t="n">
        <v>0.0825</v>
      </c>
      <c r="J25" s="1">
        <f>ROUND(H25*I25,2)</f>
        <v/>
      </c>
      <c r="K25" s="1" t="inlineStr">
        <is>
          <t>2026-02</t>
        </is>
      </c>
      <c r="L25" s="1" t="n">
        <v>84600</v>
      </c>
      <c r="M25" s="1" t="inlineStr">
        <is>
          <t>4020</t>
        </is>
      </c>
      <c r="N25" s="1" t="inlineStr">
        <is>
          <t>Paid</t>
        </is>
      </c>
      <c r="O25" s="1" t="inlineStr">
        <is>
          <t>PO-PFU-8504</t>
        </is>
      </c>
    </row>
    <row r="26">
      <c r="A26" s="1" t="inlineStr">
        <is>
          <t>INV-2026-50025</t>
        </is>
      </c>
      <c r="B26" s="2" t="n">
        <v>46071</v>
      </c>
      <c r="C26" s="1" t="inlineStr">
        <is>
          <t>Quarrybridge Materials</t>
        </is>
      </c>
      <c r="D26" s="1" t="inlineStr">
        <is>
          <t>QBM-MSA-2025-56</t>
        </is>
      </c>
      <c r="E26" s="1" t="inlineStr">
        <is>
          <t>Warehouse management system connector</t>
        </is>
      </c>
      <c r="F26" s="1" t="n">
        <v>4</v>
      </c>
      <c r="G26" s="1" t="n">
        <v>38900</v>
      </c>
      <c r="H26" s="1">
        <f>F26*G26</f>
        <v/>
      </c>
      <c r="I26" s="1" t="n">
        <v>0.0825</v>
      </c>
      <c r="J26" s="1">
        <f>ROUND(H26*I26,2)</f>
        <v/>
      </c>
      <c r="K26" s="1" t="inlineStr">
        <is>
          <t>2026-03</t>
        </is>
      </c>
      <c r="L26" s="1" t="n">
        <v>26452</v>
      </c>
      <c r="M26" s="1" t="inlineStr">
        <is>
          <t>4030</t>
        </is>
      </c>
      <c r="N26" s="1" t="inlineStr">
        <is>
          <t>Credit issued</t>
        </is>
      </c>
      <c r="O26" s="1" t="inlineStr">
        <is>
          <t>PO-QBM-3970</t>
        </is>
      </c>
    </row>
    <row r="27">
      <c r="A27" s="1" t="inlineStr">
        <is>
          <t>INV-2026-50026</t>
        </is>
      </c>
      <c r="B27" s="2" t="n">
        <v>46112</v>
      </c>
      <c r="C27" s="1" t="inlineStr">
        <is>
          <t>Union Vale Pharma</t>
        </is>
      </c>
      <c r="D27" s="1" t="inlineStr">
        <is>
          <t>UVP-MSA-2023-71</t>
        </is>
      </c>
      <c r="E27" s="1" t="inlineStr">
        <is>
          <t>Deployment and commissioning services</t>
        </is>
      </c>
      <c r="F27" s="1" t="n">
        <v>24</v>
      </c>
      <c r="G27" s="1" t="n">
        <v>1850</v>
      </c>
      <c r="H27" s="1">
        <f>F27*G27</f>
        <v/>
      </c>
      <c r="I27" s="1" t="n">
        <v>0.0825</v>
      </c>
      <c r="J27" s="1">
        <f>ROUND(H27*I27,2)</f>
        <v/>
      </c>
      <c r="K27" s="1" t="inlineStr">
        <is>
          <t>2026-04</t>
        </is>
      </c>
      <c r="L27" s="1" t="n">
        <v>1332</v>
      </c>
      <c r="M27" s="1" t="inlineStr">
        <is>
          <t>4030</t>
        </is>
      </c>
      <c r="N27" s="1" t="inlineStr">
        <is>
          <t>Paid</t>
        </is>
      </c>
      <c r="O27" s="1" t="inlineStr">
        <is>
          <t>PO-UVP-7750</t>
        </is>
      </c>
    </row>
    <row r="28">
      <c r="A28" s="1" t="inlineStr">
        <is>
          <t>INV-2026-50027</t>
        </is>
      </c>
      <c r="B28" s="2" t="n">
        <v>46038</v>
      </c>
      <c r="C28" s="1" t="inlineStr">
        <is>
          <t>Crestline Fulfillment</t>
        </is>
      </c>
      <c r="D28" s="1" t="inlineStr">
        <is>
          <t>CFF-MSA-2022-47</t>
        </is>
      </c>
      <c r="E28" s="1" t="inlineStr">
        <is>
          <t>Autonomous mobile robot, 450 kg payload</t>
        </is>
      </c>
      <c r="F28" s="1" t="n">
        <v>13</v>
      </c>
      <c r="G28" s="1" t="n">
        <v>68150</v>
      </c>
      <c r="H28" s="1">
        <f>F28*G28</f>
        <v/>
      </c>
      <c r="I28" s="1" t="n">
        <v>0.06</v>
      </c>
      <c r="J28" s="1">
        <f>ROUND(H28*I28,2)</f>
        <v/>
      </c>
      <c r="K28" s="1" t="inlineStr">
        <is>
          <t>2026-02</t>
        </is>
      </c>
      <c r="L28" s="1" t="n">
        <v>0</v>
      </c>
      <c r="M28" s="1" t="inlineStr">
        <is>
          <t>4010</t>
        </is>
      </c>
      <c r="N28" s="1" t="inlineStr">
        <is>
          <t>Paid</t>
        </is>
      </c>
      <c r="O28" s="1" t="inlineStr">
        <is>
          <t>PO-CFF-5990</t>
        </is>
      </c>
    </row>
    <row r="29">
      <c r="A29" s="1" t="inlineStr">
        <is>
          <t>INV-2026-50028</t>
        </is>
      </c>
      <c r="B29" s="2" t="n">
        <v>46073</v>
      </c>
      <c r="C29" s="1" t="inlineStr">
        <is>
          <t>Juniper Health Supply</t>
        </is>
      </c>
      <c r="D29" s="1" t="inlineStr">
        <is>
          <t>JHS-MSA-2024-19</t>
        </is>
      </c>
      <c r="E29" s="1" t="inlineStr">
        <is>
          <t>Warehouse management system connector</t>
        </is>
      </c>
      <c r="F29" s="1" t="n">
        <v>4</v>
      </c>
      <c r="G29" s="1" t="n">
        <v>38400</v>
      </c>
      <c r="H29" s="1">
        <f>F29*G29</f>
        <v/>
      </c>
      <c r="I29" s="1" t="n">
        <v>0.065</v>
      </c>
      <c r="J29" s="1">
        <f>ROUND(H29*I29,2)</f>
        <v/>
      </c>
      <c r="K29" s="1" t="inlineStr">
        <is>
          <t>2026-03</t>
        </is>
      </c>
      <c r="L29" s="1" t="n">
        <v>23040</v>
      </c>
      <c r="M29" s="1" t="inlineStr">
        <is>
          <t>4030</t>
        </is>
      </c>
      <c r="N29" s="1" t="inlineStr">
        <is>
          <t>Open</t>
        </is>
      </c>
      <c r="O29" s="1" t="inlineStr">
        <is>
          <t>PO-JHS-2189</t>
        </is>
      </c>
    </row>
    <row r="30">
      <c r="A30" s="1" t="inlineStr">
        <is>
          <t>INV-2026-50029</t>
        </is>
      </c>
      <c r="B30" s="2" t="n">
        <v>46099</v>
      </c>
      <c r="C30" s="1" t="inlineStr">
        <is>
          <t>Bellweather Auto Group</t>
        </is>
      </c>
      <c r="D30" s="1" t="inlineStr">
        <is>
          <t>BWA-MSA-2023-74</t>
        </is>
      </c>
      <c r="E30" s="1" t="inlineStr">
        <is>
          <t>Remote operations desk coverage</t>
        </is>
      </c>
      <c r="F30" s="1" t="n">
        <v>3</v>
      </c>
      <c r="G30" s="1" t="n">
        <v>11700</v>
      </c>
      <c r="H30" s="1">
        <f>F30*G30</f>
        <v/>
      </c>
      <c r="I30" s="1" t="n">
        <v>0.0825</v>
      </c>
      <c r="J30" s="1">
        <f>ROUND(H30*I30,2)</f>
        <v/>
      </c>
      <c r="K30" s="1" t="inlineStr">
        <is>
          <t>2026-04</t>
        </is>
      </c>
      <c r="L30" s="1" t="n">
        <v>27027</v>
      </c>
      <c r="M30" s="1" t="inlineStr">
        <is>
          <t>4020</t>
        </is>
      </c>
      <c r="N30" s="1" t="inlineStr">
        <is>
          <t>Open</t>
        </is>
      </c>
      <c r="O30" s="1" t="inlineStr">
        <is>
          <t>PO-BWA-2651</t>
        </is>
      </c>
    </row>
    <row r="31">
      <c r="A31" s="1" t="inlineStr">
        <is>
          <t>INV-2026-50030</t>
        </is>
      </c>
      <c r="B31" s="2" t="n">
        <v>46052</v>
      </c>
      <c r="C31" s="1" t="inlineStr">
        <is>
          <t>Crestline Fulfillment</t>
        </is>
      </c>
      <c r="D31" s="1" t="inlineStr">
        <is>
          <t>CFF-MSA-2023-51</t>
        </is>
      </c>
      <c r="E31" s="1" t="inlineStr">
        <is>
          <t>Autonomous mobile robot, 220 kg payload</t>
        </is>
      </c>
      <c r="F31" s="1" t="n">
        <v>12</v>
      </c>
      <c r="G31" s="1" t="n">
        <v>39300</v>
      </c>
      <c r="H31" s="1">
        <f>F31*G31</f>
        <v/>
      </c>
      <c r="I31" s="1" t="n">
        <v>0.0475</v>
      </c>
      <c r="J31" s="1">
        <f>ROUND(H31*I31,2)</f>
        <v/>
      </c>
      <c r="K31" s="1" t="inlineStr">
        <is>
          <t>2026-02</t>
        </is>
      </c>
      <c r="L31" s="1" t="n">
        <v>0</v>
      </c>
      <c r="M31" s="1" t="inlineStr">
        <is>
          <t>4010</t>
        </is>
      </c>
      <c r="N31" s="1" t="inlineStr">
        <is>
          <t>Paid</t>
        </is>
      </c>
      <c r="O31" s="1" t="inlineStr">
        <is>
          <t>PO-CFF-1996</t>
        </is>
      </c>
    </row>
    <row r="32">
      <c r="A32" s="1" t="inlineStr">
        <is>
          <t>INV-2026-50031</t>
        </is>
      </c>
      <c r="B32" s="2" t="n">
        <v>46059</v>
      </c>
      <c r="C32" s="1" t="inlineStr">
        <is>
          <t>Union Vale Pharma</t>
        </is>
      </c>
      <c r="D32" s="1" t="inlineStr">
        <is>
          <t>UVP-MSA-2022-70</t>
        </is>
      </c>
      <c r="E32" s="1" t="inlineStr">
        <is>
          <t>Autonomous mobile robot, 220 kg payload</t>
        </is>
      </c>
      <c r="F32" s="1" t="n">
        <v>6</v>
      </c>
      <c r="G32" s="1" t="n">
        <v>40100</v>
      </c>
      <c r="H32" s="1">
        <f>F32*G32</f>
        <v/>
      </c>
      <c r="I32" s="1" t="n">
        <v>0.06</v>
      </c>
      <c r="J32" s="1">
        <f>ROUND(H32*I32,2)</f>
        <v/>
      </c>
      <c r="K32" s="1" t="inlineStr">
        <is>
          <t>2026-03</t>
        </is>
      </c>
      <c r="L32" s="1" t="n">
        <v>0</v>
      </c>
      <c r="M32" s="1" t="inlineStr">
        <is>
          <t>4010</t>
        </is>
      </c>
      <c r="N32" s="1" t="inlineStr">
        <is>
          <t>Open</t>
        </is>
      </c>
      <c r="O32" s="1" t="inlineStr">
        <is>
          <t>PO-UVP-3601</t>
        </is>
      </c>
    </row>
    <row r="33">
      <c r="A33" s="1" t="inlineStr">
        <is>
          <t>INV-2026-50032</t>
        </is>
      </c>
      <c r="B33" s="2" t="n">
        <v>46108</v>
      </c>
      <c r="C33" s="1" t="inlineStr">
        <is>
          <t>Larkspur Apparel</t>
        </is>
      </c>
      <c r="D33" s="1" t="inlineStr">
        <is>
          <t>LKA-MSA-2022-37</t>
        </is>
      </c>
      <c r="E33" s="1" t="inlineStr">
        <is>
          <t>Fleet orchestration expansion pack, per robot</t>
        </is>
      </c>
      <c r="F33" s="1" t="n">
        <v>116</v>
      </c>
      <c r="G33" s="1" t="n">
        <v>3150</v>
      </c>
      <c r="H33" s="1">
        <f>F33*G33</f>
        <v/>
      </c>
      <c r="I33" s="1" t="n">
        <v>0.06</v>
      </c>
      <c r="J33" s="1">
        <f>ROUND(H33*I33,2)</f>
        <v/>
      </c>
      <c r="K33" s="1" t="inlineStr">
        <is>
          <t>2026-04</t>
        </is>
      </c>
      <c r="L33" s="1" t="n">
        <v>200970</v>
      </c>
      <c r="M33" s="1" t="inlineStr">
        <is>
          <t>4020</t>
        </is>
      </c>
      <c r="N33" s="1" t="inlineStr">
        <is>
          <t>Partially paid</t>
        </is>
      </c>
      <c r="O33" s="1" t="inlineStr">
        <is>
          <t>PO-LKA-7219</t>
        </is>
      </c>
    </row>
    <row r="34">
      <c r="A34" s="1" t="inlineStr">
        <is>
          <t>INV-2026-50033</t>
        </is>
      </c>
      <c r="B34" s="2" t="n">
        <v>46051</v>
      </c>
      <c r="C34" s="1" t="inlineStr">
        <is>
          <t>Harborline Systems</t>
        </is>
      </c>
      <c r="D34" s="1" t="inlineStr">
        <is>
          <t>HLS-MSA-2023-83</t>
        </is>
      </c>
      <c r="E34" s="1" t="inlineStr">
        <is>
          <t>Warehouse management system connector</t>
        </is>
      </c>
      <c r="F34" s="1" t="n">
        <v>2</v>
      </c>
      <c r="G34" s="1" t="n">
        <v>36700</v>
      </c>
      <c r="H34" s="1">
        <f>F34*G34</f>
        <v/>
      </c>
      <c r="I34" s="1" t="n">
        <v>0.07000000000000001</v>
      </c>
      <c r="J34" s="1">
        <f>ROUND(H34*I34,2)</f>
        <v/>
      </c>
      <c r="K34" s="1" t="inlineStr">
        <is>
          <t>2026-02</t>
        </is>
      </c>
      <c r="L34" s="1" t="n">
        <v>13946</v>
      </c>
      <c r="M34" s="1" t="inlineStr">
        <is>
          <t>4030</t>
        </is>
      </c>
      <c r="N34" s="1" t="inlineStr">
        <is>
          <t>Credit issued</t>
        </is>
      </c>
      <c r="O34" s="1" t="inlineStr">
        <is>
          <t>PO-HLS-5327</t>
        </is>
      </c>
    </row>
    <row r="35">
      <c r="A35" s="1" t="inlineStr">
        <is>
          <t>INV-2026-50034</t>
        </is>
      </c>
      <c r="B35" s="2" t="n">
        <v>46052</v>
      </c>
      <c r="C35" s="1" t="inlineStr">
        <is>
          <t>Summit Ridge Retail</t>
        </is>
      </c>
      <c r="D35" s="1" t="inlineStr">
        <is>
          <t>SRR-MSA-2024-27</t>
        </is>
      </c>
      <c r="E35" s="1" t="inlineStr">
        <is>
          <t>Autonomous mobile robot, 220 kg payload</t>
        </is>
      </c>
      <c r="F35" s="1" t="n">
        <v>12</v>
      </c>
      <c r="G35" s="1" t="n">
        <v>40100</v>
      </c>
      <c r="H35" s="1">
        <f>F35*G35</f>
        <v/>
      </c>
      <c r="I35" s="1" t="n">
        <v>0.09</v>
      </c>
      <c r="J35" s="1">
        <f>ROUND(H35*I35,2)</f>
        <v/>
      </c>
      <c r="K35" s="1" t="inlineStr">
        <is>
          <t>2026-02</t>
        </is>
      </c>
      <c r="L35" s="1" t="n">
        <v>0</v>
      </c>
      <c r="M35" s="1" t="inlineStr">
        <is>
          <t>4010</t>
        </is>
      </c>
      <c r="N35" s="1" t="inlineStr">
        <is>
          <t>Credit issued</t>
        </is>
      </c>
      <c r="O35" s="1" t="inlineStr">
        <is>
          <t>PO-SRR-6311</t>
        </is>
      </c>
    </row>
    <row r="36">
      <c r="A36" s="1" t="inlineStr">
        <is>
          <t>INV-2026-50035</t>
        </is>
      </c>
      <c r="B36" s="2" t="n">
        <v>46108</v>
      </c>
      <c r="C36" s="1" t="inlineStr">
        <is>
          <t>Pioneer Freight Union</t>
        </is>
      </c>
      <c r="D36" s="1" t="inlineStr">
        <is>
          <t>PFU-MSA-2022-24</t>
        </is>
      </c>
      <c r="E36" s="1" t="inlineStr">
        <is>
          <t>Operator training programme</t>
        </is>
      </c>
      <c r="F36" s="1" t="n">
        <v>1</v>
      </c>
      <c r="G36" s="1" t="n">
        <v>3700</v>
      </c>
      <c r="H36" s="1">
        <f>F36*G36</f>
        <v/>
      </c>
      <c r="I36" s="1" t="n">
        <v>0.07000000000000001</v>
      </c>
      <c r="J36" s="1">
        <f>ROUND(H36*I36,2)</f>
        <v/>
      </c>
      <c r="K36" s="1" t="inlineStr">
        <is>
          <t>2026-04</t>
        </is>
      </c>
      <c r="L36" s="1" t="n">
        <v>185</v>
      </c>
      <c r="M36" s="1" t="inlineStr">
        <is>
          <t>4030</t>
        </is>
      </c>
      <c r="N36" s="1" t="inlineStr">
        <is>
          <t>Open</t>
        </is>
      </c>
      <c r="O36" s="1" t="inlineStr">
        <is>
          <t>PO-PFU-3370</t>
        </is>
      </c>
    </row>
    <row r="37">
      <c r="A37" s="1" t="inlineStr">
        <is>
          <t>INV-2026-50036</t>
        </is>
      </c>
      <c r="B37" s="2" t="n">
        <v>46052</v>
      </c>
      <c r="C37" s="1" t="inlineStr">
        <is>
          <t>Union Vale Pharma</t>
        </is>
      </c>
      <c r="D37" s="1" t="inlineStr">
        <is>
          <t>UVP-MSA-2023-78</t>
        </is>
      </c>
      <c r="E37" s="1" t="inlineStr">
        <is>
          <t>Telemetry retention tier, extended</t>
        </is>
      </c>
      <c r="F37" s="1" t="n">
        <v>1</v>
      </c>
      <c r="G37" s="1" t="n">
        <v>24000</v>
      </c>
      <c r="H37" s="1">
        <f>F37*G37</f>
        <v/>
      </c>
      <c r="I37" s="1" t="n">
        <v>0.065</v>
      </c>
      <c r="J37" s="1">
        <f>ROUND(H37*I37,2)</f>
        <v/>
      </c>
      <c r="K37" s="1" t="inlineStr">
        <is>
          <t>2026-02</t>
        </is>
      </c>
      <c r="L37" s="1" t="n">
        <v>18000</v>
      </c>
      <c r="M37" s="1" t="inlineStr">
        <is>
          <t>4020</t>
        </is>
      </c>
      <c r="N37" s="1" t="inlineStr">
        <is>
          <t>Open</t>
        </is>
      </c>
      <c r="O37" s="1" t="inlineStr">
        <is>
          <t>PO-UVP-5553</t>
        </is>
      </c>
    </row>
    <row r="38">
      <c r="A38" s="1" t="inlineStr">
        <is>
          <t>INV-2026-50037</t>
        </is>
      </c>
      <c r="B38" s="2" t="n">
        <v>46059</v>
      </c>
      <c r="C38" s="1" t="inlineStr">
        <is>
          <t>Tamarack Electronics</t>
        </is>
      </c>
      <c r="D38" s="1" t="inlineStr">
        <is>
          <t>TCE-MSA-2025-44</t>
        </is>
      </c>
      <c r="E38" s="1" t="inlineStr">
        <is>
          <t>Opportunity charging dock</t>
        </is>
      </c>
      <c r="F38" s="1" t="n">
        <v>2</v>
      </c>
      <c r="G38" s="1" t="n">
        <v>11550</v>
      </c>
      <c r="H38" s="1">
        <f>F38*G38</f>
        <v/>
      </c>
      <c r="I38" s="1" t="n">
        <v>0.06</v>
      </c>
      <c r="J38" s="1">
        <f>ROUND(H38*I38,2)</f>
        <v/>
      </c>
      <c r="K38" s="1" t="inlineStr">
        <is>
          <t>2026-03</t>
        </is>
      </c>
      <c r="L38" s="1" t="n">
        <v>0</v>
      </c>
      <c r="M38" s="1" t="inlineStr">
        <is>
          <t>4010</t>
        </is>
      </c>
      <c r="N38" s="1" t="inlineStr">
        <is>
          <t>Paid</t>
        </is>
      </c>
      <c r="O38" s="1" t="inlineStr">
        <is>
          <t>PO-TCE-1054</t>
        </is>
      </c>
    </row>
    <row r="39">
      <c r="A39" s="1" t="inlineStr">
        <is>
          <t>INV-2026-50038</t>
        </is>
      </c>
      <c r="B39" s="2" t="n">
        <v>46108</v>
      </c>
      <c r="C39" s="1" t="inlineStr">
        <is>
          <t>Asterion Logistics</t>
        </is>
      </c>
      <c r="D39" s="1" t="inlineStr">
        <is>
          <t>AST-MSA-2024-71</t>
        </is>
      </c>
      <c r="E39" s="1" t="inlineStr">
        <is>
          <t>Operator training programme</t>
        </is>
      </c>
      <c r="F39" s="1" t="n">
        <v>2</v>
      </c>
      <c r="G39" s="1" t="n">
        <v>2604</v>
      </c>
      <c r="H39" s="1">
        <f>F39*G39</f>
        <v/>
      </c>
      <c r="I39" s="1" t="n">
        <v>0.0475</v>
      </c>
      <c r="J39" s="1">
        <f>ROUND(H39*I39,2)</f>
        <v/>
      </c>
      <c r="K39" s="1" t="inlineStr">
        <is>
          <t>2026-04</t>
        </is>
      </c>
      <c r="L39" s="1" t="n">
        <v>1041.6</v>
      </c>
      <c r="M39" s="1" t="inlineStr">
        <is>
          <t>4030</t>
        </is>
      </c>
      <c r="N39" s="1" t="inlineStr">
        <is>
          <t>Open</t>
        </is>
      </c>
      <c r="O39" s="1" t="inlineStr">
        <is>
          <t>PO-AST-1047</t>
        </is>
      </c>
    </row>
    <row r="40">
      <c r="A40" s="1" t="inlineStr">
        <is>
          <t>INV-2026-50039</t>
        </is>
      </c>
      <c r="B40" s="2" t="n">
        <v>46052</v>
      </c>
      <c r="C40" s="1" t="inlineStr">
        <is>
          <t>Blue Mesa Components</t>
        </is>
      </c>
      <c r="D40" s="1" t="inlineStr">
        <is>
          <t>BMC-MSA-2025-34</t>
        </is>
      </c>
      <c r="E40" s="1" t="inlineStr">
        <is>
          <t>Telemetry retention tier, extended</t>
        </is>
      </c>
      <c r="F40" s="1" t="n">
        <v>2</v>
      </c>
      <c r="G40" s="1" t="n">
        <v>22300</v>
      </c>
      <c r="H40" s="1">
        <f>F40*G40</f>
        <v/>
      </c>
      <c r="I40" s="1" t="n">
        <v>0.09</v>
      </c>
      <c r="J40" s="1">
        <f>ROUND(H40*I40,2)</f>
        <v/>
      </c>
      <c r="K40" s="1" t="inlineStr">
        <is>
          <t>2026-02</t>
        </is>
      </c>
      <c r="L40" s="1" t="n">
        <v>24530</v>
      </c>
      <c r="M40" s="1" t="inlineStr">
        <is>
          <t>4020</t>
        </is>
      </c>
      <c r="N40" s="1" t="inlineStr">
        <is>
          <t>Written off</t>
        </is>
      </c>
      <c r="O40" s="1" t="inlineStr">
        <is>
          <t>PO-BMC-8804</t>
        </is>
      </c>
    </row>
    <row r="41">
      <c r="A41" s="1" t="inlineStr">
        <is>
          <t>INV-2026-50040</t>
        </is>
      </c>
      <c r="B41" s="2" t="n">
        <v>46080</v>
      </c>
      <c r="C41" s="1" t="inlineStr">
        <is>
          <t>Yarrow Home Goods</t>
        </is>
      </c>
      <c r="D41" s="1" t="inlineStr">
        <is>
          <t>YHG-MSA-2023-46</t>
        </is>
      </c>
      <c r="E41" s="1" t="inlineStr">
        <is>
          <t>Operator training programme</t>
        </is>
      </c>
      <c r="F41" s="1" t="n">
        <v>1</v>
      </c>
      <c r="G41" s="1" t="n">
        <v>2604</v>
      </c>
      <c r="H41" s="1">
        <f>F41*G41</f>
        <v/>
      </c>
      <c r="I41" s="1" t="n">
        <v>0.09</v>
      </c>
      <c r="J41" s="1">
        <f>ROUND(H41*I41,2)</f>
        <v/>
      </c>
      <c r="K41" s="1" t="inlineStr">
        <is>
          <t>2026-03</t>
        </is>
      </c>
      <c r="L41" s="1" t="n">
        <v>312.48</v>
      </c>
      <c r="M41" s="1" t="inlineStr">
        <is>
          <t>4030</t>
        </is>
      </c>
      <c r="N41" s="1" t="inlineStr">
        <is>
          <t>Open</t>
        </is>
      </c>
      <c r="O41" s="1" t="inlineStr">
        <is>
          <t>PO-YHG-4199</t>
        </is>
      </c>
    </row>
    <row r="42">
      <c r="A42" s="1" t="inlineStr">
        <is>
          <t>INV-2026-50041</t>
        </is>
      </c>
      <c r="B42" s="2" t="n">
        <v>46108</v>
      </c>
      <c r="C42" s="1" t="inlineStr">
        <is>
          <t>Quarrybridge Materials</t>
        </is>
      </c>
      <c r="D42" s="1" t="inlineStr">
        <is>
          <t>QBM-MSA-2022-39</t>
        </is>
      </c>
      <c r="E42" s="1" t="inlineStr">
        <is>
          <t>Autonomous mobile robot, 220 kg payload</t>
        </is>
      </c>
      <c r="F42" s="1" t="n">
        <v>2</v>
      </c>
      <c r="G42" s="1" t="n">
        <v>40100</v>
      </c>
      <c r="H42" s="1">
        <f>F42*G42</f>
        <v/>
      </c>
      <c r="I42" s="1" t="n">
        <v>0.06</v>
      </c>
      <c r="J42" s="1">
        <f>ROUND(H42*I42,2)</f>
        <v/>
      </c>
      <c r="K42" s="1" t="inlineStr">
        <is>
          <t>2026-04</t>
        </is>
      </c>
      <c r="L42" s="1" t="n">
        <v>0</v>
      </c>
      <c r="M42" s="1" t="inlineStr">
        <is>
          <t>4010</t>
        </is>
      </c>
      <c r="N42" s="1" t="inlineStr">
        <is>
          <t>Paid</t>
        </is>
      </c>
      <c r="O42" s="1" t="inlineStr">
        <is>
          <t>PO-QBM-3092</t>
        </is>
      </c>
    </row>
    <row r="43">
      <c r="A43" s="1" t="inlineStr">
        <is>
          <t>INV-2026-50042</t>
        </is>
      </c>
      <c r="B43" s="2" t="n">
        <v>46051</v>
      </c>
      <c r="C43" s="1" t="inlineStr">
        <is>
          <t>Fathom Mobility</t>
        </is>
      </c>
      <c r="D43" s="1" t="inlineStr">
        <is>
          <t>FTM-MSA-2023-11</t>
        </is>
      </c>
      <c r="E43" s="1" t="inlineStr">
        <is>
          <t>Premium support and spares pool</t>
        </is>
      </c>
      <c r="F43" s="1" t="n">
        <v>3</v>
      </c>
      <c r="G43" s="1" t="n">
        <v>57050</v>
      </c>
      <c r="H43" s="1">
        <f>F43*G43</f>
        <v/>
      </c>
      <c r="I43" s="1" t="n">
        <v>0.07000000000000001</v>
      </c>
      <c r="J43" s="1">
        <f>ROUND(H43*I43,2)</f>
        <v/>
      </c>
      <c r="K43" s="1" t="inlineStr">
        <is>
          <t>2026-02</t>
        </is>
      </c>
      <c r="L43" s="1" t="n">
        <v>104401.5</v>
      </c>
      <c r="M43" s="1" t="inlineStr">
        <is>
          <t>4020</t>
        </is>
      </c>
      <c r="N43" s="1" t="inlineStr">
        <is>
          <t>Written off</t>
        </is>
      </c>
      <c r="O43" s="1" t="inlineStr">
        <is>
          <t>PO-FTM-7925</t>
        </is>
      </c>
    </row>
    <row r="44">
      <c r="A44" s="1" t="inlineStr">
        <is>
          <t>INV-2026-50043</t>
        </is>
      </c>
      <c r="B44" s="2" t="n">
        <v>46056</v>
      </c>
      <c r="C44" s="1" t="inlineStr">
        <is>
          <t>Northfield Beverage</t>
        </is>
      </c>
      <c r="D44" s="1" t="inlineStr">
        <is>
          <t>NFB-MSA-2025-37</t>
        </is>
      </c>
      <c r="E44" s="1" t="inlineStr">
        <is>
          <t>Operator training programme</t>
        </is>
      </c>
      <c r="F44" s="1" t="n">
        <v>1</v>
      </c>
      <c r="G44" s="1" t="n">
        <v>4200</v>
      </c>
      <c r="H44" s="1">
        <f>F44*G44</f>
        <v/>
      </c>
      <c r="I44" s="1" t="n">
        <v>0.0825</v>
      </c>
      <c r="J44" s="1">
        <f>ROUND(H44*I44,2)</f>
        <v/>
      </c>
      <c r="K44" s="1" t="inlineStr">
        <is>
          <t>2026-03</t>
        </is>
      </c>
      <c r="L44" s="1" t="n">
        <v>714</v>
      </c>
      <c r="M44" s="1" t="inlineStr">
        <is>
          <t>4030</t>
        </is>
      </c>
      <c r="N44" s="1" t="inlineStr">
        <is>
          <t>Paid</t>
        </is>
      </c>
      <c r="O44" s="1" t="inlineStr">
        <is>
          <t>PO-NFB-6208</t>
        </is>
      </c>
    </row>
    <row r="45">
      <c r="A45" s="1" t="inlineStr">
        <is>
          <t>INV-2026-50044</t>
        </is>
      </c>
      <c r="B45" s="2" t="n">
        <v>46112</v>
      </c>
      <c r="C45" s="1" t="inlineStr">
        <is>
          <t>Dorsey Grain Cooperative</t>
        </is>
      </c>
      <c r="D45" s="1" t="inlineStr">
        <is>
          <t>DGC-MSA-2023-60</t>
        </is>
      </c>
      <c r="E45" s="1" t="inlineStr">
        <is>
          <t>Fleet orchestration platform, annual site licence</t>
        </is>
      </c>
      <c r="F45" s="1" t="n">
        <v>2</v>
      </c>
      <c r="G45" s="1" t="n">
        <v>95100</v>
      </c>
      <c r="H45" s="1">
        <f>F45*G45</f>
        <v/>
      </c>
      <c r="I45" s="1" t="n">
        <v>0</v>
      </c>
      <c r="J45" s="1">
        <f>ROUND(H45*I45,2)</f>
        <v/>
      </c>
      <c r="K45" s="1" t="inlineStr">
        <is>
          <t>2026-04</t>
        </is>
      </c>
      <c r="L45" s="1" t="n">
        <v>159768</v>
      </c>
      <c r="M45" s="1" t="inlineStr">
        <is>
          <t>4020</t>
        </is>
      </c>
      <c r="N45" s="1" t="inlineStr">
        <is>
          <t>Written off</t>
        </is>
      </c>
      <c r="O45" s="1" t="inlineStr">
        <is>
          <t>PO-DGC-5222</t>
        </is>
      </c>
    </row>
    <row r="46">
      <c r="A46" s="1" t="inlineStr">
        <is>
          <t>INV-2026-50045</t>
        </is>
      </c>
      <c r="B46" s="2" t="n">
        <v>46052</v>
      </c>
      <c r="C46" s="1" t="inlineStr">
        <is>
          <t>Evergreen Warehousing</t>
        </is>
      </c>
      <c r="D46" s="1" t="inlineStr">
        <is>
          <t>EVW-MSA-2022-44</t>
        </is>
      </c>
      <c r="E46" s="1" t="inlineStr">
        <is>
          <t>Telemetry retention tier, extended</t>
        </is>
      </c>
      <c r="F46" s="1" t="n">
        <v>3</v>
      </c>
      <c r="G46" s="1" t="n">
        <v>22300</v>
      </c>
      <c r="H46" s="1">
        <f>F46*G46</f>
        <v/>
      </c>
      <c r="I46" s="1" t="n">
        <v>0</v>
      </c>
      <c r="J46" s="1">
        <f>ROUND(H46*I46,2)</f>
        <v/>
      </c>
      <c r="K46" s="1" t="inlineStr">
        <is>
          <t>2026-02</t>
        </is>
      </c>
      <c r="L46" s="1" t="n">
        <v>36795</v>
      </c>
      <c r="M46" s="1" t="inlineStr">
        <is>
          <t>4020</t>
        </is>
      </c>
      <c r="N46" s="1" t="inlineStr">
        <is>
          <t>Partially paid</t>
        </is>
      </c>
      <c r="O46" s="1" t="inlineStr">
        <is>
          <t>PO-EVW-6485</t>
        </is>
      </c>
    </row>
    <row r="47">
      <c r="A47" s="1" t="inlineStr">
        <is>
          <t>INV-2026-50046</t>
        </is>
      </c>
      <c r="B47" s="2" t="n">
        <v>46080</v>
      </c>
      <c r="C47" s="1" t="inlineStr">
        <is>
          <t>Elmsworth Publishing</t>
        </is>
      </c>
      <c r="D47" s="1" t="inlineStr">
        <is>
          <t>EWP-MSA-2022-27</t>
        </is>
      </c>
      <c r="E47" s="1" t="inlineStr">
        <is>
          <t>Fleet orchestration expansion pack, per robot</t>
        </is>
      </c>
      <c r="F47" s="1" t="n">
        <v>162</v>
      </c>
      <c r="G47" s="1" t="n">
        <v>2650</v>
      </c>
      <c r="H47" s="1">
        <f>F47*G47</f>
        <v/>
      </c>
      <c r="I47" s="1" t="n">
        <v>0.0825</v>
      </c>
      <c r="J47" s="1">
        <f>ROUND(H47*I47,2)</f>
        <v/>
      </c>
      <c r="K47" s="1" t="inlineStr">
        <is>
          <t>2026-03</t>
        </is>
      </c>
      <c r="L47" s="1" t="n">
        <v>326268</v>
      </c>
      <c r="M47" s="1" t="inlineStr">
        <is>
          <t>4020</t>
        </is>
      </c>
      <c r="N47" s="1" t="inlineStr">
        <is>
          <t>Paid</t>
        </is>
      </c>
      <c r="O47" s="1" t="inlineStr">
        <is>
          <t>PO-EWP-9691</t>
        </is>
      </c>
    </row>
    <row r="48">
      <c r="A48" s="1" t="inlineStr">
        <is>
          <t>INV-2026-50047</t>
        </is>
      </c>
      <c r="B48" s="2" t="n">
        <v>46111</v>
      </c>
      <c r="C48" s="1" t="inlineStr">
        <is>
          <t>Alderbrook Textiles</t>
        </is>
      </c>
      <c r="D48" s="1" t="inlineStr">
        <is>
          <t>ABT-MSA-2023-87</t>
        </is>
      </c>
      <c r="E48" s="1" t="inlineStr">
        <is>
          <t>Operator training programme</t>
        </is>
      </c>
      <c r="F48" s="1" t="n">
        <v>2</v>
      </c>
      <c r="G48" s="1" t="n">
        <v>2604</v>
      </c>
      <c r="H48" s="1">
        <f>F48*G48</f>
        <v/>
      </c>
      <c r="I48" s="1" t="n">
        <v>0.07000000000000001</v>
      </c>
      <c r="J48" s="1">
        <f>ROUND(H48*I48,2)</f>
        <v/>
      </c>
      <c r="K48" s="1" t="inlineStr">
        <is>
          <t>2026-04</t>
        </is>
      </c>
      <c r="L48" s="1" t="n">
        <v>572.88</v>
      </c>
      <c r="M48" s="1" t="inlineStr">
        <is>
          <t>4030</t>
        </is>
      </c>
      <c r="N48" s="1" t="inlineStr">
        <is>
          <t>Paid</t>
        </is>
      </c>
      <c r="O48" s="1" t="inlineStr">
        <is>
          <t>PO-ABT-7629</t>
        </is>
      </c>
    </row>
    <row r="49">
      <c r="A49" s="1" t="inlineStr">
        <is>
          <t>INV-2026-50048</t>
        </is>
      </c>
      <c r="B49" s="2" t="n">
        <v>46023</v>
      </c>
      <c r="C49" s="1" t="inlineStr">
        <is>
          <t>Evergreen Warehousing</t>
        </is>
      </c>
      <c r="D49" s="1" t="inlineStr">
        <is>
          <t>EVW-MSA-2024-56</t>
        </is>
      </c>
      <c r="E49" s="1" t="inlineStr">
        <is>
          <t>Premium support and spares pool</t>
        </is>
      </c>
      <c r="F49" s="1" t="n">
        <v>3</v>
      </c>
      <c r="G49" s="1" t="n">
        <v>56400</v>
      </c>
      <c r="H49" s="1">
        <f>F49*G49</f>
        <v/>
      </c>
      <c r="I49" s="1" t="n">
        <v>0.0475</v>
      </c>
      <c r="J49" s="1">
        <f>ROUND(H49*I49,2)</f>
        <v/>
      </c>
      <c r="K49" s="1" t="inlineStr">
        <is>
          <t>2026-02</t>
        </is>
      </c>
      <c r="L49" s="1" t="n">
        <v>101520</v>
      </c>
      <c r="M49" s="1" t="inlineStr">
        <is>
          <t>4020</t>
        </is>
      </c>
      <c r="N49" s="1" t="inlineStr">
        <is>
          <t>Paid</t>
        </is>
      </c>
      <c r="O49" s="1" t="inlineStr">
        <is>
          <t>PO-EVW-1135</t>
        </is>
      </c>
    </row>
    <row r="50">
      <c r="A50" s="1" t="inlineStr">
        <is>
          <t>INV-2026-50049</t>
        </is>
      </c>
      <c r="B50" s="2" t="n">
        <v>46079</v>
      </c>
      <c r="C50" s="1" t="inlineStr">
        <is>
          <t>Vantage Robotics Supply</t>
        </is>
      </c>
      <c r="D50" s="1" t="inlineStr">
        <is>
          <t>VRS-MSA-2023-88</t>
        </is>
      </c>
      <c r="E50" s="1" t="inlineStr">
        <is>
          <t>Fleet orchestration platform, annual site licence</t>
        </is>
      </c>
      <c r="F50" s="1" t="n">
        <v>4</v>
      </c>
      <c r="G50" s="1" t="n">
        <v>95100</v>
      </c>
      <c r="H50" s="1">
        <f>F50*G50</f>
        <v/>
      </c>
      <c r="I50" s="1" t="n">
        <v>0.065</v>
      </c>
      <c r="J50" s="1">
        <f>ROUND(H50*I50,2)</f>
        <v/>
      </c>
      <c r="K50" s="1" t="inlineStr">
        <is>
          <t>2026-03</t>
        </is>
      </c>
      <c r="L50" s="1" t="n">
        <v>228240</v>
      </c>
      <c r="M50" s="1" t="inlineStr">
        <is>
          <t>4020</t>
        </is>
      </c>
      <c r="N50" s="1" t="inlineStr">
        <is>
          <t>Paid</t>
        </is>
      </c>
      <c r="O50" s="1" t="inlineStr">
        <is>
          <t>PO-VRS-1866</t>
        </is>
      </c>
    </row>
    <row r="51">
      <c r="A51" s="1" t="inlineStr">
        <is>
          <t>INV-2026-50050</t>
        </is>
      </c>
      <c r="B51" s="2" t="n">
        <v>46087</v>
      </c>
      <c r="C51" s="1" t="inlineStr">
        <is>
          <t>Bellweather Auto Group</t>
        </is>
      </c>
      <c r="D51" s="1" t="inlineStr">
        <is>
          <t>BWA-MSA-2025-37</t>
        </is>
      </c>
      <c r="E51" s="1" t="inlineStr">
        <is>
          <t>Operator training programme</t>
        </is>
      </c>
      <c r="F51" s="1" t="n">
        <v>3</v>
      </c>
      <c r="G51" s="1" t="n">
        <v>3700</v>
      </c>
      <c r="H51" s="1">
        <f>F51*G51</f>
        <v/>
      </c>
      <c r="I51" s="1" t="n">
        <v>0.0825</v>
      </c>
      <c r="J51" s="1">
        <f>ROUND(H51*I51,2)</f>
        <v/>
      </c>
      <c r="K51" s="1" t="inlineStr">
        <is>
          <t>2026-04</t>
        </is>
      </c>
      <c r="L51" s="1" t="n">
        <v>222</v>
      </c>
      <c r="M51" s="1" t="inlineStr">
        <is>
          <t>4030</t>
        </is>
      </c>
      <c r="N51" s="1" t="inlineStr">
        <is>
          <t>Paid</t>
        </is>
      </c>
      <c r="O51" s="1" t="inlineStr">
        <is>
          <t>PO-BWA-3799</t>
        </is>
      </c>
    </row>
    <row r="52">
      <c r="A52" s="1" t="inlineStr">
        <is>
          <t>INV-2026-50051</t>
        </is>
      </c>
      <c r="B52" s="2" t="n">
        <v>46042</v>
      </c>
      <c r="C52" s="1" t="inlineStr">
        <is>
          <t>Quarrybridge Materials</t>
        </is>
      </c>
      <c r="D52" s="1" t="inlineStr">
        <is>
          <t>QBM-MSA-2022-43</t>
        </is>
      </c>
      <c r="E52" s="1" t="inlineStr">
        <is>
          <t>Fleet orchestration platform, annual site licence</t>
        </is>
      </c>
      <c r="F52" s="1" t="n">
        <v>3</v>
      </c>
      <c r="G52" s="1" t="n">
        <v>95500</v>
      </c>
      <c r="H52" s="1">
        <f>F52*G52</f>
        <v/>
      </c>
      <c r="I52" s="1" t="n">
        <v>0.0475</v>
      </c>
      <c r="J52" s="1">
        <f>ROUND(H52*I52,2)</f>
        <v/>
      </c>
      <c r="K52" s="1" t="inlineStr">
        <is>
          <t>2026-02</t>
        </is>
      </c>
      <c r="L52" s="1" t="n">
        <v>229200</v>
      </c>
      <c r="M52" s="1" t="inlineStr">
        <is>
          <t>4020</t>
        </is>
      </c>
      <c r="N52" s="1" t="inlineStr">
        <is>
          <t>Open</t>
        </is>
      </c>
      <c r="O52" s="1" t="inlineStr">
        <is>
          <t>PO-QBM-5810</t>
        </is>
      </c>
    </row>
    <row r="53">
      <c r="A53" s="1" t="inlineStr">
        <is>
          <t>INV-2026-50052</t>
        </is>
      </c>
      <c r="B53" s="2" t="n">
        <v>46073</v>
      </c>
      <c r="C53" s="1" t="inlineStr">
        <is>
          <t>Pioneer Freight Union</t>
        </is>
      </c>
      <c r="D53" s="1" t="inlineStr">
        <is>
          <t>PFU-MSA-2025-31</t>
        </is>
      </c>
      <c r="E53" s="1" t="inlineStr">
        <is>
          <t>Safety scanner retrofit kit</t>
        </is>
      </c>
      <c r="F53" s="1" t="n">
        <v>1</v>
      </c>
      <c r="G53" s="1" t="n">
        <v>6750</v>
      </c>
      <c r="H53" s="1">
        <f>F53*G53</f>
        <v/>
      </c>
      <c r="I53" s="1" t="n">
        <v>0.0475</v>
      </c>
      <c r="J53" s="1">
        <f>ROUND(H53*I53,2)</f>
        <v/>
      </c>
      <c r="K53" s="1" t="inlineStr">
        <is>
          <t>2026-03</t>
        </is>
      </c>
      <c r="L53" s="1" t="n">
        <v>0</v>
      </c>
      <c r="M53" s="1" t="inlineStr">
        <is>
          <t>4010</t>
        </is>
      </c>
      <c r="N53" s="1" t="inlineStr">
        <is>
          <t>Partially paid</t>
        </is>
      </c>
      <c r="O53" s="1" t="inlineStr">
        <is>
          <t>PO-PFU-2842</t>
        </is>
      </c>
    </row>
    <row r="54">
      <c r="A54" s="1" t="inlineStr">
        <is>
          <t>INV-2026-50053</t>
        </is>
      </c>
      <c r="B54" s="2" t="n">
        <v>46087</v>
      </c>
      <c r="C54" s="1" t="inlineStr">
        <is>
          <t>Vantage Robotics Supply</t>
        </is>
      </c>
      <c r="D54" s="1" t="inlineStr">
        <is>
          <t>VRS-MSA-2023-32</t>
        </is>
      </c>
      <c r="E54" s="1" t="inlineStr">
        <is>
          <t>Autonomous mobile robot, 450 kg payload</t>
        </is>
      </c>
      <c r="F54" s="1" t="n">
        <v>2</v>
      </c>
      <c r="G54" s="1" t="n">
        <v>67500</v>
      </c>
      <c r="H54" s="1">
        <f>F54*G54</f>
        <v/>
      </c>
      <c r="I54" s="1" t="n">
        <v>0.09</v>
      </c>
      <c r="J54" s="1">
        <f>ROUND(H54*I54,2)</f>
        <v/>
      </c>
      <c r="K54" s="1" t="inlineStr">
        <is>
          <t>2026-04</t>
        </is>
      </c>
      <c r="L54" s="1" t="n">
        <v>0</v>
      </c>
      <c r="M54" s="1" t="inlineStr">
        <is>
          <t>4010</t>
        </is>
      </c>
      <c r="N54" s="1" t="inlineStr">
        <is>
          <t>Partially paid</t>
        </is>
      </c>
      <c r="O54" s="1" t="inlineStr">
        <is>
          <t>PO-VRS-6867</t>
        </is>
      </c>
    </row>
    <row r="55">
      <c r="A55" s="1" t="inlineStr">
        <is>
          <t>INV-2026-50054</t>
        </is>
      </c>
      <c r="B55" s="2" t="n">
        <v>46052</v>
      </c>
      <c r="C55" s="1" t="inlineStr">
        <is>
          <t>Harborline Systems</t>
        </is>
      </c>
      <c r="D55" s="1" t="inlineStr">
        <is>
          <t>HLS-MSA-2023-84</t>
        </is>
      </c>
      <c r="E55" s="1" t="inlineStr">
        <is>
          <t>Autonomous mobile robot, 450 kg payload</t>
        </is>
      </c>
      <c r="F55" s="1" t="n">
        <v>6</v>
      </c>
      <c r="G55" s="1" t="n">
        <v>68400</v>
      </c>
      <c r="H55" s="1">
        <f>F55*G55</f>
        <v/>
      </c>
      <c r="I55" s="1" t="n">
        <v>0.0475</v>
      </c>
      <c r="J55" s="1">
        <f>ROUND(H55*I55,2)</f>
        <v/>
      </c>
      <c r="K55" s="1" t="inlineStr">
        <is>
          <t>2026-02</t>
        </is>
      </c>
      <c r="L55" s="1" t="n">
        <v>0</v>
      </c>
      <c r="M55" s="1" t="inlineStr">
        <is>
          <t>4010</t>
        </is>
      </c>
      <c r="N55" s="1" t="inlineStr">
        <is>
          <t>Paid</t>
        </is>
      </c>
      <c r="O55" s="1" t="inlineStr">
        <is>
          <t>PO-HLS-9392</t>
        </is>
      </c>
    </row>
    <row r="56">
      <c r="A56" s="1" t="inlineStr">
        <is>
          <t>INV-2026-50055</t>
        </is>
      </c>
      <c r="B56" s="2" t="n">
        <v>46079</v>
      </c>
      <c r="C56" s="1" t="inlineStr">
        <is>
          <t>Blue Mesa Components</t>
        </is>
      </c>
      <c r="D56" s="1" t="inlineStr">
        <is>
          <t>BMC-MSA-2024-45</t>
        </is>
      </c>
      <c r="E56" s="1" t="inlineStr">
        <is>
          <t>Autonomous mobile robot, 450 kg payload</t>
        </is>
      </c>
      <c r="F56" s="1" t="n">
        <v>9</v>
      </c>
      <c r="G56" s="1" t="n">
        <v>67900</v>
      </c>
      <c r="H56" s="1">
        <f>F56*G56</f>
        <v/>
      </c>
      <c r="I56" s="1" t="n">
        <v>0.0475</v>
      </c>
      <c r="J56" s="1">
        <f>ROUND(H56*I56,2)</f>
        <v/>
      </c>
      <c r="K56" s="1" t="inlineStr">
        <is>
          <t>2026-03</t>
        </is>
      </c>
      <c r="L56" s="1" t="n">
        <v>0</v>
      </c>
      <c r="M56" s="1" t="inlineStr">
        <is>
          <t>4010</t>
        </is>
      </c>
      <c r="N56" s="1" t="inlineStr">
        <is>
          <t>Paid</t>
        </is>
      </c>
      <c r="O56" s="1" t="inlineStr">
        <is>
          <t>PO-BMC-9796</t>
        </is>
      </c>
    </row>
    <row r="57">
      <c r="A57" s="1" t="inlineStr">
        <is>
          <t>INV-2026-50056</t>
        </is>
      </c>
      <c r="B57" s="2" t="n">
        <v>46112</v>
      </c>
      <c r="C57" s="1" t="inlineStr">
        <is>
          <t>Elmsworth Publishing</t>
        </is>
      </c>
      <c r="D57" s="1" t="inlineStr">
        <is>
          <t>EWP-MSA-2022-69</t>
        </is>
      </c>
      <c r="E57" s="1" t="inlineStr">
        <is>
          <t>Fleet orchestration expansion pack, per robot</t>
        </is>
      </c>
      <c r="F57" s="1" t="n">
        <v>105</v>
      </c>
      <c r="G57" s="1" t="n">
        <v>3150</v>
      </c>
      <c r="H57" s="1">
        <f>F57*G57</f>
        <v/>
      </c>
      <c r="I57" s="1" t="n">
        <v>0.065</v>
      </c>
      <c r="J57" s="1">
        <f>ROUND(H57*I57,2)</f>
        <v/>
      </c>
      <c r="K57" s="1" t="inlineStr">
        <is>
          <t>2026-04</t>
        </is>
      </c>
      <c r="L57" s="1" t="n">
        <v>251370</v>
      </c>
      <c r="M57" s="1" t="inlineStr">
        <is>
          <t>4020</t>
        </is>
      </c>
      <c r="N57" s="1" t="inlineStr">
        <is>
          <t>Disputed</t>
        </is>
      </c>
      <c r="O57" s="1" t="inlineStr">
        <is>
          <t>PO-EWP-5782</t>
        </is>
      </c>
    </row>
    <row r="58">
      <c r="A58" s="1" t="inlineStr">
        <is>
          <t>INV-2026-50057</t>
        </is>
      </c>
      <c r="B58" s="2" t="n">
        <v>46052</v>
      </c>
      <c r="C58" s="1" t="inlineStr">
        <is>
          <t>Evergreen Warehousing</t>
        </is>
      </c>
      <c r="D58" s="1" t="inlineStr">
        <is>
          <t>EVW-MSA-2025-45</t>
        </is>
      </c>
      <c r="E58" s="1" t="inlineStr">
        <is>
          <t>Deployment and commissioning services</t>
        </is>
      </c>
      <c r="F58" s="1" t="n">
        <v>43</v>
      </c>
      <c r="G58" s="1" t="n">
        <v>1600</v>
      </c>
      <c r="H58" s="1">
        <f>F58*G58</f>
        <v/>
      </c>
      <c r="I58" s="1" t="n">
        <v>0.07000000000000001</v>
      </c>
      <c r="J58" s="1">
        <f>ROUND(H58*I58,2)</f>
        <v/>
      </c>
      <c r="K58" s="1" t="inlineStr">
        <is>
          <t>2026-02</t>
        </is>
      </c>
      <c r="L58" s="1" t="n">
        <v>688</v>
      </c>
      <c r="M58" s="1" t="inlineStr">
        <is>
          <t>4030</t>
        </is>
      </c>
      <c r="N58" s="1" t="inlineStr">
        <is>
          <t>Open</t>
        </is>
      </c>
      <c r="O58" s="1" t="inlineStr">
        <is>
          <t>PO-EVW-4449</t>
        </is>
      </c>
    </row>
    <row r="59">
      <c r="A59" s="1" t="inlineStr">
        <is>
          <t>INV-2026-50058</t>
        </is>
      </c>
      <c r="B59" s="2" t="n">
        <v>46080</v>
      </c>
      <c r="C59" s="1" t="inlineStr">
        <is>
          <t>Alderbrook Textiles</t>
        </is>
      </c>
      <c r="D59" s="1" t="inlineStr">
        <is>
          <t>ABT-MSA-2024-20</t>
        </is>
      </c>
      <c r="E59" s="1" t="inlineStr">
        <is>
          <t>Warehouse management system connector</t>
        </is>
      </c>
      <c r="F59" s="1" t="n">
        <v>4</v>
      </c>
      <c r="G59" s="1" t="n">
        <v>38000</v>
      </c>
      <c r="H59" s="1">
        <f>F59*G59</f>
        <v/>
      </c>
      <c r="I59" s="1" t="n">
        <v>0.07000000000000001</v>
      </c>
      <c r="J59" s="1">
        <f>ROUND(H59*I59,2)</f>
        <v/>
      </c>
      <c r="K59" s="1" t="inlineStr">
        <is>
          <t>2026-03</t>
        </is>
      </c>
      <c r="L59" s="1" t="n">
        <v>27360</v>
      </c>
      <c r="M59" s="1" t="inlineStr">
        <is>
          <t>4030</t>
        </is>
      </c>
      <c r="N59" s="1" t="inlineStr">
        <is>
          <t>Open</t>
        </is>
      </c>
      <c r="O59" s="1" t="inlineStr">
        <is>
          <t>PO-ABT-1376</t>
        </is>
      </c>
    </row>
    <row r="60">
      <c r="A60" s="1" t="inlineStr">
        <is>
          <t>INV-2026-50059</t>
        </is>
      </c>
      <c r="B60" s="2" t="n">
        <v>46108</v>
      </c>
      <c r="C60" s="1" t="inlineStr">
        <is>
          <t>Crestline Fulfillment</t>
        </is>
      </c>
      <c r="D60" s="1" t="inlineStr">
        <is>
          <t>CFF-MSA-2022-35</t>
        </is>
      </c>
      <c r="E60" s="1" t="inlineStr">
        <is>
          <t>Opportunity charging dock</t>
        </is>
      </c>
      <c r="F60" s="1" t="n">
        <v>1</v>
      </c>
      <c r="G60" s="1" t="n">
        <v>11550</v>
      </c>
      <c r="H60" s="1">
        <f>F60*G60</f>
        <v/>
      </c>
      <c r="I60" s="1" t="n">
        <v>0.07000000000000001</v>
      </c>
      <c r="J60" s="1">
        <f>ROUND(H60*I60,2)</f>
        <v/>
      </c>
      <c r="K60" s="1" t="inlineStr">
        <is>
          <t>2026-04</t>
        </is>
      </c>
      <c r="L60" s="1" t="n">
        <v>0</v>
      </c>
      <c r="M60" s="1" t="inlineStr">
        <is>
          <t>4010</t>
        </is>
      </c>
      <c r="N60" s="1" t="inlineStr">
        <is>
          <t>Paid</t>
        </is>
      </c>
      <c r="O60" s="1" t="inlineStr">
        <is>
          <t>PO-CFF-9880</t>
        </is>
      </c>
    </row>
    <row r="61">
      <c r="A61" s="1" t="inlineStr">
        <is>
          <t>INV-2026-50060</t>
        </is>
      </c>
      <c r="B61" s="2" t="n">
        <v>46052</v>
      </c>
      <c r="C61" s="1" t="inlineStr">
        <is>
          <t>Union Vale Pharma</t>
        </is>
      </c>
      <c r="D61" s="1" t="inlineStr">
        <is>
          <t>UVP-MSA-2022-58</t>
        </is>
      </c>
      <c r="E61" s="1" t="inlineStr">
        <is>
          <t>Autonomous mobile robot, 450 kg payload</t>
        </is>
      </c>
      <c r="F61" s="1" t="n">
        <v>12</v>
      </c>
      <c r="G61" s="1" t="n">
        <v>67500</v>
      </c>
      <c r="H61" s="1">
        <f>F61*G61</f>
        <v/>
      </c>
      <c r="I61" s="1" t="n">
        <v>0</v>
      </c>
      <c r="J61" s="1">
        <f>ROUND(H61*I61,2)</f>
        <v/>
      </c>
      <c r="K61" s="1" t="inlineStr">
        <is>
          <t>2026-02</t>
        </is>
      </c>
      <c r="L61" s="1" t="n">
        <v>0</v>
      </c>
      <c r="M61" s="1" t="inlineStr">
        <is>
          <t>4010</t>
        </is>
      </c>
      <c r="N61" s="1" t="inlineStr">
        <is>
          <t>Open</t>
        </is>
      </c>
      <c r="O61" s="1" t="inlineStr">
        <is>
          <t>PO-UVP-6898</t>
        </is>
      </c>
    </row>
    <row r="62">
      <c r="A62" s="1" t="inlineStr">
        <is>
          <t>INV-2026-50061</t>
        </is>
      </c>
      <c r="B62" s="2" t="n">
        <v>46080</v>
      </c>
      <c r="C62" s="1" t="inlineStr">
        <is>
          <t>Blue Mesa Components</t>
        </is>
      </c>
      <c r="D62" s="1" t="inlineStr">
        <is>
          <t>BMC-MSA-2025-30</t>
        </is>
      </c>
      <c r="E62" s="1" t="inlineStr">
        <is>
          <t>Safety scanner retrofit kit</t>
        </is>
      </c>
      <c r="F62" s="1" t="n">
        <v>1</v>
      </c>
      <c r="G62" s="1" t="n">
        <v>7250</v>
      </c>
      <c r="H62" s="1">
        <f>F62*G62</f>
        <v/>
      </c>
      <c r="I62" s="1" t="n">
        <v>0</v>
      </c>
      <c r="J62" s="1">
        <f>ROUND(H62*I62,2)</f>
        <v/>
      </c>
      <c r="K62" s="1" t="inlineStr">
        <is>
          <t>2026-03</t>
        </is>
      </c>
      <c r="L62" s="1" t="n">
        <v>0</v>
      </c>
      <c r="M62" s="1" t="inlineStr">
        <is>
          <t>4010</t>
        </is>
      </c>
      <c r="N62" s="1" t="inlineStr">
        <is>
          <t>Disputed</t>
        </is>
      </c>
      <c r="O62" s="1" t="inlineStr">
        <is>
          <t>PO-BMC-7535</t>
        </is>
      </c>
    </row>
    <row r="63">
      <c r="A63" s="1" t="inlineStr">
        <is>
          <t>INV-2026-50062</t>
        </is>
      </c>
      <c r="B63" s="2" t="n">
        <v>46094</v>
      </c>
      <c r="C63" s="1" t="inlineStr">
        <is>
          <t>Westlake Chemical Depot</t>
        </is>
      </c>
      <c r="D63" s="1" t="inlineStr">
        <is>
          <t>WCD-MSA-2023-40</t>
        </is>
      </c>
      <c r="E63" s="1" t="inlineStr">
        <is>
          <t>Fleet orchestration platform, annual site licence</t>
        </is>
      </c>
      <c r="F63" s="1" t="n">
        <v>2</v>
      </c>
      <c r="G63" s="1" t="n">
        <v>95500</v>
      </c>
      <c r="H63" s="1">
        <f>F63*G63</f>
        <v/>
      </c>
      <c r="I63" s="1" t="n">
        <v>0.0475</v>
      </c>
      <c r="J63" s="1">
        <f>ROUND(H63*I63,2)</f>
        <v/>
      </c>
      <c r="K63" s="1" t="inlineStr">
        <is>
          <t>2026-04</t>
        </is>
      </c>
      <c r="L63" s="1" t="n">
        <v>154710</v>
      </c>
      <c r="M63" s="1" t="inlineStr">
        <is>
          <t>4020</t>
        </is>
      </c>
      <c r="N63" s="1" t="inlineStr">
        <is>
          <t>Open</t>
        </is>
      </c>
      <c r="O63" s="1" t="inlineStr">
        <is>
          <t>PO-WCD-3143</t>
        </is>
      </c>
    </row>
    <row r="64">
      <c r="A64" s="1" t="inlineStr">
        <is>
          <t>INV-2026-50063</t>
        </is>
      </c>
      <c r="B64" s="2" t="n">
        <v>46052</v>
      </c>
      <c r="C64" s="1" t="inlineStr">
        <is>
          <t>Yarrow Home Goods</t>
        </is>
      </c>
      <c r="D64" s="1" t="inlineStr">
        <is>
          <t>YHG-MSA-2024-66</t>
        </is>
      </c>
      <c r="E64" s="1" t="inlineStr">
        <is>
          <t>Safety scanner retrofit kit</t>
        </is>
      </c>
      <c r="F64" s="1" t="n">
        <v>3</v>
      </c>
      <c r="G64" s="1" t="n">
        <v>5050</v>
      </c>
      <c r="H64" s="1">
        <f>F64*G64</f>
        <v/>
      </c>
      <c r="I64" s="1" t="n">
        <v>0.065</v>
      </c>
      <c r="J64" s="1">
        <f>ROUND(H64*I64,2)</f>
        <v/>
      </c>
      <c r="K64" s="1" t="inlineStr">
        <is>
          <t>2026-02</t>
        </is>
      </c>
      <c r="L64" s="1" t="n">
        <v>0</v>
      </c>
      <c r="M64" s="1" t="inlineStr">
        <is>
          <t>4010</t>
        </is>
      </c>
      <c r="N64" s="1" t="inlineStr">
        <is>
          <t>Written off</t>
        </is>
      </c>
      <c r="O64" s="1" t="inlineStr">
        <is>
          <t>PO-YHG-6310</t>
        </is>
      </c>
    </row>
    <row r="65">
      <c r="A65" s="1" t="inlineStr">
        <is>
          <t>INV-2026-50064</t>
        </is>
      </c>
      <c r="B65" s="2" t="n">
        <v>46079</v>
      </c>
      <c r="C65" s="1" t="inlineStr">
        <is>
          <t>Tamarack Electronics</t>
        </is>
      </c>
      <c r="D65" s="1" t="inlineStr">
        <is>
          <t>TCE-MSA-2023-71</t>
        </is>
      </c>
      <c r="E65" s="1" t="inlineStr">
        <is>
          <t>Premium support and spares pool</t>
        </is>
      </c>
      <c r="F65" s="1" t="n">
        <v>4</v>
      </c>
      <c r="G65" s="1" t="n">
        <v>56400</v>
      </c>
      <c r="H65" s="1">
        <f>F65*G65</f>
        <v/>
      </c>
      <c r="I65" s="1" t="n">
        <v>0.09</v>
      </c>
      <c r="J65" s="1">
        <f>ROUND(H65*I65,2)</f>
        <v/>
      </c>
      <c r="K65" s="1" t="inlineStr">
        <is>
          <t>2026-03</t>
        </is>
      </c>
      <c r="L65" s="1" t="n">
        <v>153408</v>
      </c>
      <c r="M65" s="1" t="inlineStr">
        <is>
          <t>4020</t>
        </is>
      </c>
      <c r="N65" s="1" t="inlineStr">
        <is>
          <t>Paid</t>
        </is>
      </c>
      <c r="O65" s="1" t="inlineStr">
        <is>
          <t>PO-TCE-2200</t>
        </is>
      </c>
    </row>
    <row r="66">
      <c r="A66" s="1" t="inlineStr">
        <is>
          <t>INV-2026-50065</t>
        </is>
      </c>
      <c r="B66" s="2" t="n">
        <v>46093</v>
      </c>
      <c r="C66" s="1" t="inlineStr">
        <is>
          <t>Evergreen Warehousing</t>
        </is>
      </c>
      <c r="D66" s="1" t="inlineStr">
        <is>
          <t>EVW-MSA-2025-29</t>
        </is>
      </c>
      <c r="E66" s="1" t="inlineStr">
        <is>
          <t>Telemetry retention tier, extended</t>
        </is>
      </c>
      <c r="F66" s="1" t="n">
        <v>4</v>
      </c>
      <c r="G66" s="1" t="n">
        <v>23600</v>
      </c>
      <c r="H66" s="1">
        <f>F66*G66</f>
        <v/>
      </c>
      <c r="I66" s="1" t="n">
        <v>0.0825</v>
      </c>
      <c r="J66" s="1">
        <f>ROUND(H66*I66,2)</f>
        <v/>
      </c>
      <c r="K66" s="1" t="inlineStr">
        <is>
          <t>2026-04</t>
        </is>
      </c>
      <c r="L66" s="1" t="n">
        <v>63248</v>
      </c>
      <c r="M66" s="1" t="inlineStr">
        <is>
          <t>4020</t>
        </is>
      </c>
      <c r="N66" s="1" t="inlineStr">
        <is>
          <t>Credit issued</t>
        </is>
      </c>
      <c r="O66" s="1" t="inlineStr">
        <is>
          <t>PO-EVW-3817</t>
        </is>
      </c>
    </row>
    <row r="67">
      <c r="A67" s="1" t="inlineStr">
        <is>
          <t>INV-2026-50066</t>
        </is>
      </c>
      <c r="B67" s="2" t="n">
        <v>46029</v>
      </c>
      <c r="C67" s="1" t="inlineStr">
        <is>
          <t>Juniper Health Supply</t>
        </is>
      </c>
      <c r="D67" s="1" t="inlineStr">
        <is>
          <t>JHS-MSA-2024-59</t>
        </is>
      </c>
      <c r="E67" s="1" t="inlineStr">
        <is>
          <t>Fleet orchestration expansion pack, per robot</t>
        </is>
      </c>
      <c r="F67" s="1" t="n">
        <v>136</v>
      </c>
      <c r="G67" s="1" t="n">
        <v>3150</v>
      </c>
      <c r="H67" s="1">
        <f>F67*G67</f>
        <v/>
      </c>
      <c r="I67" s="1" t="n">
        <v>0.065</v>
      </c>
      <c r="J67" s="1">
        <f>ROUND(H67*I67,2)</f>
        <v/>
      </c>
      <c r="K67" s="1" t="inlineStr">
        <is>
          <t>2026-02</t>
        </is>
      </c>
      <c r="L67" s="1" t="n">
        <v>351288</v>
      </c>
      <c r="M67" s="1" t="inlineStr">
        <is>
          <t>4020</t>
        </is>
      </c>
      <c r="N67" s="1" t="inlineStr">
        <is>
          <t>Partially paid</t>
        </is>
      </c>
      <c r="O67" s="1" t="inlineStr">
        <is>
          <t>PO-JHS-5042</t>
        </is>
      </c>
    </row>
    <row r="68">
      <c r="A68" s="1" t="inlineStr">
        <is>
          <t>INV-2026-50067</t>
        </is>
      </c>
      <c r="B68" s="2" t="n">
        <v>46079</v>
      </c>
      <c r="C68" s="1" t="inlineStr">
        <is>
          <t>Summit Ridge Retail</t>
        </is>
      </c>
      <c r="D68" s="1" t="inlineStr">
        <is>
          <t>SRR-MSA-2023-77</t>
        </is>
      </c>
      <c r="E68" s="1" t="inlineStr">
        <is>
          <t>Autonomous mobile robot, 220 kg payload</t>
        </is>
      </c>
      <c r="F68" s="1" t="n">
        <v>2</v>
      </c>
      <c r="G68" s="1" t="n">
        <v>40600</v>
      </c>
      <c r="H68" s="1">
        <f>F68*G68</f>
        <v/>
      </c>
      <c r="I68" s="1" t="n">
        <v>0</v>
      </c>
      <c r="J68" s="1">
        <f>ROUND(H68*I68,2)</f>
        <v/>
      </c>
      <c r="K68" s="1" t="inlineStr">
        <is>
          <t>2026-03</t>
        </is>
      </c>
      <c r="L68" s="1" t="n">
        <v>0</v>
      </c>
      <c r="M68" s="1" t="inlineStr">
        <is>
          <t>4010</t>
        </is>
      </c>
      <c r="N68" s="1" t="inlineStr">
        <is>
          <t>Disputed</t>
        </is>
      </c>
      <c r="O68" s="1" t="inlineStr">
        <is>
          <t>PO-SRR-5476</t>
        </is>
      </c>
    </row>
    <row r="69">
      <c r="A69" s="1" t="inlineStr">
        <is>
          <t>INV-2026-50068</t>
        </is>
      </c>
      <c r="B69" s="2" t="n">
        <v>46112</v>
      </c>
      <c r="C69" s="1" t="inlineStr">
        <is>
          <t>Redwood Optics</t>
        </is>
      </c>
      <c r="D69" s="1" t="inlineStr">
        <is>
          <t>RWO-MSA-2024-56</t>
        </is>
      </c>
      <c r="E69" s="1" t="inlineStr">
        <is>
          <t>Telemetry retention tier, extended</t>
        </is>
      </c>
      <c r="F69" s="1" t="n">
        <v>1</v>
      </c>
      <c r="G69" s="1" t="n">
        <v>23100</v>
      </c>
      <c r="H69" s="1">
        <f>F69*G69</f>
        <v/>
      </c>
      <c r="I69" s="1" t="n">
        <v>0.06</v>
      </c>
      <c r="J69" s="1">
        <f>ROUND(H69*I69,2)</f>
        <v/>
      </c>
      <c r="K69" s="1" t="inlineStr">
        <is>
          <t>2026-04</t>
        </is>
      </c>
      <c r="L69" s="1" t="n">
        <v>16632</v>
      </c>
      <c r="M69" s="1" t="inlineStr">
        <is>
          <t>4020</t>
        </is>
      </c>
      <c r="N69" s="1" t="inlineStr">
        <is>
          <t>Open</t>
        </is>
      </c>
      <c r="O69" s="1" t="inlineStr">
        <is>
          <t>PO-RWO-6923</t>
        </is>
      </c>
    </row>
    <row r="70">
      <c r="A70" s="1" t="inlineStr">
        <is>
          <t>INV-2026-50069</t>
        </is>
      </c>
      <c r="B70" s="2" t="n">
        <v>46041</v>
      </c>
      <c r="C70" s="1" t="inlineStr">
        <is>
          <t>Juniper Health Supply</t>
        </is>
      </c>
      <c r="D70" s="1" t="inlineStr">
        <is>
          <t>JHS-MSA-2023-17</t>
        </is>
      </c>
      <c r="E70" s="1" t="inlineStr">
        <is>
          <t>Remote operations desk coverage</t>
        </is>
      </c>
      <c r="F70" s="1" t="n">
        <v>3</v>
      </c>
      <c r="G70" s="1" t="n">
        <v>12350</v>
      </c>
      <c r="H70" s="1">
        <f>F70*G70</f>
        <v/>
      </c>
      <c r="I70" s="1" t="n">
        <v>0.0825</v>
      </c>
      <c r="J70" s="1">
        <f>ROUND(H70*I70,2)</f>
        <v/>
      </c>
      <c r="K70" s="1" t="inlineStr">
        <is>
          <t>2026-02</t>
        </is>
      </c>
      <c r="L70" s="1" t="n">
        <v>21118.5</v>
      </c>
      <c r="M70" s="1" t="inlineStr">
        <is>
          <t>4020</t>
        </is>
      </c>
      <c r="N70" s="1" t="inlineStr">
        <is>
          <t>Paid</t>
        </is>
      </c>
      <c r="O70" s="1" t="inlineStr">
        <is>
          <t>PO-JHS-1472</t>
        </is>
      </c>
    </row>
    <row r="71">
      <c r="A71" s="1" t="inlineStr">
        <is>
          <t>INV-2026-50070</t>
        </is>
      </c>
      <c r="B71" s="2" t="n">
        <v>46080</v>
      </c>
      <c r="C71" s="1" t="inlineStr">
        <is>
          <t>Ironvale Grocery Group</t>
        </is>
      </c>
      <c r="D71" s="1" t="inlineStr">
        <is>
          <t>IVG-MSA-2024-50</t>
        </is>
      </c>
      <c r="E71" s="1" t="inlineStr">
        <is>
          <t>Deployment and commissioning services</t>
        </is>
      </c>
      <c r="F71" s="1" t="n">
        <v>7</v>
      </c>
      <c r="G71" s="1" t="n">
        <v>1850</v>
      </c>
      <c r="H71" s="1">
        <f>F71*G71</f>
        <v/>
      </c>
      <c r="I71" s="1" t="n">
        <v>0.07000000000000001</v>
      </c>
      <c r="J71" s="1">
        <f>ROUND(H71*I71,2)</f>
        <v/>
      </c>
      <c r="K71" s="1" t="inlineStr">
        <is>
          <t>2026-03</t>
        </is>
      </c>
      <c r="L71" s="1" t="n">
        <v>129.5</v>
      </c>
      <c r="M71" s="1" t="inlineStr">
        <is>
          <t>4030</t>
        </is>
      </c>
      <c r="N71" s="1" t="inlineStr">
        <is>
          <t>Disputed</t>
        </is>
      </c>
      <c r="O71" s="1" t="inlineStr">
        <is>
          <t>PO-IVG-4745</t>
        </is>
      </c>
    </row>
    <row r="72">
      <c r="A72" s="1" t="inlineStr">
        <is>
          <t>INV-2026-50071</t>
        </is>
      </c>
      <c r="B72" s="2" t="n">
        <v>46111</v>
      </c>
      <c r="C72" s="1" t="inlineStr">
        <is>
          <t>Redwood Optics</t>
        </is>
      </c>
      <c r="D72" s="1" t="inlineStr">
        <is>
          <t>RWO-MSA-2023-25</t>
        </is>
      </c>
      <c r="E72" s="1" t="inlineStr">
        <is>
          <t>Fleet orchestration expansion pack, per robot</t>
        </is>
      </c>
      <c r="F72" s="1" t="n">
        <v>38</v>
      </c>
      <c r="G72" s="1" t="n">
        <v>1953</v>
      </c>
      <c r="H72" s="1">
        <f>F72*G72</f>
        <v/>
      </c>
      <c r="I72" s="1" t="n">
        <v>0.0825</v>
      </c>
      <c r="J72" s="1">
        <f>ROUND(H72*I72,2)</f>
        <v/>
      </c>
      <c r="K72" s="1" t="inlineStr">
        <is>
          <t>2026-04</t>
        </is>
      </c>
      <c r="L72" s="1" t="n">
        <v>58629.06</v>
      </c>
      <c r="M72" s="1" t="inlineStr">
        <is>
          <t>4020</t>
        </is>
      </c>
      <c r="N72" s="1" t="inlineStr">
        <is>
          <t>Written off</t>
        </is>
      </c>
      <c r="O72" s="1" t="inlineStr">
        <is>
          <t>PO-RWO-7580</t>
        </is>
      </c>
    </row>
    <row r="73">
      <c r="A73" s="1" t="inlineStr">
        <is>
          <t>INV-2026-50072</t>
        </is>
      </c>
      <c r="B73" s="2" t="n">
        <v>46052</v>
      </c>
      <c r="C73" s="1" t="inlineStr">
        <is>
          <t>Granite Peak Distribution</t>
        </is>
      </c>
      <c r="D73" s="1" t="inlineStr">
        <is>
          <t>GPD-MSA-2024-78</t>
        </is>
      </c>
      <c r="E73" s="1" t="inlineStr">
        <is>
          <t>Safety scanner retrofit kit</t>
        </is>
      </c>
      <c r="F73" s="1" t="n">
        <v>2</v>
      </c>
      <c r="G73" s="1" t="n">
        <v>7000</v>
      </c>
      <c r="H73" s="1">
        <f>F73*G73</f>
        <v/>
      </c>
      <c r="I73" s="1" t="n">
        <v>0.06</v>
      </c>
      <c r="J73" s="1">
        <f>ROUND(H73*I73,2)</f>
        <v/>
      </c>
      <c r="K73" s="1" t="inlineStr">
        <is>
          <t>2026-02</t>
        </is>
      </c>
      <c r="L73" s="1" t="n">
        <v>0</v>
      </c>
      <c r="M73" s="1" t="inlineStr">
        <is>
          <t>4010</t>
        </is>
      </c>
      <c r="N73" s="1" t="inlineStr">
        <is>
          <t>Open</t>
        </is>
      </c>
      <c r="O73" s="1" t="inlineStr">
        <is>
          <t>PO-GPD-9665</t>
        </is>
      </c>
    </row>
    <row r="74">
      <c r="A74" s="1" t="inlineStr">
        <is>
          <t>INV-2026-50073</t>
        </is>
      </c>
      <c r="B74" s="2" t="n">
        <v>46063</v>
      </c>
      <c r="C74" s="1" t="inlineStr">
        <is>
          <t>Yarrow Home Goods</t>
        </is>
      </c>
      <c r="D74" s="1" t="inlineStr">
        <is>
          <t>YHG-MSA-2023-30</t>
        </is>
      </c>
      <c r="E74" s="1" t="inlineStr">
        <is>
          <t>Safety scanner retrofit kit</t>
        </is>
      </c>
      <c r="F74" s="1" t="n">
        <v>1</v>
      </c>
      <c r="G74" s="1" t="n">
        <v>5050</v>
      </c>
      <c r="H74" s="1">
        <f>F74*G74</f>
        <v/>
      </c>
      <c r="I74" s="1" t="n">
        <v>0.06</v>
      </c>
      <c r="J74" s="1">
        <f>ROUND(H74*I74,2)</f>
        <v/>
      </c>
      <c r="K74" s="1" t="inlineStr">
        <is>
          <t>2026-03</t>
        </is>
      </c>
      <c r="L74" s="1" t="n">
        <v>0</v>
      </c>
      <c r="M74" s="1" t="inlineStr">
        <is>
          <t>4010</t>
        </is>
      </c>
      <c r="N74" s="1" t="inlineStr">
        <is>
          <t>Written off</t>
        </is>
      </c>
      <c r="O74" s="1" t="inlineStr">
        <is>
          <t>PO-YHG-8192</t>
        </is>
      </c>
    </row>
    <row r="75">
      <c r="A75" s="1" t="inlineStr">
        <is>
          <t>INV-2026-50074</t>
        </is>
      </c>
      <c r="B75" s="2" t="n">
        <v>46087</v>
      </c>
      <c r="C75" s="1" t="inlineStr">
        <is>
          <t>Yarrow Home Goods</t>
        </is>
      </c>
      <c r="D75" s="1" t="inlineStr">
        <is>
          <t>YHG-MSA-2025-78</t>
        </is>
      </c>
      <c r="E75" s="1" t="inlineStr">
        <is>
          <t>Premium support and spares pool</t>
        </is>
      </c>
      <c r="F75" s="1" t="n">
        <v>3</v>
      </c>
      <c r="G75" s="1" t="n">
        <v>57300</v>
      </c>
      <c r="H75" s="1">
        <f>F75*G75</f>
        <v/>
      </c>
      <c r="I75" s="1" t="n">
        <v>0.0475</v>
      </c>
      <c r="J75" s="1">
        <f>ROUND(H75*I75,2)</f>
        <v/>
      </c>
      <c r="K75" s="1" t="inlineStr">
        <is>
          <t>2026-04</t>
        </is>
      </c>
      <c r="L75" s="1" t="n">
        <v>99702</v>
      </c>
      <c r="M75" s="1" t="inlineStr">
        <is>
          <t>4020</t>
        </is>
      </c>
      <c r="N75" s="1" t="inlineStr">
        <is>
          <t>Open</t>
        </is>
      </c>
      <c r="O75" s="1" t="inlineStr">
        <is>
          <t>PO-YHG-3600</t>
        </is>
      </c>
    </row>
    <row r="76">
      <c r="A76" s="1" t="inlineStr">
        <is>
          <t>INV-2026-50075</t>
        </is>
      </c>
      <c r="B76" s="2" t="n">
        <v>46052</v>
      </c>
      <c r="C76" s="1" t="inlineStr">
        <is>
          <t>Blue Mesa Components</t>
        </is>
      </c>
      <c r="D76" s="1" t="inlineStr">
        <is>
          <t>BMC-MSA-2025-66</t>
        </is>
      </c>
      <c r="E76" s="1" t="inlineStr">
        <is>
          <t>Premium support and spares pool</t>
        </is>
      </c>
      <c r="F76" s="1" t="n">
        <v>2</v>
      </c>
      <c r="G76" s="1" t="n">
        <v>55900</v>
      </c>
      <c r="H76" s="1">
        <f>F76*G76</f>
        <v/>
      </c>
      <c r="I76" s="1" t="n">
        <v>0.06</v>
      </c>
      <c r="J76" s="1">
        <f>ROUND(H76*I76,2)</f>
        <v/>
      </c>
      <c r="K76" s="1" t="inlineStr">
        <is>
          <t>2026-02</t>
        </is>
      </c>
      <c r="L76" s="1" t="n">
        <v>76024</v>
      </c>
      <c r="M76" s="1" t="inlineStr">
        <is>
          <t>4020</t>
        </is>
      </c>
      <c r="N76" s="1" t="inlineStr">
        <is>
          <t>Open</t>
        </is>
      </c>
      <c r="O76" s="1" t="inlineStr">
        <is>
          <t>PO-BMC-9834</t>
        </is>
      </c>
    </row>
    <row r="77">
      <c r="A77" s="1" t="inlineStr">
        <is>
          <t>INV-2026-50076</t>
        </is>
      </c>
      <c r="B77" s="2" t="n">
        <v>46079</v>
      </c>
      <c r="C77" s="1" t="inlineStr">
        <is>
          <t>Blue Mesa Components</t>
        </is>
      </c>
      <c r="D77" s="1" t="inlineStr">
        <is>
          <t>BMC-MSA-2022-85</t>
        </is>
      </c>
      <c r="E77" s="1" t="inlineStr">
        <is>
          <t>Safety scanner retrofit kit</t>
        </is>
      </c>
      <c r="F77" s="1" t="n">
        <v>2</v>
      </c>
      <c r="G77" s="1" t="n">
        <v>7250</v>
      </c>
      <c r="H77" s="1">
        <f>F77*G77</f>
        <v/>
      </c>
      <c r="I77" s="1" t="n">
        <v>0.07000000000000001</v>
      </c>
      <c r="J77" s="1">
        <f>ROUND(H77*I77,2)</f>
        <v/>
      </c>
      <c r="K77" s="1" t="inlineStr">
        <is>
          <t>2026-03</t>
        </is>
      </c>
      <c r="L77" s="1" t="n">
        <v>0</v>
      </c>
      <c r="M77" s="1" t="inlineStr">
        <is>
          <t>4010</t>
        </is>
      </c>
      <c r="N77" s="1" t="inlineStr">
        <is>
          <t>Open</t>
        </is>
      </c>
      <c r="O77" s="1" t="inlineStr">
        <is>
          <t>PO-BMC-3003</t>
        </is>
      </c>
    </row>
    <row r="78">
      <c r="A78" s="1" t="inlineStr">
        <is>
          <t>INV-2026-50077</t>
        </is>
      </c>
      <c r="B78" s="2" t="n">
        <v>46112</v>
      </c>
      <c r="C78" s="1" t="inlineStr">
        <is>
          <t>Quarrybridge Materials</t>
        </is>
      </c>
      <c r="D78" s="1" t="inlineStr">
        <is>
          <t>QBM-MSA-2024-28</t>
        </is>
      </c>
      <c r="E78" s="1" t="inlineStr">
        <is>
          <t>Opportunity charging dock</t>
        </is>
      </c>
      <c r="F78" s="1" t="n">
        <v>13</v>
      </c>
      <c r="G78" s="1" t="n">
        <v>11300</v>
      </c>
      <c r="H78" s="1">
        <f>F78*G78</f>
        <v/>
      </c>
      <c r="I78" s="1" t="n">
        <v>0.0475</v>
      </c>
      <c r="J78" s="1">
        <f>ROUND(H78*I78,2)</f>
        <v/>
      </c>
      <c r="K78" s="1" t="inlineStr">
        <is>
          <t>2026-04</t>
        </is>
      </c>
      <c r="L78" s="1" t="n">
        <v>0</v>
      </c>
      <c r="M78" s="1" t="inlineStr">
        <is>
          <t>4010</t>
        </is>
      </c>
      <c r="N78" s="1" t="inlineStr">
        <is>
          <t>Open</t>
        </is>
      </c>
      <c r="O78" s="1" t="inlineStr">
        <is>
          <t>PO-QBM-6015</t>
        </is>
      </c>
    </row>
    <row r="79">
      <c r="A79" s="1" t="inlineStr">
        <is>
          <t>INV-2026-50078</t>
        </is>
      </c>
      <c r="B79" s="2" t="n">
        <v>46027</v>
      </c>
      <c r="C79" s="1" t="inlineStr">
        <is>
          <t>Zephyr Air Cargo</t>
        </is>
      </c>
      <c r="D79" s="1" t="inlineStr">
        <is>
          <t>ZAC-MSA-2022-57</t>
        </is>
      </c>
      <c r="E79" s="1" t="inlineStr">
        <is>
          <t>Warehouse management system connector</t>
        </is>
      </c>
      <c r="F79" s="1" t="n">
        <v>1</v>
      </c>
      <c r="G79" s="1" t="n">
        <v>37500</v>
      </c>
      <c r="H79" s="1">
        <f>F79*G79</f>
        <v/>
      </c>
      <c r="I79" s="1" t="n">
        <v>0.065</v>
      </c>
      <c r="J79" s="1">
        <f>ROUND(H79*I79,2)</f>
        <v/>
      </c>
      <c r="K79" s="1" t="inlineStr">
        <is>
          <t>2026-02</t>
        </is>
      </c>
      <c r="L79" s="1" t="n">
        <v>8250</v>
      </c>
      <c r="M79" s="1" t="inlineStr">
        <is>
          <t>4030</t>
        </is>
      </c>
      <c r="N79" s="1" t="inlineStr">
        <is>
          <t>Written off</t>
        </is>
      </c>
      <c r="O79" s="1" t="inlineStr">
        <is>
          <t>PO-ZAC-4299</t>
        </is>
      </c>
    </row>
    <row r="80">
      <c r="A80" s="1" t="inlineStr">
        <is>
          <t>INV-2026-50079</t>
        </is>
      </c>
      <c r="B80" s="2" t="n">
        <v>46079</v>
      </c>
      <c r="C80" s="1" t="inlineStr">
        <is>
          <t>Evergreen Warehousing</t>
        </is>
      </c>
      <c r="D80" s="1" t="inlineStr">
        <is>
          <t>EVW-MSA-2024-87</t>
        </is>
      </c>
      <c r="E80" s="1" t="inlineStr">
        <is>
          <t>Deployment and commissioning services</t>
        </is>
      </c>
      <c r="F80" s="1" t="n">
        <v>23</v>
      </c>
      <c r="G80" s="1" t="n">
        <v>1147</v>
      </c>
      <c r="H80" s="1">
        <f>F80*G80</f>
        <v/>
      </c>
      <c r="I80" s="1" t="n">
        <v>0.06</v>
      </c>
      <c r="J80" s="1">
        <f>ROUND(H80*I80,2)</f>
        <v/>
      </c>
      <c r="K80" s="1" t="inlineStr">
        <is>
          <t>2026-03</t>
        </is>
      </c>
      <c r="L80" s="1" t="n">
        <v>4220.96</v>
      </c>
      <c r="M80" s="1" t="inlineStr">
        <is>
          <t>4030</t>
        </is>
      </c>
      <c r="N80" s="1" t="inlineStr">
        <is>
          <t>Partially paid</t>
        </is>
      </c>
      <c r="O80" s="1" t="inlineStr">
        <is>
          <t>PO-EVW-7436</t>
        </is>
      </c>
    </row>
    <row r="81">
      <c r="A81" s="1" t="inlineStr">
        <is>
          <t>INV-2026-50080</t>
        </is>
      </c>
      <c r="B81" s="2" t="n">
        <v>46108</v>
      </c>
      <c r="C81" s="1" t="inlineStr">
        <is>
          <t>Pioneer Freight Union</t>
        </is>
      </c>
      <c r="D81" s="1" t="inlineStr">
        <is>
          <t>PFU-MSA-2025-66</t>
        </is>
      </c>
      <c r="E81" s="1" t="inlineStr">
        <is>
          <t>Safety scanner retrofit kit</t>
        </is>
      </c>
      <c r="F81" s="1" t="n">
        <v>3</v>
      </c>
      <c r="G81" s="1" t="n">
        <v>5050</v>
      </c>
      <c r="H81" s="1">
        <f>F81*G81</f>
        <v/>
      </c>
      <c r="I81" s="1" t="n">
        <v>0.0825</v>
      </c>
      <c r="J81" s="1">
        <f>ROUND(H81*I81,2)</f>
        <v/>
      </c>
      <c r="K81" s="1" t="inlineStr">
        <is>
          <t>2026-04</t>
        </is>
      </c>
      <c r="L81" s="1" t="n">
        <v>0</v>
      </c>
      <c r="M81" s="1" t="inlineStr">
        <is>
          <t>4010</t>
        </is>
      </c>
      <c r="N81" s="1" t="inlineStr">
        <is>
          <t>Open</t>
        </is>
      </c>
      <c r="O81" s="1" t="inlineStr">
        <is>
          <t>PO-PFU-7989</t>
        </is>
      </c>
    </row>
    <row r="82">
      <c r="A82" s="1" t="inlineStr">
        <is>
          <t>INV-2026-50081</t>
        </is>
      </c>
      <c r="B82" s="2" t="n">
        <v>46024</v>
      </c>
      <c r="C82" s="1" t="inlineStr">
        <is>
          <t>Redwood Optics</t>
        </is>
      </c>
      <c r="D82" s="1" t="inlineStr">
        <is>
          <t>RWO-MSA-2024-88</t>
        </is>
      </c>
      <c r="E82" s="1" t="inlineStr">
        <is>
          <t>Premium support and spares pool</t>
        </is>
      </c>
      <c r="F82" s="1" t="n">
        <v>3</v>
      </c>
      <c r="G82" s="1" t="n">
        <v>57300</v>
      </c>
      <c r="H82" s="1">
        <f>F82*G82</f>
        <v/>
      </c>
      <c r="I82" s="1" t="n">
        <v>0.0825</v>
      </c>
      <c r="J82" s="1">
        <f>ROUND(H82*I82,2)</f>
        <v/>
      </c>
      <c r="K82" s="1" t="inlineStr">
        <is>
          <t>2026-02</t>
        </is>
      </c>
      <c r="L82" s="1" t="n">
        <v>122049</v>
      </c>
      <c r="M82" s="1" t="inlineStr">
        <is>
          <t>4020</t>
        </is>
      </c>
      <c r="N82" s="1" t="inlineStr">
        <is>
          <t>Disputed</t>
        </is>
      </c>
      <c r="O82" s="1" t="inlineStr">
        <is>
          <t>PO-RWO-4167</t>
        </is>
      </c>
    </row>
    <row r="83">
      <c r="A83" s="1" t="inlineStr">
        <is>
          <t>INV-2026-50082</t>
        </is>
      </c>
      <c r="B83" s="2" t="n">
        <v>46052</v>
      </c>
      <c r="C83" s="1" t="inlineStr">
        <is>
          <t>Summit Ridge Retail</t>
        </is>
      </c>
      <c r="D83" s="1" t="inlineStr">
        <is>
          <t>SRR-MSA-2022-41</t>
        </is>
      </c>
      <c r="E83" s="1" t="inlineStr">
        <is>
          <t>Opportunity charging dock</t>
        </is>
      </c>
      <c r="F83" s="1" t="n">
        <v>1</v>
      </c>
      <c r="G83" s="1" t="n">
        <v>9600</v>
      </c>
      <c r="H83" s="1">
        <f>F83*G83</f>
        <v/>
      </c>
      <c r="I83" s="1" t="n">
        <v>0</v>
      </c>
      <c r="J83" s="1">
        <f>ROUND(H83*I83,2)</f>
        <v/>
      </c>
      <c r="K83" s="1" t="inlineStr">
        <is>
          <t>2026-02</t>
        </is>
      </c>
      <c r="L83" s="1" t="n">
        <v>0</v>
      </c>
      <c r="M83" s="1" t="inlineStr">
        <is>
          <t>4010</t>
        </is>
      </c>
      <c r="N83" s="1" t="inlineStr">
        <is>
          <t>Open</t>
        </is>
      </c>
      <c r="O83" s="1" t="inlineStr">
        <is>
          <t>PO-SRR-4981</t>
        </is>
      </c>
    </row>
    <row r="84">
      <c r="A84" s="1" t="inlineStr">
        <is>
          <t>INV-2026-50083</t>
        </is>
      </c>
      <c r="B84" s="2" t="n">
        <v>46112</v>
      </c>
      <c r="C84" s="1" t="inlineStr">
        <is>
          <t>Calder Marine Supply</t>
        </is>
      </c>
      <c r="D84" s="1" t="inlineStr">
        <is>
          <t>CMS-MSA-2023-48</t>
        </is>
      </c>
      <c r="E84" s="1" t="inlineStr">
        <is>
          <t>Opportunity charging dock</t>
        </is>
      </c>
      <c r="F84" s="1" t="n">
        <v>12</v>
      </c>
      <c r="G84" s="1" t="n">
        <v>10900</v>
      </c>
      <c r="H84" s="1">
        <f>F84*G84</f>
        <v/>
      </c>
      <c r="I84" s="1" t="n">
        <v>0.0825</v>
      </c>
      <c r="J84" s="1">
        <f>ROUND(H84*I84,2)</f>
        <v/>
      </c>
      <c r="K84" s="1" t="inlineStr">
        <is>
          <t>2026-04</t>
        </is>
      </c>
      <c r="L84" s="1" t="n">
        <v>0</v>
      </c>
      <c r="M84" s="1" t="inlineStr">
        <is>
          <t>4010</t>
        </is>
      </c>
      <c r="N84" s="1" t="inlineStr">
        <is>
          <t>Written off</t>
        </is>
      </c>
      <c r="O84" s="1" t="inlineStr">
        <is>
          <t>PO-CMS-3015</t>
        </is>
      </c>
    </row>
    <row r="85">
      <c r="A85" s="1" t="inlineStr">
        <is>
          <t>INV-2026-50084</t>
        </is>
      </c>
      <c r="B85" s="2" t="n">
        <v>46037</v>
      </c>
      <c r="C85" s="1" t="inlineStr">
        <is>
          <t>Elmsworth Publishing</t>
        </is>
      </c>
      <c r="D85" s="1" t="inlineStr">
        <is>
          <t>EWP-MSA-2025-29</t>
        </is>
      </c>
      <c r="E85" s="1" t="inlineStr">
        <is>
          <t>Deployment and commissioning services</t>
        </is>
      </c>
      <c r="F85" s="1" t="n">
        <v>30</v>
      </c>
      <c r="G85" s="1" t="n">
        <v>1350</v>
      </c>
      <c r="H85" s="1">
        <f>F85*G85</f>
        <v/>
      </c>
      <c r="I85" s="1" t="n">
        <v>0.07000000000000001</v>
      </c>
      <c r="J85" s="1">
        <f>ROUND(H85*I85,2)</f>
        <v/>
      </c>
      <c r="K85" s="1" t="inlineStr">
        <is>
          <t>2026-02</t>
        </is>
      </c>
      <c r="L85" s="1" t="n">
        <v>1620</v>
      </c>
      <c r="M85" s="1" t="inlineStr">
        <is>
          <t>4030</t>
        </is>
      </c>
      <c r="N85" s="1" t="inlineStr">
        <is>
          <t>Paid</t>
        </is>
      </c>
      <c r="O85" s="1" t="inlineStr">
        <is>
          <t>PO-EWP-5194</t>
        </is>
      </c>
    </row>
    <row r="86">
      <c r="A86" s="1" t="inlineStr">
        <is>
          <t>INV-2026-50085</t>
        </is>
      </c>
      <c r="B86" s="2" t="n">
        <v>46080</v>
      </c>
      <c r="C86" s="1" t="inlineStr">
        <is>
          <t>Orchard Grove Foods</t>
        </is>
      </c>
      <c r="D86" s="1" t="inlineStr">
        <is>
          <t>OGF-MSA-2023-47</t>
        </is>
      </c>
      <c r="E86" s="1" t="inlineStr">
        <is>
          <t>Warehouse management system connector</t>
        </is>
      </c>
      <c r="F86" s="1" t="n">
        <v>3</v>
      </c>
      <c r="G86" s="1" t="n">
        <v>38900</v>
      </c>
      <c r="H86" s="1">
        <f>F86*G86</f>
        <v/>
      </c>
      <c r="I86" s="1" t="n">
        <v>0.09</v>
      </c>
      <c r="J86" s="1">
        <f>ROUND(H86*I86,2)</f>
        <v/>
      </c>
      <c r="K86" s="1" t="inlineStr">
        <is>
          <t>2026-03</t>
        </is>
      </c>
      <c r="L86" s="1" t="n">
        <v>3501</v>
      </c>
      <c r="M86" s="1" t="inlineStr">
        <is>
          <t>4030</t>
        </is>
      </c>
      <c r="N86" s="1" t="inlineStr">
        <is>
          <t>Open</t>
        </is>
      </c>
      <c r="O86" s="1" t="inlineStr">
        <is>
          <t>PO-OGF-5832</t>
        </is>
      </c>
    </row>
    <row r="87">
      <c r="A87" s="1" t="inlineStr">
        <is>
          <t>INV-2026-50086</t>
        </is>
      </c>
      <c r="B87" s="2" t="n">
        <v>46097</v>
      </c>
      <c r="C87" s="1" t="inlineStr">
        <is>
          <t>Yarrow Home Goods</t>
        </is>
      </c>
      <c r="D87" s="1" t="inlineStr">
        <is>
          <t>YHG-MSA-2024-11</t>
        </is>
      </c>
      <c r="E87" s="1" t="inlineStr">
        <is>
          <t>Warehouse management system connector</t>
        </is>
      </c>
      <c r="F87" s="1" t="n">
        <v>2</v>
      </c>
      <c r="G87" s="1" t="n">
        <v>38400</v>
      </c>
      <c r="H87" s="1">
        <f>F87*G87</f>
        <v/>
      </c>
      <c r="I87" s="1" t="n">
        <v>0.0475</v>
      </c>
      <c r="J87" s="1">
        <f>ROUND(H87*I87,2)</f>
        <v/>
      </c>
      <c r="K87" s="1" t="inlineStr">
        <is>
          <t>2026-04</t>
        </is>
      </c>
      <c r="L87" s="1" t="n">
        <v>5376</v>
      </c>
      <c r="M87" s="1" t="inlineStr">
        <is>
          <t>4030</t>
        </is>
      </c>
      <c r="N87" s="1" t="inlineStr">
        <is>
          <t>Paid</t>
        </is>
      </c>
      <c r="O87" s="1" t="inlineStr">
        <is>
          <t>PO-YHG-5700</t>
        </is>
      </c>
    </row>
    <row r="88">
      <c r="A88" s="1" t="inlineStr">
        <is>
          <t>INV-2026-50087</t>
        </is>
      </c>
      <c r="B88" s="2" t="n">
        <v>46038</v>
      </c>
      <c r="C88" s="1" t="inlineStr">
        <is>
          <t>Zephyr Air Cargo</t>
        </is>
      </c>
      <c r="D88" s="1" t="inlineStr">
        <is>
          <t>ZAC-MSA-2022-56</t>
        </is>
      </c>
      <c r="E88" s="1" t="inlineStr">
        <is>
          <t>Deployment and commissioning services</t>
        </is>
      </c>
      <c r="F88" s="1" t="n">
        <v>5</v>
      </c>
      <c r="G88" s="1" t="n">
        <v>1850</v>
      </c>
      <c r="H88" s="1">
        <f>F88*G88</f>
        <v/>
      </c>
      <c r="I88" s="1" t="n">
        <v>0.07000000000000001</v>
      </c>
      <c r="J88" s="1">
        <f>ROUND(H88*I88,2)</f>
        <v/>
      </c>
      <c r="K88" s="1" t="inlineStr">
        <is>
          <t>2026-02</t>
        </is>
      </c>
      <c r="L88" s="1" t="n">
        <v>925</v>
      </c>
      <c r="M88" s="1" t="inlineStr">
        <is>
          <t>4030</t>
        </is>
      </c>
      <c r="N88" s="1" t="inlineStr">
        <is>
          <t>Written off</t>
        </is>
      </c>
      <c r="O88" s="1" t="inlineStr">
        <is>
          <t>PO-ZAC-2779</t>
        </is>
      </c>
    </row>
    <row r="89">
      <c r="A89" s="1" t="inlineStr">
        <is>
          <t>INV-2026-50088</t>
        </is>
      </c>
      <c r="B89" s="2" t="n">
        <v>46080</v>
      </c>
      <c r="C89" s="1" t="inlineStr">
        <is>
          <t>Bellweather Auto Group</t>
        </is>
      </c>
      <c r="D89" s="1" t="inlineStr">
        <is>
          <t>BWA-MSA-2024-16</t>
        </is>
      </c>
      <c r="E89" s="1" t="inlineStr">
        <is>
          <t>Opportunity charging dock</t>
        </is>
      </c>
      <c r="F89" s="1" t="n">
        <v>14</v>
      </c>
      <c r="G89" s="1" t="n">
        <v>11800</v>
      </c>
      <c r="H89" s="1">
        <f>F89*G89</f>
        <v/>
      </c>
      <c r="I89" s="1" t="n">
        <v>0.07000000000000001</v>
      </c>
      <c r="J89" s="1">
        <f>ROUND(H89*I89,2)</f>
        <v/>
      </c>
      <c r="K89" s="1" t="inlineStr">
        <is>
          <t>2026-03</t>
        </is>
      </c>
      <c r="L89" s="1" t="n">
        <v>0</v>
      </c>
      <c r="M89" s="1" t="inlineStr">
        <is>
          <t>4010</t>
        </is>
      </c>
      <c r="N89" s="1" t="inlineStr">
        <is>
          <t>Open</t>
        </is>
      </c>
      <c r="O89" s="1" t="inlineStr">
        <is>
          <t>PO-BWA-5016</t>
        </is>
      </c>
    </row>
    <row r="90">
      <c r="A90" s="1" t="inlineStr">
        <is>
          <t>INV-2026-50089</t>
        </is>
      </c>
      <c r="B90" s="2" t="n">
        <v>46087</v>
      </c>
      <c r="C90" s="1" t="inlineStr">
        <is>
          <t>Larkspur Apparel</t>
        </is>
      </c>
      <c r="D90" s="1" t="inlineStr">
        <is>
          <t>LKA-MSA-2023-47</t>
        </is>
      </c>
      <c r="E90" s="1" t="inlineStr">
        <is>
          <t>Warehouse management system connector</t>
        </is>
      </c>
      <c r="F90" s="1" t="n">
        <v>3</v>
      </c>
      <c r="G90" s="1" t="n">
        <v>38900</v>
      </c>
      <c r="H90" s="1">
        <f>F90*G90</f>
        <v/>
      </c>
      <c r="I90" s="1" t="n">
        <v>0.0475</v>
      </c>
      <c r="J90" s="1">
        <f>ROUND(H90*I90,2)</f>
        <v/>
      </c>
      <c r="K90" s="1" t="inlineStr">
        <is>
          <t>2026-04</t>
        </is>
      </c>
      <c r="L90" s="1" t="n">
        <v>18672</v>
      </c>
      <c r="M90" s="1" t="inlineStr">
        <is>
          <t>4030</t>
        </is>
      </c>
      <c r="N90" s="1" t="inlineStr">
        <is>
          <t>Paid</t>
        </is>
      </c>
      <c r="O90" s="1" t="inlineStr">
        <is>
          <t>PO-LKA-2165</t>
        </is>
      </c>
    </row>
    <row r="91">
      <c r="A91" s="1" t="inlineStr">
        <is>
          <t>INV-2026-50090</t>
        </is>
      </c>
      <c r="B91" s="2" t="n">
        <v>46052</v>
      </c>
      <c r="C91" s="1" t="inlineStr">
        <is>
          <t>Zephyr Air Cargo</t>
        </is>
      </c>
      <c r="D91" s="1" t="inlineStr">
        <is>
          <t>ZAC-MSA-2024-77</t>
        </is>
      </c>
      <c r="E91" s="1" t="inlineStr">
        <is>
          <t>Fleet orchestration expansion pack, per robot</t>
        </is>
      </c>
      <c r="F91" s="1" t="n">
        <v>34</v>
      </c>
      <c r="G91" s="1" t="n">
        <v>1953</v>
      </c>
      <c r="H91" s="1">
        <f>F91*G91</f>
        <v/>
      </c>
      <c r="I91" s="1" t="n">
        <v>0</v>
      </c>
      <c r="J91" s="1">
        <f>ROUND(H91*I91,2)</f>
        <v/>
      </c>
      <c r="K91" s="1" t="inlineStr">
        <is>
          <t>2026-02</t>
        </is>
      </c>
      <c r="L91" s="1" t="n">
        <v>45817.38</v>
      </c>
      <c r="M91" s="1" t="inlineStr">
        <is>
          <t>4020</t>
        </is>
      </c>
      <c r="N91" s="1" t="inlineStr">
        <is>
          <t>Paid</t>
        </is>
      </c>
      <c r="O91" s="1" t="inlineStr">
        <is>
          <t>PO-ZAC-9152</t>
        </is>
      </c>
    </row>
    <row r="92">
      <c r="A92" s="1" t="inlineStr">
        <is>
          <t>INV-2026-50091</t>
        </is>
      </c>
      <c r="B92" s="2" t="n">
        <v>46080</v>
      </c>
      <c r="C92" s="1" t="inlineStr">
        <is>
          <t>Tamarack Electronics</t>
        </is>
      </c>
      <c r="D92" s="1" t="inlineStr">
        <is>
          <t>TCE-MSA-2023-54</t>
        </is>
      </c>
      <c r="E92" s="1" t="inlineStr">
        <is>
          <t>Remote operations desk coverage</t>
        </is>
      </c>
      <c r="F92" s="1" t="n">
        <v>4</v>
      </c>
      <c r="G92" s="1" t="n">
        <v>12600</v>
      </c>
      <c r="H92" s="1">
        <f>F92*G92</f>
        <v/>
      </c>
      <c r="I92" s="1" t="n">
        <v>0.09</v>
      </c>
      <c r="J92" s="1">
        <f>ROUND(H92*I92,2)</f>
        <v/>
      </c>
      <c r="K92" s="1" t="inlineStr">
        <is>
          <t>2026-03</t>
        </is>
      </c>
      <c r="L92" s="1" t="n">
        <v>29736</v>
      </c>
      <c r="M92" s="1" t="inlineStr">
        <is>
          <t>4020</t>
        </is>
      </c>
      <c r="N92" s="1" t="inlineStr">
        <is>
          <t>Disputed</t>
        </is>
      </c>
      <c r="O92" s="1" t="inlineStr">
        <is>
          <t>PO-TCE-3457</t>
        </is>
      </c>
    </row>
    <row r="93">
      <c r="A93" s="1" t="inlineStr">
        <is>
          <t>INV-2026-50092</t>
        </is>
      </c>
      <c r="B93" s="2" t="n">
        <v>46108</v>
      </c>
      <c r="C93" s="1" t="inlineStr">
        <is>
          <t>Quarrybridge Materials</t>
        </is>
      </c>
      <c r="D93" s="1" t="inlineStr">
        <is>
          <t>QBM-MSA-2023-72</t>
        </is>
      </c>
      <c r="E93" s="1" t="inlineStr">
        <is>
          <t>Premium support and spares pool</t>
        </is>
      </c>
      <c r="F93" s="1" t="n">
        <v>1</v>
      </c>
      <c r="G93" s="1" t="n">
        <v>56400</v>
      </c>
      <c r="H93" s="1">
        <f>F93*G93</f>
        <v/>
      </c>
      <c r="I93" s="1" t="n">
        <v>0.0475</v>
      </c>
      <c r="J93" s="1">
        <f>ROUND(H93*I93,2)</f>
        <v/>
      </c>
      <c r="K93" s="1" t="inlineStr">
        <is>
          <t>2026-04</t>
        </is>
      </c>
      <c r="L93" s="1" t="n">
        <v>34968</v>
      </c>
      <c r="M93" s="1" t="inlineStr">
        <is>
          <t>4020</t>
        </is>
      </c>
      <c r="N93" s="1" t="inlineStr">
        <is>
          <t>Written off</t>
        </is>
      </c>
      <c r="O93" s="1" t="inlineStr">
        <is>
          <t>PO-QBM-2479</t>
        </is>
      </c>
    </row>
    <row r="94">
      <c r="A94" s="1" t="inlineStr">
        <is>
          <t>INV-2026-50093</t>
        </is>
      </c>
      <c r="B94" s="2" t="n">
        <v>46038</v>
      </c>
      <c r="C94" s="1" t="inlineStr">
        <is>
          <t>Bellweather Auto Group</t>
        </is>
      </c>
      <c r="D94" s="1" t="inlineStr">
        <is>
          <t>BWA-MSA-2023-30</t>
        </is>
      </c>
      <c r="E94" s="1" t="inlineStr">
        <is>
          <t>Remote operations desk coverage</t>
        </is>
      </c>
      <c r="F94" s="1" t="n">
        <v>2</v>
      </c>
      <c r="G94" s="1" t="n">
        <v>12600</v>
      </c>
      <c r="H94" s="1">
        <f>F94*G94</f>
        <v/>
      </c>
      <c r="I94" s="1" t="n">
        <v>0.09</v>
      </c>
      <c r="J94" s="1">
        <f>ROUND(H94*I94,2)</f>
        <v/>
      </c>
      <c r="K94" s="1" t="inlineStr">
        <is>
          <t>2026-02</t>
        </is>
      </c>
      <c r="L94" s="1" t="n">
        <v>20412</v>
      </c>
      <c r="M94" s="1" t="inlineStr">
        <is>
          <t>4020</t>
        </is>
      </c>
      <c r="N94" s="1" t="inlineStr">
        <is>
          <t>Paid</t>
        </is>
      </c>
      <c r="O94" s="1" t="inlineStr">
        <is>
          <t>PO-BWA-5156</t>
        </is>
      </c>
    </row>
    <row r="95">
      <c r="A95" s="1" t="inlineStr">
        <is>
          <t>INV-2026-50094</t>
        </is>
      </c>
      <c r="B95" s="2" t="n">
        <v>46079</v>
      </c>
      <c r="C95" s="1" t="inlineStr">
        <is>
          <t>Blue Mesa Components</t>
        </is>
      </c>
      <c r="D95" s="1" t="inlineStr">
        <is>
          <t>BMC-MSA-2025-82</t>
        </is>
      </c>
      <c r="E95" s="1" t="inlineStr">
        <is>
          <t>Telemetry retention tier, extended</t>
        </is>
      </c>
      <c r="F95" s="1" t="n">
        <v>4</v>
      </c>
      <c r="G95" s="1" t="n">
        <v>24250</v>
      </c>
      <c r="H95" s="1">
        <f>F95*G95</f>
        <v/>
      </c>
      <c r="I95" s="1" t="n">
        <v>0</v>
      </c>
      <c r="J95" s="1">
        <f>ROUND(H95*I95,2)</f>
        <v/>
      </c>
      <c r="K95" s="1" t="inlineStr">
        <is>
          <t>2026-03</t>
        </is>
      </c>
      <c r="L95" s="1" t="n">
        <v>59170</v>
      </c>
      <c r="M95" s="1" t="inlineStr">
        <is>
          <t>4020</t>
        </is>
      </c>
      <c r="N95" s="1" t="inlineStr">
        <is>
          <t>Credit issued</t>
        </is>
      </c>
      <c r="O95" s="1" t="inlineStr">
        <is>
          <t>PO-BMC-2091</t>
        </is>
      </c>
    </row>
    <row r="96">
      <c r="A96" s="1" t="inlineStr">
        <is>
          <t>INV-2026-50095</t>
        </is>
      </c>
      <c r="B96" s="2" t="n">
        <v>46108</v>
      </c>
      <c r="C96" s="1" t="inlineStr">
        <is>
          <t>Fathom Mobility</t>
        </is>
      </c>
      <c r="D96" s="1" t="inlineStr">
        <is>
          <t>FTM-MSA-2025-14</t>
        </is>
      </c>
      <c r="E96" s="1" t="inlineStr">
        <is>
          <t>Warehouse management system connector</t>
        </is>
      </c>
      <c r="F96" s="1" t="n">
        <v>4</v>
      </c>
      <c r="G96" s="1" t="n">
        <v>38400</v>
      </c>
      <c r="H96" s="1">
        <f>F96*G96</f>
        <v/>
      </c>
      <c r="I96" s="1" t="n">
        <v>0.09</v>
      </c>
      <c r="J96" s="1">
        <f>ROUND(H96*I96,2)</f>
        <v/>
      </c>
      <c r="K96" s="1" t="inlineStr">
        <is>
          <t>2026-04</t>
        </is>
      </c>
      <c r="L96" s="1" t="n">
        <v>6144</v>
      </c>
      <c r="M96" s="1" t="inlineStr">
        <is>
          <t>4030</t>
        </is>
      </c>
      <c r="N96" s="1" t="inlineStr">
        <is>
          <t>Paid</t>
        </is>
      </c>
      <c r="O96" s="1" t="inlineStr">
        <is>
          <t>PO-FTM-6573</t>
        </is>
      </c>
    </row>
    <row r="97">
      <c r="A97" s="1" t="inlineStr">
        <is>
          <t>INV-2026-50096</t>
        </is>
      </c>
      <c r="B97" s="2" t="n">
        <v>46051</v>
      </c>
      <c r="C97" s="1" t="inlineStr">
        <is>
          <t>Summit Ridge Retail</t>
        </is>
      </c>
      <c r="D97" s="1" t="inlineStr">
        <is>
          <t>SRR-MSA-2022-89</t>
        </is>
      </c>
      <c r="E97" s="1" t="inlineStr">
        <is>
          <t>Autonomous mobile robot, 450 kg payload</t>
        </is>
      </c>
      <c r="F97" s="1" t="n">
        <v>7</v>
      </c>
      <c r="G97" s="1" t="n">
        <v>68150</v>
      </c>
      <c r="H97" s="1">
        <f>F97*G97</f>
        <v/>
      </c>
      <c r="I97" s="1" t="n">
        <v>0</v>
      </c>
      <c r="J97" s="1">
        <f>ROUND(H97*I97,2)</f>
        <v/>
      </c>
      <c r="K97" s="1" t="inlineStr">
        <is>
          <t>2026-02</t>
        </is>
      </c>
      <c r="L97" s="1" t="n">
        <v>0</v>
      </c>
      <c r="M97" s="1" t="inlineStr">
        <is>
          <t>4010</t>
        </is>
      </c>
      <c r="N97" s="1" t="inlineStr">
        <is>
          <t>Credit issued</t>
        </is>
      </c>
      <c r="O97" s="1" t="inlineStr">
        <is>
          <t>PO-SRR-3126</t>
        </is>
      </c>
    </row>
    <row r="98">
      <c r="A98" s="1" t="inlineStr">
        <is>
          <t>INV-2026-50097</t>
        </is>
      </c>
      <c r="B98" s="2" t="n">
        <v>46079</v>
      </c>
      <c r="C98" s="1" t="inlineStr">
        <is>
          <t>Ironvale Grocery Group</t>
        </is>
      </c>
      <c r="D98" s="1" t="inlineStr">
        <is>
          <t>IVG-MSA-2024-47</t>
        </is>
      </c>
      <c r="E98" s="1" t="inlineStr">
        <is>
          <t>Remote operations desk coverage</t>
        </is>
      </c>
      <c r="F98" s="1" t="n">
        <v>4</v>
      </c>
      <c r="G98" s="1" t="n">
        <v>12100</v>
      </c>
      <c r="H98" s="1">
        <f>F98*G98</f>
        <v/>
      </c>
      <c r="I98" s="1" t="n">
        <v>0.07000000000000001</v>
      </c>
      <c r="J98" s="1">
        <f>ROUND(H98*I98,2)</f>
        <v/>
      </c>
      <c r="K98" s="1" t="inlineStr">
        <is>
          <t>2026-03</t>
        </is>
      </c>
      <c r="L98" s="1" t="n">
        <v>29040</v>
      </c>
      <c r="M98" s="1" t="inlineStr">
        <is>
          <t>4020</t>
        </is>
      </c>
      <c r="N98" s="1" t="inlineStr">
        <is>
          <t>Disputed</t>
        </is>
      </c>
      <c r="O98" s="1" t="inlineStr">
        <is>
          <t>PO-IVG-2749</t>
        </is>
      </c>
    </row>
    <row r="99">
      <c r="A99" s="1" t="inlineStr">
        <is>
          <t>INV-2026-50098</t>
        </is>
      </c>
      <c r="B99" s="2" t="n">
        <v>46087</v>
      </c>
      <c r="C99" s="1" t="inlineStr">
        <is>
          <t>Blue Mesa Components</t>
        </is>
      </c>
      <c r="D99" s="1" t="inlineStr">
        <is>
          <t>BMC-MSA-2022-25</t>
        </is>
      </c>
      <c r="E99" s="1" t="inlineStr">
        <is>
          <t>Opportunity charging dock</t>
        </is>
      </c>
      <c r="F99" s="1" t="n">
        <v>11</v>
      </c>
      <c r="G99" s="1" t="n">
        <v>9600</v>
      </c>
      <c r="H99" s="1">
        <f>F99*G99</f>
        <v/>
      </c>
      <c r="I99" s="1" t="n">
        <v>0.065</v>
      </c>
      <c r="J99" s="1">
        <f>ROUND(H99*I99,2)</f>
        <v/>
      </c>
      <c r="K99" s="1" t="inlineStr">
        <is>
          <t>2026-04</t>
        </is>
      </c>
      <c r="L99" s="1" t="n">
        <v>0</v>
      </c>
      <c r="M99" s="1" t="inlineStr">
        <is>
          <t>4010</t>
        </is>
      </c>
      <c r="N99" s="1" t="inlineStr">
        <is>
          <t>Disputed</t>
        </is>
      </c>
      <c r="O99" s="1" t="inlineStr">
        <is>
          <t>PO-BMC-2743</t>
        </is>
      </c>
    </row>
    <row r="100">
      <c r="A100" s="1" t="inlineStr">
        <is>
          <t>INV-2026-50099</t>
        </is>
      </c>
      <c r="B100" s="2" t="n">
        <v>46052</v>
      </c>
      <c r="C100" s="1" t="inlineStr">
        <is>
          <t>Zephyr Air Cargo</t>
        </is>
      </c>
      <c r="D100" s="1" t="inlineStr">
        <is>
          <t>ZAC-MSA-2023-89</t>
        </is>
      </c>
      <c r="E100" s="1" t="inlineStr">
        <is>
          <t>Fleet orchestration expansion pack, per robot</t>
        </is>
      </c>
      <c r="F100" s="1" t="n">
        <v>103</v>
      </c>
      <c r="G100" s="1" t="n">
        <v>3150</v>
      </c>
      <c r="H100" s="1">
        <f>F100*G100</f>
        <v/>
      </c>
      <c r="I100" s="1" t="n">
        <v>0.0475</v>
      </c>
      <c r="J100" s="1">
        <f>ROUND(H100*I100,2)</f>
        <v/>
      </c>
      <c r="K100" s="1" t="inlineStr">
        <is>
          <t>2026-02</t>
        </is>
      </c>
      <c r="L100" s="1" t="n">
        <v>269293.5</v>
      </c>
      <c r="M100" s="1" t="inlineStr">
        <is>
          <t>4020</t>
        </is>
      </c>
      <c r="N100" s="1" t="inlineStr">
        <is>
          <t>Disputed</t>
        </is>
      </c>
      <c r="O100" s="1" t="inlineStr">
        <is>
          <t>PO-ZAC-5199</t>
        </is>
      </c>
    </row>
    <row r="101">
      <c r="A101" s="1" t="inlineStr">
        <is>
          <t>INV-2026-50100</t>
        </is>
      </c>
      <c r="B101" s="2" t="n">
        <v>46079</v>
      </c>
      <c r="C101" s="1" t="inlineStr">
        <is>
          <t>Meridian Dynamics</t>
        </is>
      </c>
      <c r="D101" s="1" t="inlineStr">
        <is>
          <t>MDY-MSA-2023-12</t>
        </is>
      </c>
      <c r="E101" s="1" t="inlineStr">
        <is>
          <t>Fleet orchestration platform, annual site licence</t>
        </is>
      </c>
      <c r="F101" s="1" t="n">
        <v>2</v>
      </c>
      <c r="G101" s="1" t="n">
        <v>95100</v>
      </c>
      <c r="H101" s="1">
        <f>F101*G101</f>
        <v/>
      </c>
      <c r="I101" s="1" t="n">
        <v>0</v>
      </c>
      <c r="J101" s="1">
        <f>ROUND(H101*I101,2)</f>
        <v/>
      </c>
      <c r="K101" s="1" t="inlineStr">
        <is>
          <t>2026-03</t>
        </is>
      </c>
      <c r="L101" s="1" t="n">
        <v>131238</v>
      </c>
      <c r="M101" s="1" t="inlineStr">
        <is>
          <t>4020</t>
        </is>
      </c>
      <c r="N101" s="1" t="inlineStr">
        <is>
          <t>Credit issued</t>
        </is>
      </c>
      <c r="O101" s="1" t="inlineStr">
        <is>
          <t>PO-MDY-3558</t>
        </is>
      </c>
    </row>
    <row r="102">
      <c r="A102" s="1" t="inlineStr">
        <is>
          <t>INV-2026-50101</t>
        </is>
      </c>
      <c r="B102" s="2" t="n">
        <v>46111</v>
      </c>
      <c r="C102" s="1" t="inlineStr">
        <is>
          <t>Union Vale Pharma</t>
        </is>
      </c>
      <c r="D102" s="1" t="inlineStr">
        <is>
          <t>UVP-MSA-2023-28</t>
        </is>
      </c>
      <c r="E102" s="1" t="inlineStr">
        <is>
          <t>Operator training programme</t>
        </is>
      </c>
      <c r="F102" s="1" t="n">
        <v>1</v>
      </c>
      <c r="G102" s="1" t="n">
        <v>3700</v>
      </c>
      <c r="H102" s="1">
        <f>F102*G102</f>
        <v/>
      </c>
      <c r="I102" s="1" t="n">
        <v>0.07000000000000001</v>
      </c>
      <c r="J102" s="1">
        <f>ROUND(H102*I102,2)</f>
        <v/>
      </c>
      <c r="K102" s="1" t="inlineStr">
        <is>
          <t>2026-04</t>
        </is>
      </c>
      <c r="L102" s="1" t="n">
        <v>888</v>
      </c>
      <c r="M102" s="1" t="inlineStr">
        <is>
          <t>4030</t>
        </is>
      </c>
      <c r="N102" s="1" t="inlineStr">
        <is>
          <t>Open</t>
        </is>
      </c>
      <c r="O102" s="1" t="inlineStr">
        <is>
          <t>PO-UVP-9857</t>
        </is>
      </c>
    </row>
    <row r="103">
      <c r="A103" s="1" t="inlineStr">
        <is>
          <t>INV-2026-50102</t>
        </is>
      </c>
      <c r="B103" s="2" t="n">
        <v>46045</v>
      </c>
      <c r="C103" s="1" t="inlineStr">
        <is>
          <t>Vantage Robotics Supply</t>
        </is>
      </c>
      <c r="D103" s="1" t="inlineStr">
        <is>
          <t>VRS-MSA-2022-62</t>
        </is>
      </c>
      <c r="E103" s="1" t="inlineStr">
        <is>
          <t>Autonomous mobile robot, 220 kg payload</t>
        </is>
      </c>
      <c r="F103" s="1" t="n">
        <v>11</v>
      </c>
      <c r="G103" s="1" t="n">
        <v>41500</v>
      </c>
      <c r="H103" s="1">
        <f>F103*G103</f>
        <v/>
      </c>
      <c r="I103" s="1" t="n">
        <v>0.09</v>
      </c>
      <c r="J103" s="1">
        <f>ROUND(H103*I103,2)</f>
        <v/>
      </c>
      <c r="K103" s="1" t="inlineStr">
        <is>
          <t>2026-02</t>
        </is>
      </c>
      <c r="L103" s="1" t="n">
        <v>0</v>
      </c>
      <c r="M103" s="1" t="inlineStr">
        <is>
          <t>4010</t>
        </is>
      </c>
      <c r="N103" s="1" t="inlineStr">
        <is>
          <t>Partially paid</t>
        </is>
      </c>
      <c r="O103" s="1" t="inlineStr">
        <is>
          <t>PO-VRS-2983</t>
        </is>
      </c>
    </row>
    <row r="104">
      <c r="A104" s="1" t="inlineStr">
        <is>
          <t>INV-2026-50103</t>
        </is>
      </c>
      <c r="B104" s="2" t="n">
        <v>46079</v>
      </c>
      <c r="C104" s="1" t="inlineStr">
        <is>
          <t>Zephyr Air Cargo</t>
        </is>
      </c>
      <c r="D104" s="1" t="inlineStr">
        <is>
          <t>ZAC-MSA-2025-56</t>
        </is>
      </c>
      <c r="E104" s="1" t="inlineStr">
        <is>
          <t>Warehouse management system connector</t>
        </is>
      </c>
      <c r="F104" s="1" t="n">
        <v>1</v>
      </c>
      <c r="G104" s="1" t="n">
        <v>38900</v>
      </c>
      <c r="H104" s="1">
        <f>F104*G104</f>
        <v/>
      </c>
      <c r="I104" s="1" t="n">
        <v>0.09</v>
      </c>
      <c r="J104" s="1">
        <f>ROUND(H104*I104,2)</f>
        <v/>
      </c>
      <c r="K104" s="1" t="inlineStr">
        <is>
          <t>2026-03</t>
        </is>
      </c>
      <c r="L104" s="1" t="n">
        <v>4279</v>
      </c>
      <c r="M104" s="1" t="inlineStr">
        <is>
          <t>4030</t>
        </is>
      </c>
      <c r="N104" s="1" t="inlineStr">
        <is>
          <t>Partially paid</t>
        </is>
      </c>
      <c r="O104" s="1" t="inlineStr">
        <is>
          <t>PO-ZAC-5574</t>
        </is>
      </c>
    </row>
    <row r="105">
      <c r="A105" s="1" t="inlineStr">
        <is>
          <t>INV-2026-50104</t>
        </is>
      </c>
      <c r="B105" s="2" t="n">
        <v>46111</v>
      </c>
      <c r="C105" s="1" t="inlineStr">
        <is>
          <t>Evergreen Warehousing</t>
        </is>
      </c>
      <c r="D105" s="1" t="inlineStr">
        <is>
          <t>EVW-MSA-2024-12</t>
        </is>
      </c>
      <c r="E105" s="1" t="inlineStr">
        <is>
          <t>Telemetry retention tier, extended</t>
        </is>
      </c>
      <c r="F105" s="1" t="n">
        <v>1</v>
      </c>
      <c r="G105" s="1" t="n">
        <v>23100</v>
      </c>
      <c r="H105" s="1">
        <f>F105*G105</f>
        <v/>
      </c>
      <c r="I105" s="1" t="n">
        <v>0.09</v>
      </c>
      <c r="J105" s="1">
        <f>ROUND(H105*I105,2)</f>
        <v/>
      </c>
      <c r="K105" s="1" t="inlineStr">
        <is>
          <t>2026-04</t>
        </is>
      </c>
      <c r="L105" s="1" t="n">
        <v>19404</v>
      </c>
      <c r="M105" s="1" t="inlineStr">
        <is>
          <t>4020</t>
        </is>
      </c>
      <c r="N105" s="1" t="inlineStr">
        <is>
          <t>Paid</t>
        </is>
      </c>
      <c r="O105" s="1" t="inlineStr">
        <is>
          <t>PO-EVW-5222</t>
        </is>
      </c>
    </row>
    <row r="106">
      <c r="A106" s="1" t="inlineStr">
        <is>
          <t>INV-2026-50105</t>
        </is>
      </c>
      <c r="B106" s="2" t="n">
        <v>46052</v>
      </c>
      <c r="C106" s="1" t="inlineStr">
        <is>
          <t>Tamarack Electronics</t>
        </is>
      </c>
      <c r="D106" s="1" t="inlineStr">
        <is>
          <t>TCE-MSA-2023-89</t>
        </is>
      </c>
      <c r="E106" s="1" t="inlineStr">
        <is>
          <t>Safety scanner retrofit kit</t>
        </is>
      </c>
      <c r="F106" s="1" t="n">
        <v>1</v>
      </c>
      <c r="G106" s="1" t="n">
        <v>5050</v>
      </c>
      <c r="H106" s="1">
        <f>F106*G106</f>
        <v/>
      </c>
      <c r="I106" s="1" t="n">
        <v>0.09</v>
      </c>
      <c r="J106" s="1">
        <f>ROUND(H106*I106,2)</f>
        <v/>
      </c>
      <c r="K106" s="1" t="inlineStr">
        <is>
          <t>2026-02</t>
        </is>
      </c>
      <c r="L106" s="1" t="n">
        <v>0</v>
      </c>
      <c r="M106" s="1" t="inlineStr">
        <is>
          <t>4010</t>
        </is>
      </c>
      <c r="N106" s="1" t="inlineStr">
        <is>
          <t>Paid</t>
        </is>
      </c>
      <c r="O106" s="1" t="inlineStr">
        <is>
          <t>PO-TCE-8781</t>
        </is>
      </c>
    </row>
    <row r="107">
      <c r="A107" s="1" t="inlineStr">
        <is>
          <t>INV-2026-50106</t>
        </is>
      </c>
      <c r="B107" s="2" t="n">
        <v>46080</v>
      </c>
      <c r="C107" s="1" t="inlineStr">
        <is>
          <t>Northfield Beverage</t>
        </is>
      </c>
      <c r="D107" s="1" t="inlineStr">
        <is>
          <t>NFB-MSA-2022-15</t>
        </is>
      </c>
      <c r="E107" s="1" t="inlineStr">
        <is>
          <t>Operator training programme</t>
        </is>
      </c>
      <c r="F107" s="1" t="n">
        <v>1</v>
      </c>
      <c r="G107" s="1" t="n">
        <v>2800</v>
      </c>
      <c r="H107" s="1">
        <f>F107*G107</f>
        <v/>
      </c>
      <c r="I107" s="1" t="n">
        <v>0.09</v>
      </c>
      <c r="J107" s="1">
        <f>ROUND(H107*I107,2)</f>
        <v/>
      </c>
      <c r="K107" s="1" t="inlineStr">
        <is>
          <t>2026-03</t>
        </is>
      </c>
      <c r="L107" s="1" t="n">
        <v>112</v>
      </c>
      <c r="M107" s="1" t="inlineStr">
        <is>
          <t>4030</t>
        </is>
      </c>
      <c r="N107" s="1" t="inlineStr">
        <is>
          <t>Open</t>
        </is>
      </c>
      <c r="O107" s="1" t="inlineStr">
        <is>
          <t>PO-NFB-7018</t>
        </is>
      </c>
    </row>
    <row r="108">
      <c r="A108" s="1" t="inlineStr">
        <is>
          <t>INV-2026-50107</t>
        </is>
      </c>
      <c r="B108" s="2" t="n">
        <v>46097</v>
      </c>
      <c r="C108" s="1" t="inlineStr">
        <is>
          <t>Larkspur Apparel</t>
        </is>
      </c>
      <c r="D108" s="1" t="inlineStr">
        <is>
          <t>LKA-MSA-2022-20</t>
        </is>
      </c>
      <c r="E108" s="1" t="inlineStr">
        <is>
          <t>Premium support and spares pool</t>
        </is>
      </c>
      <c r="F108" s="1" t="n">
        <v>4</v>
      </c>
      <c r="G108" s="1" t="n">
        <v>55100</v>
      </c>
      <c r="H108" s="1">
        <f>F108*G108</f>
        <v/>
      </c>
      <c r="I108" s="1" t="n">
        <v>0.0825</v>
      </c>
      <c r="J108" s="1">
        <f>ROUND(H108*I108,2)</f>
        <v/>
      </c>
      <c r="K108" s="1" t="inlineStr">
        <is>
          <t>2026-04</t>
        </is>
      </c>
      <c r="L108" s="1" t="n">
        <v>180728</v>
      </c>
      <c r="M108" s="1" t="inlineStr">
        <is>
          <t>4020</t>
        </is>
      </c>
      <c r="N108" s="1" t="inlineStr">
        <is>
          <t>Paid</t>
        </is>
      </c>
      <c r="O108" s="1" t="inlineStr">
        <is>
          <t>PO-LKA-4810</t>
        </is>
      </c>
    </row>
    <row r="109">
      <c r="A109" s="1" t="inlineStr">
        <is>
          <t>INV-2026-50108</t>
        </is>
      </c>
      <c r="B109" s="2" t="n">
        <v>46029</v>
      </c>
      <c r="C109" s="1" t="inlineStr">
        <is>
          <t>Evergreen Warehousing</t>
        </is>
      </c>
      <c r="D109" s="1" t="inlineStr">
        <is>
          <t>EVW-MSA-2023-21</t>
        </is>
      </c>
      <c r="E109" s="1" t="inlineStr">
        <is>
          <t>Premium support and spares pool</t>
        </is>
      </c>
      <c r="F109" s="1" t="n">
        <v>3</v>
      </c>
      <c r="G109" s="1" t="n">
        <v>57300</v>
      </c>
      <c r="H109" s="1">
        <f>F109*G109</f>
        <v/>
      </c>
      <c r="I109" s="1" t="n">
        <v>0.07000000000000001</v>
      </c>
      <c r="J109" s="1">
        <f>ROUND(H109*I109,2)</f>
        <v/>
      </c>
      <c r="K109" s="1" t="inlineStr">
        <is>
          <t>2026-02</t>
        </is>
      </c>
      <c r="L109" s="1" t="n">
        <v>127206</v>
      </c>
      <c r="M109" s="1" t="inlineStr">
        <is>
          <t>4020</t>
        </is>
      </c>
      <c r="N109" s="1" t="inlineStr">
        <is>
          <t>Paid</t>
        </is>
      </c>
      <c r="O109" s="1" t="inlineStr">
        <is>
          <t>PO-EVW-9071</t>
        </is>
      </c>
    </row>
    <row r="110">
      <c r="A110" s="1" t="inlineStr">
        <is>
          <t>INV-2026-50109</t>
        </is>
      </c>
      <c r="B110" s="2" t="n">
        <v>46072</v>
      </c>
      <c r="C110" s="1" t="inlineStr">
        <is>
          <t>Pioneer Freight Union</t>
        </is>
      </c>
      <c r="D110" s="1" t="inlineStr">
        <is>
          <t>PFU-MSA-2022-31</t>
        </is>
      </c>
      <c r="E110" s="1" t="inlineStr">
        <is>
          <t>Telemetry retention tier, extended</t>
        </is>
      </c>
      <c r="F110" s="1" t="n">
        <v>4</v>
      </c>
      <c r="G110" s="1" t="n">
        <v>24250</v>
      </c>
      <c r="H110" s="1">
        <f>F110*G110</f>
        <v/>
      </c>
      <c r="I110" s="1" t="n">
        <v>0.07000000000000001</v>
      </c>
      <c r="J110" s="1">
        <f>ROUND(H110*I110,2)</f>
        <v/>
      </c>
      <c r="K110" s="1" t="inlineStr">
        <is>
          <t>2026-03</t>
        </is>
      </c>
      <c r="L110" s="1" t="n">
        <v>61110</v>
      </c>
      <c r="M110" s="1" t="inlineStr">
        <is>
          <t>4020</t>
        </is>
      </c>
      <c r="N110" s="1" t="inlineStr">
        <is>
          <t>Credit issued</t>
        </is>
      </c>
      <c r="O110" s="1" t="inlineStr">
        <is>
          <t>PO-PFU-1780</t>
        </is>
      </c>
    </row>
    <row r="111">
      <c r="A111" s="1" t="inlineStr">
        <is>
          <t>INV-2026-50110</t>
        </is>
      </c>
      <c r="B111" s="2" t="n">
        <v>46111</v>
      </c>
      <c r="C111" s="1" t="inlineStr">
        <is>
          <t>Orchard Grove Foods</t>
        </is>
      </c>
      <c r="D111" s="1" t="inlineStr">
        <is>
          <t>OGF-MSA-2025-81</t>
        </is>
      </c>
      <c r="E111" s="1" t="inlineStr">
        <is>
          <t>Safety scanner retrofit kit</t>
        </is>
      </c>
      <c r="F111" s="1" t="n">
        <v>4</v>
      </c>
      <c r="G111" s="1" t="n">
        <v>5850</v>
      </c>
      <c r="H111" s="1">
        <f>F111*G111</f>
        <v/>
      </c>
      <c r="I111" s="1" t="n">
        <v>0.065</v>
      </c>
      <c r="J111" s="1">
        <f>ROUND(H111*I111,2)</f>
        <v/>
      </c>
      <c r="K111" s="1" t="inlineStr">
        <is>
          <t>2026-04</t>
        </is>
      </c>
      <c r="L111" s="1" t="n">
        <v>0</v>
      </c>
      <c r="M111" s="1" t="inlineStr">
        <is>
          <t>4010</t>
        </is>
      </c>
      <c r="N111" s="1" t="inlineStr">
        <is>
          <t>Open</t>
        </is>
      </c>
      <c r="O111" s="1" t="inlineStr">
        <is>
          <t>PO-OGF-3726</t>
        </is>
      </c>
    </row>
    <row r="112">
      <c r="A112" s="1" t="inlineStr">
        <is>
          <t>INV-2026-50111</t>
        </is>
      </c>
      <c r="B112" s="2" t="n">
        <v>46038</v>
      </c>
      <c r="C112" s="1" t="inlineStr">
        <is>
          <t>Evergreen Warehousing</t>
        </is>
      </c>
      <c r="D112" s="1" t="inlineStr">
        <is>
          <t>EVW-MSA-2022-19</t>
        </is>
      </c>
      <c r="E112" s="1" t="inlineStr">
        <is>
          <t>Premium support and spares pool</t>
        </is>
      </c>
      <c r="F112" s="1" t="n">
        <v>3</v>
      </c>
      <c r="G112" s="1" t="n">
        <v>56800</v>
      </c>
      <c r="H112" s="1">
        <f>F112*G112</f>
        <v/>
      </c>
      <c r="I112" s="1" t="n">
        <v>0.09</v>
      </c>
      <c r="J112" s="1">
        <f>ROUND(H112*I112,2)</f>
        <v/>
      </c>
      <c r="K112" s="1" t="inlineStr">
        <is>
          <t>2026-02</t>
        </is>
      </c>
      <c r="L112" s="1" t="n">
        <v>107352</v>
      </c>
      <c r="M112" s="1" t="inlineStr">
        <is>
          <t>4020</t>
        </is>
      </c>
      <c r="N112" s="1" t="inlineStr">
        <is>
          <t>Paid</t>
        </is>
      </c>
      <c r="O112" s="1" t="inlineStr">
        <is>
          <t>PO-EVW-3897</t>
        </is>
      </c>
    </row>
    <row r="113">
      <c r="A113" s="1" t="inlineStr">
        <is>
          <t>INV-2026-50112</t>
        </is>
      </c>
      <c r="B113" s="2" t="n">
        <v>46057</v>
      </c>
      <c r="C113" s="1" t="inlineStr">
        <is>
          <t>Summit Ridge Retail</t>
        </is>
      </c>
      <c r="D113" s="1" t="inlineStr">
        <is>
          <t>SRR-MSA-2025-35</t>
        </is>
      </c>
      <c r="E113" s="1" t="inlineStr">
        <is>
          <t>Autonomous mobile robot, 220 kg payload</t>
        </is>
      </c>
      <c r="F113" s="1" t="n">
        <v>13</v>
      </c>
      <c r="G113" s="1" t="n">
        <v>41250</v>
      </c>
      <c r="H113" s="1">
        <f>F113*G113</f>
        <v/>
      </c>
      <c r="I113" s="1" t="n">
        <v>0</v>
      </c>
      <c r="J113" s="1">
        <f>ROUND(H113*I113,2)</f>
        <v/>
      </c>
      <c r="K113" s="1" t="inlineStr">
        <is>
          <t>2026-03</t>
        </is>
      </c>
      <c r="L113" s="1" t="n">
        <v>0</v>
      </c>
      <c r="M113" s="1" t="inlineStr">
        <is>
          <t>4010</t>
        </is>
      </c>
      <c r="N113" s="1" t="inlineStr">
        <is>
          <t>Disputed</t>
        </is>
      </c>
      <c r="O113" s="1" t="inlineStr">
        <is>
          <t>PO-SRR-7153</t>
        </is>
      </c>
    </row>
    <row r="114">
      <c r="A114" s="1" t="inlineStr">
        <is>
          <t>INV-2026-50113</t>
        </is>
      </c>
      <c r="B114" s="2" t="n">
        <v>46112</v>
      </c>
      <c r="C114" s="1" t="inlineStr">
        <is>
          <t>Meridian Dynamics</t>
        </is>
      </c>
      <c r="D114" s="1" t="inlineStr">
        <is>
          <t>MDY-MSA-2025-75</t>
        </is>
      </c>
      <c r="E114" s="1" t="inlineStr">
        <is>
          <t>Premium support and spares pool</t>
        </is>
      </c>
      <c r="F114" s="1" t="n">
        <v>4</v>
      </c>
      <c r="G114" s="1" t="n">
        <v>55100</v>
      </c>
      <c r="H114" s="1">
        <f>F114*G114</f>
        <v/>
      </c>
      <c r="I114" s="1" t="n">
        <v>0.0825</v>
      </c>
      <c r="J114" s="1">
        <f>ROUND(H114*I114,2)</f>
        <v/>
      </c>
      <c r="K114" s="1" t="inlineStr">
        <is>
          <t>2026-04</t>
        </is>
      </c>
      <c r="L114" s="1" t="n">
        <v>163096</v>
      </c>
      <c r="M114" s="1" t="inlineStr">
        <is>
          <t>4020</t>
        </is>
      </c>
      <c r="N114" s="1" t="inlineStr">
        <is>
          <t>Paid</t>
        </is>
      </c>
      <c r="O114" s="1" t="inlineStr">
        <is>
          <t>PO-MDY-6791</t>
        </is>
      </c>
    </row>
    <row r="115">
      <c r="A115" s="1" t="inlineStr">
        <is>
          <t>INV-2026-50114</t>
        </is>
      </c>
      <c r="B115" s="2" t="n">
        <v>46031</v>
      </c>
      <c r="C115" s="1" t="inlineStr">
        <is>
          <t>Alderbrook Textiles</t>
        </is>
      </c>
      <c r="D115" s="1" t="inlineStr">
        <is>
          <t>ABT-MSA-2024-29</t>
        </is>
      </c>
      <c r="E115" s="1" t="inlineStr">
        <is>
          <t>Warehouse management system connector</t>
        </is>
      </c>
      <c r="F115" s="1" t="n">
        <v>3</v>
      </c>
      <c r="G115" s="1" t="n">
        <v>38000</v>
      </c>
      <c r="H115" s="1">
        <f>F115*G115</f>
        <v/>
      </c>
      <c r="I115" s="1" t="n">
        <v>0.0825</v>
      </c>
      <c r="J115" s="1">
        <f>ROUND(H115*I115,2)</f>
        <v/>
      </c>
      <c r="K115" s="1" t="inlineStr">
        <is>
          <t>2026-02</t>
        </is>
      </c>
      <c r="L115" s="1" t="n">
        <v>2280</v>
      </c>
      <c r="M115" s="1" t="inlineStr">
        <is>
          <t>4030</t>
        </is>
      </c>
      <c r="N115" s="1" t="inlineStr">
        <is>
          <t>Disputed</t>
        </is>
      </c>
      <c r="O115" s="1" t="inlineStr">
        <is>
          <t>PO-ABT-8720</t>
        </is>
      </c>
    </row>
    <row r="116">
      <c r="A116" s="1" t="inlineStr">
        <is>
          <t>INV-2026-50115</t>
        </is>
      </c>
      <c r="B116" s="2" t="n">
        <v>46080</v>
      </c>
      <c r="C116" s="1" t="inlineStr">
        <is>
          <t>Larkspur Apparel</t>
        </is>
      </c>
      <c r="D116" s="1" t="inlineStr">
        <is>
          <t>LKA-MSA-2023-69</t>
        </is>
      </c>
      <c r="E116" s="1" t="inlineStr">
        <is>
          <t>Premium support and spares pool</t>
        </is>
      </c>
      <c r="F116" s="1" t="n">
        <v>1</v>
      </c>
      <c r="G116" s="1" t="n">
        <v>57300</v>
      </c>
      <c r="H116" s="1">
        <f>F116*G116</f>
        <v/>
      </c>
      <c r="I116" s="1" t="n">
        <v>0</v>
      </c>
      <c r="J116" s="1">
        <f>ROUND(H116*I116,2)</f>
        <v/>
      </c>
      <c r="K116" s="1" t="inlineStr">
        <is>
          <t>2026-03</t>
        </is>
      </c>
      <c r="L116" s="1" t="n">
        <v>42402</v>
      </c>
      <c r="M116" s="1" t="inlineStr">
        <is>
          <t>4020</t>
        </is>
      </c>
      <c r="N116" s="1" t="inlineStr">
        <is>
          <t>Credit issued</t>
        </is>
      </c>
      <c r="O116" s="1" t="inlineStr">
        <is>
          <t>PO-LKA-1187</t>
        </is>
      </c>
    </row>
    <row r="117">
      <c r="A117" s="1" t="inlineStr">
        <is>
          <t>INV-2026-50116</t>
        </is>
      </c>
      <c r="B117" s="2" t="n">
        <v>46087</v>
      </c>
      <c r="C117" s="1" t="inlineStr">
        <is>
          <t>Keystone Paper &amp; Pack</t>
        </is>
      </c>
      <c r="D117" s="1" t="inlineStr">
        <is>
          <t>KPP-MSA-2022-85</t>
        </is>
      </c>
      <c r="E117" s="1" t="inlineStr">
        <is>
          <t>Autonomous mobile robot, 450 kg payload</t>
        </is>
      </c>
      <c r="F117" s="1" t="n">
        <v>4</v>
      </c>
      <c r="G117" s="1" t="n">
        <v>67000</v>
      </c>
      <c r="H117" s="1">
        <f>F117*G117</f>
        <v/>
      </c>
      <c r="I117" s="1" t="n">
        <v>0.065</v>
      </c>
      <c r="J117" s="1">
        <f>ROUND(H117*I117,2)</f>
        <v/>
      </c>
      <c r="K117" s="1" t="inlineStr">
        <is>
          <t>2026-04</t>
        </is>
      </c>
      <c r="L117" s="1" t="n">
        <v>0</v>
      </c>
      <c r="M117" s="1" t="inlineStr">
        <is>
          <t>4010</t>
        </is>
      </c>
      <c r="N117" s="1" t="inlineStr">
        <is>
          <t>Partially paid</t>
        </is>
      </c>
      <c r="O117" s="1" t="inlineStr">
        <is>
          <t>PO-KPP-5081</t>
        </is>
      </c>
    </row>
    <row r="118">
      <c r="A118" s="1" t="inlineStr">
        <is>
          <t>INV-2026-50117</t>
        </is>
      </c>
      <c r="B118" s="2" t="n">
        <v>46028</v>
      </c>
      <c r="C118" s="1" t="inlineStr">
        <is>
          <t>Northfield Beverage</t>
        </is>
      </c>
      <c r="D118" s="1" t="inlineStr">
        <is>
          <t>NFB-MSA-2023-39</t>
        </is>
      </c>
      <c r="E118" s="1" t="inlineStr">
        <is>
          <t>Opportunity charging dock</t>
        </is>
      </c>
      <c r="F118" s="1" t="n">
        <v>9</v>
      </c>
      <c r="G118" s="1" t="n">
        <v>11550</v>
      </c>
      <c r="H118" s="1">
        <f>F118*G118</f>
        <v/>
      </c>
      <c r="I118" s="1" t="n">
        <v>0.0825</v>
      </c>
      <c r="J118" s="1">
        <f>ROUND(H118*I118,2)</f>
        <v/>
      </c>
      <c r="K118" s="1" t="inlineStr">
        <is>
          <t>2026-02</t>
        </is>
      </c>
      <c r="L118" s="1" t="n">
        <v>0</v>
      </c>
      <c r="M118" s="1" t="inlineStr">
        <is>
          <t>4010</t>
        </is>
      </c>
      <c r="N118" s="1" t="inlineStr">
        <is>
          <t>Paid</t>
        </is>
      </c>
      <c r="O118" s="1" t="inlineStr">
        <is>
          <t>PO-NFB-7326</t>
        </is>
      </c>
    </row>
    <row r="119">
      <c r="A119" s="1" t="inlineStr">
        <is>
          <t>INV-2026-50118</t>
        </is>
      </c>
      <c r="B119" s="2" t="n">
        <v>46079</v>
      </c>
      <c r="C119" s="1" t="inlineStr">
        <is>
          <t>Juniper Health Supply</t>
        </is>
      </c>
      <c r="D119" s="1" t="inlineStr">
        <is>
          <t>JHS-MSA-2025-51</t>
        </is>
      </c>
      <c r="E119" s="1" t="inlineStr">
        <is>
          <t>Autonomous mobile robot, 220 kg payload</t>
        </is>
      </c>
      <c r="F119" s="1" t="n">
        <v>14</v>
      </c>
      <c r="G119" s="1" t="n">
        <v>41500</v>
      </c>
      <c r="H119" s="1">
        <f>F119*G119</f>
        <v/>
      </c>
      <c r="I119" s="1" t="n">
        <v>0.0475</v>
      </c>
      <c r="J119" s="1">
        <f>ROUND(H119*I119,2)</f>
        <v/>
      </c>
      <c r="K119" s="1" t="inlineStr">
        <is>
          <t>2026-03</t>
        </is>
      </c>
      <c r="L119" s="1" t="n">
        <v>0</v>
      </c>
      <c r="M119" s="1" t="inlineStr">
        <is>
          <t>4010</t>
        </is>
      </c>
      <c r="N119" s="1" t="inlineStr">
        <is>
          <t>Paid</t>
        </is>
      </c>
      <c r="O119" s="1" t="inlineStr">
        <is>
          <t>PO-JHS-4997</t>
        </is>
      </c>
    </row>
    <row r="120">
      <c r="A120" s="1" t="inlineStr">
        <is>
          <t>INV-2026-50119</t>
        </is>
      </c>
      <c r="B120" s="2" t="n">
        <v>46111</v>
      </c>
      <c r="C120" s="1" t="inlineStr">
        <is>
          <t>Quarrybridge Materials</t>
        </is>
      </c>
      <c r="D120" s="1" t="inlineStr">
        <is>
          <t>QBM-MSA-2025-29</t>
        </is>
      </c>
      <c r="E120" s="1" t="inlineStr">
        <is>
          <t>Opportunity charging dock</t>
        </is>
      </c>
      <c r="F120" s="1" t="n">
        <v>11</v>
      </c>
      <c r="G120" s="1" t="n">
        <v>10400</v>
      </c>
      <c r="H120" s="1">
        <f>F120*G120</f>
        <v/>
      </c>
      <c r="I120" s="1" t="n">
        <v>0.0475</v>
      </c>
      <c r="J120" s="1">
        <f>ROUND(H120*I120,2)</f>
        <v/>
      </c>
      <c r="K120" s="1" t="inlineStr">
        <is>
          <t>2026-04</t>
        </is>
      </c>
      <c r="L120" s="1" t="n">
        <v>0</v>
      </c>
      <c r="M120" s="1" t="inlineStr">
        <is>
          <t>4010</t>
        </is>
      </c>
      <c r="N120" s="1" t="inlineStr">
        <is>
          <t>Paid</t>
        </is>
      </c>
      <c r="O120" s="1" t="inlineStr">
        <is>
          <t>PO-QBM-4382</t>
        </is>
      </c>
    </row>
    <row r="121">
      <c r="A121" s="1" t="inlineStr">
        <is>
          <t>INV-2026-50120</t>
        </is>
      </c>
      <c r="B121" s="2" t="n">
        <v>46038</v>
      </c>
      <c r="C121" s="1" t="inlineStr">
        <is>
          <t>Fathom Mobility</t>
        </is>
      </c>
      <c r="D121" s="1" t="inlineStr">
        <is>
          <t>FTM-MSA-2022-87</t>
        </is>
      </c>
      <c r="E121" s="1" t="inlineStr">
        <is>
          <t>Opportunity charging dock</t>
        </is>
      </c>
      <c r="F121" s="1" t="n">
        <v>7</v>
      </c>
      <c r="G121" s="1" t="n">
        <v>11550</v>
      </c>
      <c r="H121" s="1">
        <f>F121*G121</f>
        <v/>
      </c>
      <c r="I121" s="1" t="n">
        <v>0.065</v>
      </c>
      <c r="J121" s="1">
        <f>ROUND(H121*I121,2)</f>
        <v/>
      </c>
      <c r="K121" s="1" t="inlineStr">
        <is>
          <t>2026-02</t>
        </is>
      </c>
      <c r="L121" s="1" t="n">
        <v>0</v>
      </c>
      <c r="M121" s="1" t="inlineStr">
        <is>
          <t>4010</t>
        </is>
      </c>
      <c r="N121" s="1" t="inlineStr">
        <is>
          <t>Written off</t>
        </is>
      </c>
      <c r="O121" s="1" t="inlineStr">
        <is>
          <t>PO-FTM-9057</t>
        </is>
      </c>
    </row>
    <row r="122">
      <c r="A122" s="1" t="inlineStr">
        <is>
          <t>FY26Q1 Invoices subtotal</t>
        </is>
      </c>
      <c r="B122" s="1" t="inlineStr"/>
      <c r="C122" s="1" t="inlineStr"/>
      <c r="D122" s="1" t="inlineStr"/>
      <c r="E122" s="1" t="inlineStr"/>
      <c r="F122" s="1" t="inlineStr"/>
      <c r="G122" s="1" t="inlineStr"/>
      <c r="H122" s="1">
        <f>SUM(H2:H121)</f>
        <v/>
      </c>
      <c r="I122" s="1" t="inlineStr"/>
      <c r="J122" s="1">
        <f>SUM(J2:J121)</f>
        <v/>
      </c>
      <c r="K122" s="1" t="inlineStr"/>
      <c r="L122" s="1">
        <f>SUM(L2:L121)</f>
        <v/>
      </c>
      <c r="M122" s="1" t="inlineStr"/>
      <c r="N122" s="1" t="inlineStr">
        <is>
          <t>Subtotal</t>
        </is>
      </c>
      <c r="O122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invoice_date</t>
        </is>
      </c>
      <c r="C1" s="1" t="inlineStr">
        <is>
          <t>customer</t>
        </is>
      </c>
      <c r="D1" s="1" t="inlineStr">
        <is>
          <t>contract_ref</t>
        </is>
      </c>
      <c r="E1" s="1" t="inlineStr">
        <is>
          <t>line_description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extended_amount</t>
        </is>
      </c>
      <c r="I1" s="1" t="inlineStr">
        <is>
          <t>tax_rate</t>
        </is>
      </c>
      <c r="J1" s="1" t="inlineStr">
        <is>
          <t>tax_amount</t>
        </is>
      </c>
      <c r="K1" s="1" t="inlineStr">
        <is>
          <t>revenue_recognition_period</t>
        </is>
      </c>
      <c r="L1" s="1" t="inlineStr">
        <is>
          <t>deferred_portion</t>
        </is>
      </c>
      <c r="M1" s="1" t="inlineStr">
        <is>
          <t>gl_account</t>
        </is>
      </c>
      <c r="N1" s="1" t="inlineStr">
        <is>
          <t>status</t>
        </is>
      </c>
      <c r="O1" s="1" t="inlineStr">
        <is>
          <t>po_reference</t>
        </is>
      </c>
    </row>
    <row r="2">
      <c r="A2" s="1" t="inlineStr">
        <is>
          <t>INV-2026-60001</t>
        </is>
      </c>
      <c r="B2" s="2" t="n">
        <v>46171</v>
      </c>
      <c r="C2" s="1" t="inlineStr">
        <is>
          <t>Summit Ridge Retail</t>
        </is>
      </c>
      <c r="D2" s="1" t="inlineStr">
        <is>
          <t>SRR-MSA-2023-16</t>
        </is>
      </c>
      <c r="E2" s="1" t="inlineStr">
        <is>
          <t>Fleet orchestration platform, annual site licence</t>
        </is>
      </c>
      <c r="F2" s="1" t="n">
        <v>1</v>
      </c>
      <c r="G2" s="1" t="n">
        <v>96000</v>
      </c>
      <c r="H2" s="1">
        <f>F2*G2</f>
        <v/>
      </c>
      <c r="I2" s="1" t="n">
        <v>0.065</v>
      </c>
      <c r="J2" s="1">
        <f>ROUND(H2*I2,2)</f>
        <v/>
      </c>
      <c r="K2" s="1" t="inlineStr">
        <is>
          <t>2026-06</t>
        </is>
      </c>
      <c r="L2" s="1" t="n">
        <v>73920</v>
      </c>
      <c r="M2" s="1" t="inlineStr">
        <is>
          <t>4020</t>
        </is>
      </c>
      <c r="N2" s="1" t="inlineStr">
        <is>
          <t>Credit issued</t>
        </is>
      </c>
      <c r="O2" s="1" t="inlineStr">
        <is>
          <t>PO-SRR-1687</t>
        </is>
      </c>
    </row>
    <row r="3">
      <c r="A3" s="1" t="inlineStr">
        <is>
          <t>INV-2026-60002</t>
        </is>
      </c>
      <c r="B3" s="2" t="n">
        <v>46202</v>
      </c>
      <c r="C3" s="1" t="inlineStr">
        <is>
          <t>Keystone Paper &amp; Pack</t>
        </is>
      </c>
      <c r="D3" s="1" t="inlineStr">
        <is>
          <t>KPP-MSA-2022-41</t>
        </is>
      </c>
      <c r="E3" s="1" t="inlineStr">
        <is>
          <t>Fleet orchestration platform, annual site licence</t>
        </is>
      </c>
      <c r="F3" s="1" t="n">
        <v>1</v>
      </c>
      <c r="G3" s="1" t="n">
        <v>95100</v>
      </c>
      <c r="H3" s="1">
        <f>F3*G3</f>
        <v/>
      </c>
      <c r="I3" s="1" t="n">
        <v>0.0825</v>
      </c>
      <c r="J3" s="1">
        <f>ROUND(H3*I3,2)</f>
        <v/>
      </c>
      <c r="K3" s="1" t="inlineStr">
        <is>
          <t>2026-07</t>
        </is>
      </c>
      <c r="L3" s="1" t="n">
        <v>66570</v>
      </c>
      <c r="M3" s="1" t="inlineStr">
        <is>
          <t>4020</t>
        </is>
      </c>
      <c r="N3" s="1" t="inlineStr">
        <is>
          <t>Paid</t>
        </is>
      </c>
      <c r="O3" s="1" t="inlineStr">
        <is>
          <t>PO-KPP-8743</t>
        </is>
      </c>
    </row>
    <row r="4">
      <c r="A4" s="1" t="inlineStr">
        <is>
          <t>INV-2026-60003</t>
        </is>
      </c>
      <c r="B4" s="2" t="n">
        <v>46134</v>
      </c>
      <c r="C4" s="1" t="inlineStr">
        <is>
          <t>Zephyr Air Cargo</t>
        </is>
      </c>
      <c r="D4" s="1" t="inlineStr">
        <is>
          <t>ZAC-MSA-2024-55</t>
        </is>
      </c>
      <c r="E4" s="1" t="inlineStr">
        <is>
          <t>Telemetry retention tier, extended</t>
        </is>
      </c>
      <c r="F4" s="1" t="n">
        <v>2</v>
      </c>
      <c r="G4" s="1" t="n">
        <v>23100</v>
      </c>
      <c r="H4" s="1">
        <f>F4*G4</f>
        <v/>
      </c>
      <c r="I4" s="1" t="n">
        <v>0.09</v>
      </c>
      <c r="J4" s="1">
        <f>ROUND(H4*I4,2)</f>
        <v/>
      </c>
      <c r="K4" s="1" t="inlineStr">
        <is>
          <t>2026-05</t>
        </is>
      </c>
      <c r="L4" s="1" t="n">
        <v>30492</v>
      </c>
      <c r="M4" s="1" t="inlineStr">
        <is>
          <t>4020</t>
        </is>
      </c>
      <c r="N4" s="1" t="inlineStr">
        <is>
          <t>Written off</t>
        </is>
      </c>
      <c r="O4" s="1" t="inlineStr">
        <is>
          <t>PO-ZAC-7429</t>
        </is>
      </c>
    </row>
    <row r="5">
      <c r="A5" s="1" t="inlineStr">
        <is>
          <t>INV-2026-60004</t>
        </is>
      </c>
      <c r="B5" s="2" t="n">
        <v>46164</v>
      </c>
      <c r="C5" s="1" t="inlineStr">
        <is>
          <t>Harborline Systems</t>
        </is>
      </c>
      <c r="D5" s="1" t="inlineStr">
        <is>
          <t>HLS-MSA-2023-81</t>
        </is>
      </c>
      <c r="E5" s="1" t="inlineStr">
        <is>
          <t>Telemetry retention tier, extended</t>
        </is>
      </c>
      <c r="F5" s="1" t="n">
        <v>1</v>
      </c>
      <c r="G5" s="1" t="n">
        <v>22300</v>
      </c>
      <c r="H5" s="1">
        <f>F5*G5</f>
        <v/>
      </c>
      <c r="I5" s="1" t="n">
        <v>0.0475</v>
      </c>
      <c r="J5" s="1">
        <f>ROUND(H5*I5,2)</f>
        <v/>
      </c>
      <c r="K5" s="1" t="inlineStr">
        <is>
          <t>2026-06</t>
        </is>
      </c>
      <c r="L5" s="1" t="n">
        <v>15610</v>
      </c>
      <c r="M5" s="1" t="inlineStr">
        <is>
          <t>4020</t>
        </is>
      </c>
      <c r="N5" s="1" t="inlineStr">
        <is>
          <t>Disputed</t>
        </is>
      </c>
      <c r="O5" s="1" t="inlineStr">
        <is>
          <t>PO-HLS-6838</t>
        </is>
      </c>
    </row>
    <row r="6">
      <c r="A6" s="1" t="inlineStr">
        <is>
          <t>INV-2026-60005</t>
        </is>
      </c>
      <c r="B6" s="2" t="n">
        <v>46199</v>
      </c>
      <c r="C6" s="1" t="inlineStr">
        <is>
          <t>Westlake Chemical Depot</t>
        </is>
      </c>
      <c r="D6" s="1" t="inlineStr">
        <is>
          <t>WCD-MSA-2025-56</t>
        </is>
      </c>
      <c r="E6" s="1" t="inlineStr">
        <is>
          <t>Fleet orchestration platform, annual site licence</t>
        </is>
      </c>
      <c r="F6" s="1" t="n">
        <v>3</v>
      </c>
      <c r="G6" s="1" t="n">
        <v>96000</v>
      </c>
      <c r="H6" s="1">
        <f>F6*G6</f>
        <v/>
      </c>
      <c r="I6" s="1" t="n">
        <v>0</v>
      </c>
      <c r="J6" s="1">
        <f>ROUND(H6*I6,2)</f>
        <v/>
      </c>
      <c r="K6" s="1" t="inlineStr">
        <is>
          <t>2026-07</t>
        </is>
      </c>
      <c r="L6" s="1" t="n">
        <v>224640</v>
      </c>
      <c r="M6" s="1" t="inlineStr">
        <is>
          <t>4020</t>
        </is>
      </c>
      <c r="N6" s="1" t="inlineStr">
        <is>
          <t>Open</t>
        </is>
      </c>
      <c r="O6" s="1" t="inlineStr">
        <is>
          <t>PO-WCD-8385</t>
        </is>
      </c>
    </row>
    <row r="7">
      <c r="A7" s="1" t="inlineStr">
        <is>
          <t>INV-2026-60006</t>
        </is>
      </c>
      <c r="B7" s="2" t="n">
        <v>46141</v>
      </c>
      <c r="C7" s="1" t="inlineStr">
        <is>
          <t>Summit Ridge Retail</t>
        </is>
      </c>
      <c r="D7" s="1" t="inlineStr">
        <is>
          <t>SRR-MSA-2024-28</t>
        </is>
      </c>
      <c r="E7" s="1" t="inlineStr">
        <is>
          <t>Operator training programme</t>
        </is>
      </c>
      <c r="F7" s="1" t="n">
        <v>4</v>
      </c>
      <c r="G7" s="1" t="n">
        <v>2604</v>
      </c>
      <c r="H7" s="1">
        <f>F7*G7</f>
        <v/>
      </c>
      <c r="I7" s="1" t="n">
        <v>0.0825</v>
      </c>
      <c r="J7" s="1">
        <f>ROUND(H7*I7,2)</f>
        <v/>
      </c>
      <c r="K7" s="1" t="inlineStr">
        <is>
          <t>2026-05</t>
        </is>
      </c>
      <c r="L7" s="1" t="n">
        <v>624.96</v>
      </c>
      <c r="M7" s="1" t="inlineStr">
        <is>
          <t>4030</t>
        </is>
      </c>
      <c r="N7" s="1" t="inlineStr">
        <is>
          <t>Open</t>
        </is>
      </c>
      <c r="O7" s="1" t="inlineStr">
        <is>
          <t>PO-SRR-4232</t>
        </is>
      </c>
    </row>
    <row r="8">
      <c r="A8" s="1" t="inlineStr">
        <is>
          <t>INV-2026-60007</t>
        </is>
      </c>
      <c r="B8" s="2" t="n">
        <v>46171</v>
      </c>
      <c r="C8" s="1" t="inlineStr">
        <is>
          <t>Alderbrook Textiles</t>
        </is>
      </c>
      <c r="D8" s="1" t="inlineStr">
        <is>
          <t>ABT-MSA-2024-28</t>
        </is>
      </c>
      <c r="E8" s="1" t="inlineStr">
        <is>
          <t>Telemetry retention tier, extended</t>
        </is>
      </c>
      <c r="F8" s="1" t="n">
        <v>2</v>
      </c>
      <c r="G8" s="1" t="n">
        <v>24500</v>
      </c>
      <c r="H8" s="1">
        <f>F8*G8</f>
        <v/>
      </c>
      <c r="I8" s="1" t="n">
        <v>0.06</v>
      </c>
      <c r="J8" s="1">
        <f>ROUND(H8*I8,2)</f>
        <v/>
      </c>
      <c r="K8" s="1" t="inlineStr">
        <is>
          <t>2026-06</t>
        </is>
      </c>
      <c r="L8" s="1" t="n">
        <v>38220</v>
      </c>
      <c r="M8" s="1" t="inlineStr">
        <is>
          <t>4020</t>
        </is>
      </c>
      <c r="N8" s="1" t="inlineStr">
        <is>
          <t>Open</t>
        </is>
      </c>
      <c r="O8" s="1" t="inlineStr">
        <is>
          <t>PO-ABT-1567</t>
        </is>
      </c>
    </row>
    <row r="9">
      <c r="A9" s="1" t="inlineStr">
        <is>
          <t>INV-2026-60008</t>
        </is>
      </c>
      <c r="B9" s="2" t="n">
        <v>46182</v>
      </c>
      <c r="C9" s="1" t="inlineStr">
        <is>
          <t>Orchard Grove Foods</t>
        </is>
      </c>
      <c r="D9" s="1" t="inlineStr">
        <is>
          <t>OGF-MSA-2024-34</t>
        </is>
      </c>
      <c r="E9" s="1" t="inlineStr">
        <is>
          <t>Warehouse management system connector</t>
        </is>
      </c>
      <c r="F9" s="1" t="n">
        <v>1</v>
      </c>
      <c r="G9" s="1" t="n">
        <v>37500</v>
      </c>
      <c r="H9" s="1">
        <f>F9*G9</f>
        <v/>
      </c>
      <c r="I9" s="1" t="n">
        <v>0.09</v>
      </c>
      <c r="J9" s="1">
        <f>ROUND(H9*I9,2)</f>
        <v/>
      </c>
      <c r="K9" s="1" t="inlineStr">
        <is>
          <t>2026-07</t>
        </is>
      </c>
      <c r="L9" s="1" t="n">
        <v>9000</v>
      </c>
      <c r="M9" s="1" t="inlineStr">
        <is>
          <t>4030</t>
        </is>
      </c>
      <c r="N9" s="1" t="inlineStr">
        <is>
          <t>Written off</t>
        </is>
      </c>
      <c r="O9" s="1" t="inlineStr">
        <is>
          <t>PO-OGF-5827</t>
        </is>
      </c>
    </row>
    <row r="10">
      <c r="A10" s="1" t="inlineStr">
        <is>
          <t>INV-2026-60009</t>
        </is>
      </c>
      <c r="B10" s="2" t="n">
        <v>46140</v>
      </c>
      <c r="C10" s="1" t="inlineStr">
        <is>
          <t>Quarrybridge Materials</t>
        </is>
      </c>
      <c r="D10" s="1" t="inlineStr">
        <is>
          <t>QBM-MSA-2024-22</t>
        </is>
      </c>
      <c r="E10" s="1" t="inlineStr">
        <is>
          <t>Operator training programme</t>
        </is>
      </c>
      <c r="F10" s="1" t="n">
        <v>1</v>
      </c>
      <c r="G10" s="1" t="n">
        <v>2800</v>
      </c>
      <c r="H10" s="1">
        <f>F10*G10</f>
        <v/>
      </c>
      <c r="I10" s="1" t="n">
        <v>0.065</v>
      </c>
      <c r="J10" s="1">
        <f>ROUND(H10*I10,2)</f>
        <v/>
      </c>
      <c r="K10" s="1" t="inlineStr">
        <is>
          <t>2026-05</t>
        </is>
      </c>
      <c r="L10" s="1" t="n">
        <v>588</v>
      </c>
      <c r="M10" s="1" t="inlineStr">
        <is>
          <t>4030</t>
        </is>
      </c>
      <c r="N10" s="1" t="inlineStr">
        <is>
          <t>Paid</t>
        </is>
      </c>
      <c r="O10" s="1" t="inlineStr">
        <is>
          <t>PO-QBM-5739</t>
        </is>
      </c>
    </row>
    <row r="11">
      <c r="A11" s="1" t="inlineStr">
        <is>
          <t>INV-2026-60010</t>
        </is>
      </c>
      <c r="B11" s="2" t="n">
        <v>46171</v>
      </c>
      <c r="C11" s="1" t="inlineStr">
        <is>
          <t>Tamarack Electronics</t>
        </is>
      </c>
      <c r="D11" s="1" t="inlineStr">
        <is>
          <t>TCE-MSA-2025-32</t>
        </is>
      </c>
      <c r="E11" s="1" t="inlineStr">
        <is>
          <t>Operator training programme</t>
        </is>
      </c>
      <c r="F11" s="1" t="n">
        <v>2</v>
      </c>
      <c r="G11" s="1" t="n">
        <v>4200</v>
      </c>
      <c r="H11" s="1">
        <f>F11*G11</f>
        <v/>
      </c>
      <c r="I11" s="1" t="n">
        <v>0.0825</v>
      </c>
      <c r="J11" s="1">
        <f>ROUND(H11*I11,2)</f>
        <v/>
      </c>
      <c r="K11" s="1" t="inlineStr">
        <is>
          <t>2026-06</t>
        </is>
      </c>
      <c r="L11" s="1" t="n">
        <v>924</v>
      </c>
      <c r="M11" s="1" t="inlineStr">
        <is>
          <t>4030</t>
        </is>
      </c>
      <c r="N11" s="1" t="inlineStr">
        <is>
          <t>Disputed</t>
        </is>
      </c>
      <c r="O11" s="1" t="inlineStr">
        <is>
          <t>PO-TCE-8239</t>
        </is>
      </c>
    </row>
    <row r="12">
      <c r="A12" s="1" t="inlineStr">
        <is>
          <t>INV-2026-60011</t>
        </is>
      </c>
      <c r="B12" s="2" t="n">
        <v>46195</v>
      </c>
      <c r="C12" s="1" t="inlineStr">
        <is>
          <t>Union Vale Pharma</t>
        </is>
      </c>
      <c r="D12" s="1" t="inlineStr">
        <is>
          <t>UVP-MSA-2025-81</t>
        </is>
      </c>
      <c r="E12" s="1" t="inlineStr">
        <is>
          <t>Telemetry retention tier, extended</t>
        </is>
      </c>
      <c r="F12" s="1" t="n">
        <v>1</v>
      </c>
      <c r="G12" s="1" t="n">
        <v>23100</v>
      </c>
      <c r="H12" s="1">
        <f>F12*G12</f>
        <v/>
      </c>
      <c r="I12" s="1" t="n">
        <v>0.0825</v>
      </c>
      <c r="J12" s="1">
        <f>ROUND(H12*I12,2)</f>
        <v/>
      </c>
      <c r="K12" s="1" t="inlineStr">
        <is>
          <t>2026-07</t>
        </is>
      </c>
      <c r="L12" s="1" t="n">
        <v>14553</v>
      </c>
      <c r="M12" s="1" t="inlineStr">
        <is>
          <t>4020</t>
        </is>
      </c>
      <c r="N12" s="1" t="inlineStr">
        <is>
          <t>Paid</t>
        </is>
      </c>
      <c r="O12" s="1" t="inlineStr">
        <is>
          <t>PO-UVP-7617</t>
        </is>
      </c>
    </row>
    <row r="13">
      <c r="A13" s="1" t="inlineStr">
        <is>
          <t>INV-2026-60012</t>
        </is>
      </c>
      <c r="B13" s="2" t="n">
        <v>46121</v>
      </c>
      <c r="C13" s="1" t="inlineStr">
        <is>
          <t>Crestline Fulfillment</t>
        </is>
      </c>
      <c r="D13" s="1" t="inlineStr">
        <is>
          <t>CFF-MSA-2023-40</t>
        </is>
      </c>
      <c r="E13" s="1" t="inlineStr">
        <is>
          <t>Remote operations desk coverage</t>
        </is>
      </c>
      <c r="F13" s="1" t="n">
        <v>4</v>
      </c>
      <c r="G13" s="1" t="n">
        <v>12600</v>
      </c>
      <c r="H13" s="1">
        <f>F13*G13</f>
        <v/>
      </c>
      <c r="I13" s="1" t="n">
        <v>0</v>
      </c>
      <c r="J13" s="1">
        <f>ROUND(H13*I13,2)</f>
        <v/>
      </c>
      <c r="K13" s="1" t="inlineStr">
        <is>
          <t>2026-05</t>
        </is>
      </c>
      <c r="L13" s="1" t="n">
        <v>33264</v>
      </c>
      <c r="M13" s="1" t="inlineStr">
        <is>
          <t>4020</t>
        </is>
      </c>
      <c r="N13" s="1" t="inlineStr">
        <is>
          <t>Disputed</t>
        </is>
      </c>
      <c r="O13" s="1" t="inlineStr">
        <is>
          <t>PO-CFF-3916</t>
        </is>
      </c>
    </row>
    <row r="14">
      <c r="A14" s="1" t="inlineStr">
        <is>
          <t>INV-2026-60013</t>
        </is>
      </c>
      <c r="B14" s="2" t="n">
        <v>46171</v>
      </c>
      <c r="C14" s="1" t="inlineStr">
        <is>
          <t>Evergreen Warehousing</t>
        </is>
      </c>
      <c r="D14" s="1" t="inlineStr">
        <is>
          <t>EVW-MSA-2025-88</t>
        </is>
      </c>
      <c r="E14" s="1" t="inlineStr">
        <is>
          <t>Telemetry retention tier, extended</t>
        </is>
      </c>
      <c r="F14" s="1" t="n">
        <v>2</v>
      </c>
      <c r="G14" s="1" t="n">
        <v>23600</v>
      </c>
      <c r="H14" s="1">
        <f>F14*G14</f>
        <v/>
      </c>
      <c r="I14" s="1" t="n">
        <v>0.06</v>
      </c>
      <c r="J14" s="1">
        <f>ROUND(H14*I14,2)</f>
        <v/>
      </c>
      <c r="K14" s="1" t="inlineStr">
        <is>
          <t>2026-06</t>
        </is>
      </c>
      <c r="L14" s="1" t="n">
        <v>36344</v>
      </c>
      <c r="M14" s="1" t="inlineStr">
        <is>
          <t>4020</t>
        </is>
      </c>
      <c r="N14" s="1" t="inlineStr">
        <is>
          <t>Partially paid</t>
        </is>
      </c>
      <c r="O14" s="1" t="inlineStr">
        <is>
          <t>PO-EVW-8730</t>
        </is>
      </c>
    </row>
    <row r="15">
      <c r="A15" s="1" t="inlineStr">
        <is>
          <t>INV-2026-60014</t>
        </is>
      </c>
      <c r="B15" s="2" t="n">
        <v>46203</v>
      </c>
      <c r="C15" s="1" t="inlineStr">
        <is>
          <t>Keystone Paper &amp; Pack</t>
        </is>
      </c>
      <c r="D15" s="1" t="inlineStr">
        <is>
          <t>KPP-MSA-2024-32</t>
        </is>
      </c>
      <c r="E15" s="1" t="inlineStr">
        <is>
          <t>Warehouse management system connector</t>
        </is>
      </c>
      <c r="F15" s="1" t="n">
        <v>1</v>
      </c>
      <c r="G15" s="1" t="n">
        <v>36700</v>
      </c>
      <c r="H15" s="1">
        <f>F15*G15</f>
        <v/>
      </c>
      <c r="I15" s="1" t="n">
        <v>0.0825</v>
      </c>
      <c r="J15" s="1">
        <f>ROUND(H15*I15,2)</f>
        <v/>
      </c>
      <c r="K15" s="1" t="inlineStr">
        <is>
          <t>2026-07</t>
        </is>
      </c>
      <c r="L15" s="1" t="n">
        <v>4771</v>
      </c>
      <c r="M15" s="1" t="inlineStr">
        <is>
          <t>4030</t>
        </is>
      </c>
      <c r="N15" s="1" t="inlineStr">
        <is>
          <t>Paid</t>
        </is>
      </c>
      <c r="O15" s="1" t="inlineStr">
        <is>
          <t>PO-KPP-1745</t>
        </is>
      </c>
    </row>
    <row r="16">
      <c r="A16" s="1" t="inlineStr">
        <is>
          <t>INV-2026-60015</t>
        </is>
      </c>
      <c r="B16" s="2" t="n">
        <v>46142</v>
      </c>
      <c r="C16" s="1" t="inlineStr">
        <is>
          <t>Northfield Beverage</t>
        </is>
      </c>
      <c r="D16" s="1" t="inlineStr">
        <is>
          <t>NFB-MSA-2025-87</t>
        </is>
      </c>
      <c r="E16" s="1" t="inlineStr">
        <is>
          <t>Autonomous mobile robot, 450 kg payload</t>
        </is>
      </c>
      <c r="F16" s="1" t="n">
        <v>6</v>
      </c>
      <c r="G16" s="1" t="n">
        <v>67000</v>
      </c>
      <c r="H16" s="1">
        <f>F16*G16</f>
        <v/>
      </c>
      <c r="I16" s="1" t="n">
        <v>0.0825</v>
      </c>
      <c r="J16" s="1">
        <f>ROUND(H16*I16,2)</f>
        <v/>
      </c>
      <c r="K16" s="1" t="inlineStr">
        <is>
          <t>2026-05</t>
        </is>
      </c>
      <c r="L16" s="1" t="n">
        <v>0</v>
      </c>
      <c r="M16" s="1" t="inlineStr">
        <is>
          <t>4010</t>
        </is>
      </c>
      <c r="N16" s="1" t="inlineStr">
        <is>
          <t>Open</t>
        </is>
      </c>
      <c r="O16" s="1" t="inlineStr">
        <is>
          <t>PO-NFB-4475</t>
        </is>
      </c>
    </row>
    <row r="17">
      <c r="A17" s="1" t="inlineStr">
        <is>
          <t>INV-2026-60016</t>
        </is>
      </c>
      <c r="B17" s="2" t="n">
        <v>46171</v>
      </c>
      <c r="C17" s="1" t="inlineStr">
        <is>
          <t>Zephyr Air Cargo</t>
        </is>
      </c>
      <c r="D17" s="1" t="inlineStr">
        <is>
          <t>ZAC-MSA-2024-22</t>
        </is>
      </c>
      <c r="E17" s="1" t="inlineStr">
        <is>
          <t>Fleet orchestration platform, annual site licence</t>
        </is>
      </c>
      <c r="F17" s="1" t="n">
        <v>3</v>
      </c>
      <c r="G17" s="1" t="n">
        <v>93800</v>
      </c>
      <c r="H17" s="1">
        <f>F17*G17</f>
        <v/>
      </c>
      <c r="I17" s="1" t="n">
        <v>0.09</v>
      </c>
      <c r="J17" s="1">
        <f>ROUND(H17*I17,2)</f>
        <v/>
      </c>
      <c r="K17" s="1" t="inlineStr">
        <is>
          <t>2026-06</t>
        </is>
      </c>
      <c r="L17" s="1" t="n">
        <v>185724</v>
      </c>
      <c r="M17" s="1" t="inlineStr">
        <is>
          <t>4020</t>
        </is>
      </c>
      <c r="N17" s="1" t="inlineStr">
        <is>
          <t>Open</t>
        </is>
      </c>
      <c r="O17" s="1" t="inlineStr">
        <is>
          <t>PO-ZAC-5820</t>
        </is>
      </c>
    </row>
    <row r="18">
      <c r="A18" s="1" t="inlineStr">
        <is>
          <t>INV-2026-60017</t>
        </is>
      </c>
      <c r="B18" s="2" t="n">
        <v>46175</v>
      </c>
      <c r="C18" s="1" t="inlineStr">
        <is>
          <t>Blue Mesa Components</t>
        </is>
      </c>
      <c r="D18" s="1" t="inlineStr">
        <is>
          <t>BMC-MSA-2023-13</t>
        </is>
      </c>
      <c r="E18" s="1" t="inlineStr">
        <is>
          <t>Opportunity charging dock</t>
        </is>
      </c>
      <c r="F18" s="1" t="n">
        <v>5</v>
      </c>
      <c r="G18" s="1" t="n">
        <v>10900</v>
      </c>
      <c r="H18" s="1">
        <f>F18*G18</f>
        <v/>
      </c>
      <c r="I18" s="1" t="n">
        <v>0</v>
      </c>
      <c r="J18" s="1">
        <f>ROUND(H18*I18,2)</f>
        <v/>
      </c>
      <c r="K18" s="1" t="inlineStr">
        <is>
          <t>2026-07</t>
        </is>
      </c>
      <c r="L18" s="1" t="n">
        <v>0</v>
      </c>
      <c r="M18" s="1" t="inlineStr">
        <is>
          <t>4010</t>
        </is>
      </c>
      <c r="N18" s="1" t="inlineStr">
        <is>
          <t>Disputed</t>
        </is>
      </c>
      <c r="O18" s="1" t="inlineStr">
        <is>
          <t>PO-BMC-5476</t>
        </is>
      </c>
    </row>
    <row r="19">
      <c r="A19" s="1" t="inlineStr">
        <is>
          <t>INV-2026-60018</t>
        </is>
      </c>
      <c r="B19" s="2" t="n">
        <v>46141</v>
      </c>
      <c r="C19" s="1" t="inlineStr">
        <is>
          <t>Fathom Mobility</t>
        </is>
      </c>
      <c r="D19" s="1" t="inlineStr">
        <is>
          <t>FTM-MSA-2023-31</t>
        </is>
      </c>
      <c r="E19" s="1" t="inlineStr">
        <is>
          <t>Premium support and spares pool</t>
        </is>
      </c>
      <c r="F19" s="1" t="n">
        <v>1</v>
      </c>
      <c r="G19" s="1" t="n">
        <v>55900</v>
      </c>
      <c r="H19" s="1">
        <f>F19*G19</f>
        <v/>
      </c>
      <c r="I19" s="1" t="n">
        <v>0.0475</v>
      </c>
      <c r="J19" s="1">
        <f>ROUND(H19*I19,2)</f>
        <v/>
      </c>
      <c r="K19" s="1" t="inlineStr">
        <is>
          <t>2026-05</t>
        </is>
      </c>
      <c r="L19" s="1" t="n">
        <v>35217</v>
      </c>
      <c r="M19" s="1" t="inlineStr">
        <is>
          <t>4020</t>
        </is>
      </c>
      <c r="N19" s="1" t="inlineStr">
        <is>
          <t>Paid</t>
        </is>
      </c>
      <c r="O19" s="1" t="inlineStr">
        <is>
          <t>PO-FTM-8801</t>
        </is>
      </c>
    </row>
    <row r="20">
      <c r="A20" s="1" t="inlineStr">
        <is>
          <t>INV-2026-60019</t>
        </is>
      </c>
      <c r="B20" s="2" t="n">
        <v>46171</v>
      </c>
      <c r="C20" s="1" t="inlineStr">
        <is>
          <t>Alderbrook Textiles</t>
        </is>
      </c>
      <c r="D20" s="1" t="inlineStr">
        <is>
          <t>ABT-MSA-2023-54</t>
        </is>
      </c>
      <c r="E20" s="1" t="inlineStr">
        <is>
          <t>Autonomous mobile robot, 450 kg payload</t>
        </is>
      </c>
      <c r="F20" s="1" t="n">
        <v>11</v>
      </c>
      <c r="G20" s="1" t="n">
        <v>67000</v>
      </c>
      <c r="H20" s="1">
        <f>F20*G20</f>
        <v/>
      </c>
      <c r="I20" s="1" t="n">
        <v>0.07000000000000001</v>
      </c>
      <c r="J20" s="1">
        <f>ROUND(H20*I20,2)</f>
        <v/>
      </c>
      <c r="K20" s="1" t="inlineStr">
        <is>
          <t>2026-06</t>
        </is>
      </c>
      <c r="L20" s="1" t="n">
        <v>0</v>
      </c>
      <c r="M20" s="1" t="inlineStr">
        <is>
          <t>4010</t>
        </is>
      </c>
      <c r="N20" s="1" t="inlineStr">
        <is>
          <t>Paid</t>
        </is>
      </c>
      <c r="O20" s="1" t="inlineStr">
        <is>
          <t>PO-ABT-3999</t>
        </is>
      </c>
    </row>
    <row r="21">
      <c r="A21" s="1" t="inlineStr">
        <is>
          <t>INV-2026-60020</t>
        </is>
      </c>
      <c r="B21" s="2" t="n">
        <v>46199</v>
      </c>
      <c r="C21" s="1" t="inlineStr">
        <is>
          <t>Orchard Grove Foods</t>
        </is>
      </c>
      <c r="D21" s="1" t="inlineStr">
        <is>
          <t>OGF-MSA-2025-65</t>
        </is>
      </c>
      <c r="E21" s="1" t="inlineStr">
        <is>
          <t>Deployment and commissioning services</t>
        </is>
      </c>
      <c r="F21" s="1" t="n">
        <v>26</v>
      </c>
      <c r="G21" s="1" t="n">
        <v>1850</v>
      </c>
      <c r="H21" s="1">
        <f>F21*G21</f>
        <v/>
      </c>
      <c r="I21" s="1" t="n">
        <v>0.0475</v>
      </c>
      <c r="J21" s="1">
        <f>ROUND(H21*I21,2)</f>
        <v/>
      </c>
      <c r="K21" s="1" t="inlineStr">
        <is>
          <t>2026-07</t>
        </is>
      </c>
      <c r="L21" s="1" t="n">
        <v>7215</v>
      </c>
      <c r="M21" s="1" t="inlineStr">
        <is>
          <t>4030</t>
        </is>
      </c>
      <c r="N21" s="1" t="inlineStr">
        <is>
          <t>Paid</t>
        </is>
      </c>
      <c r="O21" s="1" t="inlineStr">
        <is>
          <t>PO-OGF-6835</t>
        </is>
      </c>
    </row>
    <row r="22">
      <c r="A22" s="1" t="inlineStr">
        <is>
          <t>INV-2026-60021</t>
        </is>
      </c>
      <c r="B22" s="2" t="n">
        <v>46140</v>
      </c>
      <c r="C22" s="1" t="inlineStr">
        <is>
          <t>Zephyr Air Cargo</t>
        </is>
      </c>
      <c r="D22" s="1" t="inlineStr">
        <is>
          <t>ZAC-MSA-2025-52</t>
        </is>
      </c>
      <c r="E22" s="1" t="inlineStr">
        <is>
          <t>Deployment and commissioning services</t>
        </is>
      </c>
      <c r="F22" s="1" t="n">
        <v>41</v>
      </c>
      <c r="G22" s="1" t="n">
        <v>1147</v>
      </c>
      <c r="H22" s="1">
        <f>F22*G22</f>
        <v/>
      </c>
      <c r="I22" s="1" t="n">
        <v>0</v>
      </c>
      <c r="J22" s="1">
        <f>ROUND(H22*I22,2)</f>
        <v/>
      </c>
      <c r="K22" s="1" t="inlineStr">
        <is>
          <t>2026-05</t>
        </is>
      </c>
      <c r="L22" s="1" t="n">
        <v>7054.05</v>
      </c>
      <c r="M22" s="1" t="inlineStr">
        <is>
          <t>4030</t>
        </is>
      </c>
      <c r="N22" s="1" t="inlineStr">
        <is>
          <t>Disputed</t>
        </is>
      </c>
      <c r="O22" s="1" t="inlineStr">
        <is>
          <t>PO-ZAC-7095</t>
        </is>
      </c>
    </row>
    <row r="23">
      <c r="A23" s="1" t="inlineStr">
        <is>
          <t>INV-2026-60022</t>
        </is>
      </c>
      <c r="B23" s="2" t="n">
        <v>46171</v>
      </c>
      <c r="C23" s="1" t="inlineStr">
        <is>
          <t>Pioneer Freight Union</t>
        </is>
      </c>
      <c r="D23" s="1" t="inlineStr">
        <is>
          <t>PFU-MSA-2025-30</t>
        </is>
      </c>
      <c r="E23" s="1" t="inlineStr">
        <is>
          <t>Telemetry retention tier, extended</t>
        </is>
      </c>
      <c r="F23" s="1" t="n">
        <v>4</v>
      </c>
      <c r="G23" s="1" t="n">
        <v>23600</v>
      </c>
      <c r="H23" s="1">
        <f>F23*G23</f>
        <v/>
      </c>
      <c r="I23" s="1" t="n">
        <v>0.07000000000000001</v>
      </c>
      <c r="J23" s="1">
        <f>ROUND(H23*I23,2)</f>
        <v/>
      </c>
      <c r="K23" s="1" t="inlineStr">
        <is>
          <t>2026-06</t>
        </is>
      </c>
      <c r="L23" s="1" t="n">
        <v>65136</v>
      </c>
      <c r="M23" s="1" t="inlineStr">
        <is>
          <t>4020</t>
        </is>
      </c>
      <c r="N23" s="1" t="inlineStr">
        <is>
          <t>Credit issued</t>
        </is>
      </c>
      <c r="O23" s="1" t="inlineStr">
        <is>
          <t>PO-PFU-3539</t>
        </is>
      </c>
    </row>
    <row r="24">
      <c r="A24" s="1" t="inlineStr">
        <is>
          <t>INV-2026-60023</t>
        </is>
      </c>
      <c r="B24" s="2" t="n">
        <v>46202</v>
      </c>
      <c r="C24" s="1" t="inlineStr">
        <is>
          <t>Fathom Mobility</t>
        </is>
      </c>
      <c r="D24" s="1" t="inlineStr">
        <is>
          <t>FTM-MSA-2024-50</t>
        </is>
      </c>
      <c r="E24" s="1" t="inlineStr">
        <is>
          <t>Fleet orchestration expansion pack, per robot</t>
        </is>
      </c>
      <c r="F24" s="1" t="n">
        <v>49</v>
      </c>
      <c r="G24" s="1" t="n">
        <v>2650</v>
      </c>
      <c r="H24" s="1">
        <f>F24*G24</f>
        <v/>
      </c>
      <c r="I24" s="1" t="n">
        <v>0</v>
      </c>
      <c r="J24" s="1">
        <f>ROUND(H24*I24,2)</f>
        <v/>
      </c>
      <c r="K24" s="1" t="inlineStr">
        <is>
          <t>2026-07</t>
        </is>
      </c>
      <c r="L24" s="1" t="n">
        <v>90895</v>
      </c>
      <c r="M24" s="1" t="inlineStr">
        <is>
          <t>4020</t>
        </is>
      </c>
      <c r="N24" s="1" t="inlineStr">
        <is>
          <t>Credit issued</t>
        </is>
      </c>
      <c r="O24" s="1" t="inlineStr">
        <is>
          <t>PO-FTM-1109</t>
        </is>
      </c>
    </row>
    <row r="25">
      <c r="A25" s="1" t="inlineStr">
        <is>
          <t>INV-2026-60024</t>
        </is>
      </c>
      <c r="B25" s="2" t="n">
        <v>46140</v>
      </c>
      <c r="C25" s="1" t="inlineStr">
        <is>
          <t>Keystone Paper &amp; Pack</t>
        </is>
      </c>
      <c r="D25" s="1" t="inlineStr">
        <is>
          <t>KPP-MSA-2023-78</t>
        </is>
      </c>
      <c r="E25" s="1" t="inlineStr">
        <is>
          <t>Fleet orchestration expansion pack, per robot</t>
        </is>
      </c>
      <c r="F25" s="1" t="n">
        <v>145</v>
      </c>
      <c r="G25" s="1" t="n">
        <v>1953</v>
      </c>
      <c r="H25" s="1">
        <f>F25*G25</f>
        <v/>
      </c>
      <c r="I25" s="1" t="n">
        <v>0.07000000000000001</v>
      </c>
      <c r="J25" s="1">
        <f>ROUND(H25*I25,2)</f>
        <v/>
      </c>
      <c r="K25" s="1" t="inlineStr">
        <is>
          <t>2026-05</t>
        </is>
      </c>
      <c r="L25" s="1" t="n">
        <v>169911</v>
      </c>
      <c r="M25" s="1" t="inlineStr">
        <is>
          <t>4020</t>
        </is>
      </c>
      <c r="N25" s="1" t="inlineStr">
        <is>
          <t>Partially paid</t>
        </is>
      </c>
      <c r="O25" s="1" t="inlineStr">
        <is>
          <t>PO-KPP-7769</t>
        </is>
      </c>
    </row>
    <row r="26">
      <c r="A26" s="1" t="inlineStr">
        <is>
          <t>INV-2026-60025</t>
        </is>
      </c>
      <c r="B26" s="2" t="n">
        <v>46149</v>
      </c>
      <c r="C26" s="1" t="inlineStr">
        <is>
          <t>Evergreen Warehousing</t>
        </is>
      </c>
      <c r="D26" s="1" t="inlineStr">
        <is>
          <t>EVW-MSA-2025-58</t>
        </is>
      </c>
      <c r="E26" s="1" t="inlineStr">
        <is>
          <t>Fleet orchestration expansion pack, per robot</t>
        </is>
      </c>
      <c r="F26" s="1" t="n">
        <v>167</v>
      </c>
      <c r="G26" s="1" t="n">
        <v>2900</v>
      </c>
      <c r="H26" s="1">
        <f>F26*G26</f>
        <v/>
      </c>
      <c r="I26" s="1" t="n">
        <v>0.0475</v>
      </c>
      <c r="J26" s="1">
        <f>ROUND(H26*I26,2)</f>
        <v/>
      </c>
      <c r="K26" s="1" t="inlineStr">
        <is>
          <t>2026-06</t>
        </is>
      </c>
      <c r="L26" s="1" t="n">
        <v>314795</v>
      </c>
      <c r="M26" s="1" t="inlineStr">
        <is>
          <t>4020</t>
        </is>
      </c>
      <c r="N26" s="1" t="inlineStr">
        <is>
          <t>Open</t>
        </is>
      </c>
      <c r="O26" s="1" t="inlineStr">
        <is>
          <t>PO-EVW-5841</t>
        </is>
      </c>
    </row>
    <row r="27">
      <c r="A27" s="1" t="inlineStr">
        <is>
          <t>INV-2026-60026</t>
        </is>
      </c>
      <c r="B27" s="2" t="n">
        <v>46199</v>
      </c>
      <c r="C27" s="1" t="inlineStr">
        <is>
          <t>Westlake Chemical Depot</t>
        </is>
      </c>
      <c r="D27" s="1" t="inlineStr">
        <is>
          <t>WCD-MSA-2022-41</t>
        </is>
      </c>
      <c r="E27" s="1" t="inlineStr">
        <is>
          <t>Fleet orchestration platform, annual site licence</t>
        </is>
      </c>
      <c r="F27" s="1" t="n">
        <v>1</v>
      </c>
      <c r="G27" s="1" t="n">
        <v>95750</v>
      </c>
      <c r="H27" s="1">
        <f>F27*G27</f>
        <v/>
      </c>
      <c r="I27" s="1" t="n">
        <v>0.065</v>
      </c>
      <c r="J27" s="1">
        <f>ROUND(H27*I27,2)</f>
        <v/>
      </c>
      <c r="K27" s="1" t="inlineStr">
        <is>
          <t>2026-07</t>
        </is>
      </c>
      <c r="L27" s="1" t="n">
        <v>74685</v>
      </c>
      <c r="M27" s="1" t="inlineStr">
        <is>
          <t>4020</t>
        </is>
      </c>
      <c r="N27" s="1" t="inlineStr">
        <is>
          <t>Disputed</t>
        </is>
      </c>
      <c r="O27" s="1" t="inlineStr">
        <is>
          <t>PO-WCD-9251</t>
        </is>
      </c>
    </row>
    <row r="28">
      <c r="A28" s="1" t="inlineStr">
        <is>
          <t>INV-2026-60027</t>
        </is>
      </c>
      <c r="B28" s="2" t="n">
        <v>46141</v>
      </c>
      <c r="C28" s="1" t="inlineStr">
        <is>
          <t>Vantage Robotics Supply</t>
        </is>
      </c>
      <c r="D28" s="1" t="inlineStr">
        <is>
          <t>VRS-MSA-2024-55</t>
        </is>
      </c>
      <c r="E28" s="1" t="inlineStr">
        <is>
          <t>Remote operations desk coverage</t>
        </is>
      </c>
      <c r="F28" s="1" t="n">
        <v>4</v>
      </c>
      <c r="G28" s="1" t="n">
        <v>12600</v>
      </c>
      <c r="H28" s="1">
        <f>F28*G28</f>
        <v/>
      </c>
      <c r="I28" s="1" t="n">
        <v>0.0475</v>
      </c>
      <c r="J28" s="1">
        <f>ROUND(H28*I28,2)</f>
        <v/>
      </c>
      <c r="K28" s="1" t="inlineStr">
        <is>
          <t>2026-05</t>
        </is>
      </c>
      <c r="L28" s="1" t="n">
        <v>34272</v>
      </c>
      <c r="M28" s="1" t="inlineStr">
        <is>
          <t>4020</t>
        </is>
      </c>
      <c r="N28" s="1" t="inlineStr">
        <is>
          <t>Paid</t>
        </is>
      </c>
      <c r="O28" s="1" t="inlineStr">
        <is>
          <t>PO-VRS-6676</t>
        </is>
      </c>
    </row>
    <row r="29">
      <c r="A29" s="1" t="inlineStr">
        <is>
          <t>INV-2026-60028</t>
        </is>
      </c>
      <c r="B29" s="2" t="n">
        <v>46171</v>
      </c>
      <c r="C29" s="1" t="inlineStr">
        <is>
          <t>Northfield Beverage</t>
        </is>
      </c>
      <c r="D29" s="1" t="inlineStr">
        <is>
          <t>NFB-MSA-2025-23</t>
        </is>
      </c>
      <c r="E29" s="1" t="inlineStr">
        <is>
          <t>Fleet orchestration expansion pack, per robot</t>
        </is>
      </c>
      <c r="F29" s="1" t="n">
        <v>19</v>
      </c>
      <c r="G29" s="1" t="n">
        <v>3150</v>
      </c>
      <c r="H29" s="1">
        <f>F29*G29</f>
        <v/>
      </c>
      <c r="I29" s="1" t="n">
        <v>0.0825</v>
      </c>
      <c r="J29" s="1">
        <f>ROUND(H29*I29,2)</f>
        <v/>
      </c>
      <c r="K29" s="1" t="inlineStr">
        <is>
          <t>2026-06</t>
        </is>
      </c>
      <c r="L29" s="1" t="n">
        <v>42493.5</v>
      </c>
      <c r="M29" s="1" t="inlineStr">
        <is>
          <t>4020</t>
        </is>
      </c>
      <c r="N29" s="1" t="inlineStr">
        <is>
          <t>Written off</t>
        </is>
      </c>
      <c r="O29" s="1" t="inlineStr">
        <is>
          <t>PO-NFB-6695</t>
        </is>
      </c>
    </row>
    <row r="30">
      <c r="A30" s="1" t="inlineStr">
        <is>
          <t>INV-2026-60029</t>
        </is>
      </c>
      <c r="B30" s="2" t="n">
        <v>46202</v>
      </c>
      <c r="C30" s="1" t="inlineStr">
        <is>
          <t>Juniper Health Supply</t>
        </is>
      </c>
      <c r="D30" s="1" t="inlineStr">
        <is>
          <t>JHS-MSA-2024-32</t>
        </is>
      </c>
      <c r="E30" s="1" t="inlineStr">
        <is>
          <t>Opportunity charging dock</t>
        </is>
      </c>
      <c r="F30" s="1" t="n">
        <v>11</v>
      </c>
      <c r="G30" s="1" t="n">
        <v>11800</v>
      </c>
      <c r="H30" s="1">
        <f>F30*G30</f>
        <v/>
      </c>
      <c r="I30" s="1" t="n">
        <v>0.07000000000000001</v>
      </c>
      <c r="J30" s="1">
        <f>ROUND(H30*I30,2)</f>
        <v/>
      </c>
      <c r="K30" s="1" t="inlineStr">
        <is>
          <t>2026-07</t>
        </is>
      </c>
      <c r="L30" s="1" t="n">
        <v>0</v>
      </c>
      <c r="M30" s="1" t="inlineStr">
        <is>
          <t>4010</t>
        </is>
      </c>
      <c r="N30" s="1" t="inlineStr">
        <is>
          <t>Written off</t>
        </is>
      </c>
      <c r="O30" s="1" t="inlineStr">
        <is>
          <t>PO-JHS-3106</t>
        </is>
      </c>
    </row>
    <row r="31">
      <c r="A31" s="1" t="inlineStr">
        <is>
          <t>INV-2026-60030</t>
        </is>
      </c>
      <c r="B31" s="2" t="n">
        <v>46122</v>
      </c>
      <c r="C31" s="1" t="inlineStr">
        <is>
          <t>Ironvale Grocery Group</t>
        </is>
      </c>
      <c r="D31" s="1" t="inlineStr">
        <is>
          <t>IVG-MSA-2024-44</t>
        </is>
      </c>
      <c r="E31" s="1" t="inlineStr">
        <is>
          <t>Telemetry retention tier, extended</t>
        </is>
      </c>
      <c r="F31" s="1" t="n">
        <v>2</v>
      </c>
      <c r="G31" s="1" t="n">
        <v>23100</v>
      </c>
      <c r="H31" s="1">
        <f>F31*G31</f>
        <v/>
      </c>
      <c r="I31" s="1" t="n">
        <v>0.0475</v>
      </c>
      <c r="J31" s="1">
        <f>ROUND(H31*I31,2)</f>
        <v/>
      </c>
      <c r="K31" s="1" t="inlineStr">
        <is>
          <t>2026-05</t>
        </is>
      </c>
      <c r="L31" s="1" t="n">
        <v>36960</v>
      </c>
      <c r="M31" s="1" t="inlineStr">
        <is>
          <t>4020</t>
        </is>
      </c>
      <c r="N31" s="1" t="inlineStr">
        <is>
          <t>Paid</t>
        </is>
      </c>
      <c r="O31" s="1" t="inlineStr">
        <is>
          <t>PO-IVG-4163</t>
        </is>
      </c>
    </row>
    <row r="32">
      <c r="A32" s="1" t="inlineStr">
        <is>
          <t>INV-2026-60031</t>
        </is>
      </c>
      <c r="B32" s="2" t="n">
        <v>46157</v>
      </c>
      <c r="C32" s="1" t="inlineStr">
        <is>
          <t>Alderbrook Textiles</t>
        </is>
      </c>
      <c r="D32" s="1" t="inlineStr">
        <is>
          <t>ABT-MSA-2025-19</t>
        </is>
      </c>
      <c r="E32" s="1" t="inlineStr">
        <is>
          <t>Fleet orchestration platform, annual site licence</t>
        </is>
      </c>
      <c r="F32" s="1" t="n">
        <v>4</v>
      </c>
      <c r="G32" s="1" t="n">
        <v>96000</v>
      </c>
      <c r="H32" s="1">
        <f>F32*G32</f>
        <v/>
      </c>
      <c r="I32" s="1" t="n">
        <v>0.07000000000000001</v>
      </c>
      <c r="J32" s="1">
        <f>ROUND(H32*I32,2)</f>
        <v/>
      </c>
      <c r="K32" s="1" t="inlineStr">
        <is>
          <t>2026-06</t>
        </is>
      </c>
      <c r="L32" s="1" t="n">
        <v>261120</v>
      </c>
      <c r="M32" s="1" t="inlineStr">
        <is>
          <t>4020</t>
        </is>
      </c>
      <c r="N32" s="1" t="inlineStr">
        <is>
          <t>Paid</t>
        </is>
      </c>
      <c r="O32" s="1" t="inlineStr">
        <is>
          <t>PO-ABT-3400</t>
        </is>
      </c>
    </row>
    <row r="33">
      <c r="A33" s="1" t="inlineStr">
        <is>
          <t>INV-2026-60032</t>
        </is>
      </c>
      <c r="B33" s="2" t="n">
        <v>46199</v>
      </c>
      <c r="C33" s="1" t="inlineStr">
        <is>
          <t>Zephyr Air Cargo</t>
        </is>
      </c>
      <c r="D33" s="1" t="inlineStr">
        <is>
          <t>ZAC-MSA-2024-85</t>
        </is>
      </c>
      <c r="E33" s="1" t="inlineStr">
        <is>
          <t>Telemetry retention tier, extended</t>
        </is>
      </c>
      <c r="F33" s="1" t="n">
        <v>3</v>
      </c>
      <c r="G33" s="1" t="n">
        <v>24250</v>
      </c>
      <c r="H33" s="1">
        <f>F33*G33</f>
        <v/>
      </c>
      <c r="I33" s="1" t="n">
        <v>0</v>
      </c>
      <c r="J33" s="1">
        <f>ROUND(H33*I33,2)</f>
        <v/>
      </c>
      <c r="K33" s="1" t="inlineStr">
        <is>
          <t>2026-07</t>
        </is>
      </c>
      <c r="L33" s="1" t="n">
        <v>58927.5</v>
      </c>
      <c r="M33" s="1" t="inlineStr">
        <is>
          <t>4020</t>
        </is>
      </c>
      <c r="N33" s="1" t="inlineStr">
        <is>
          <t>Open</t>
        </is>
      </c>
      <c r="O33" s="1" t="inlineStr">
        <is>
          <t>PO-ZAC-3217</t>
        </is>
      </c>
    </row>
    <row r="34">
      <c r="A34" s="1" t="inlineStr">
        <is>
          <t>INV-2026-60033</t>
        </is>
      </c>
      <c r="B34" s="2" t="n">
        <v>46140</v>
      </c>
      <c r="C34" s="1" t="inlineStr">
        <is>
          <t>Pioneer Freight Union</t>
        </is>
      </c>
      <c r="D34" s="1" t="inlineStr">
        <is>
          <t>PFU-MSA-2025-51</t>
        </is>
      </c>
      <c r="E34" s="1" t="inlineStr">
        <is>
          <t>Safety scanner retrofit kit</t>
        </is>
      </c>
      <c r="F34" s="1" t="n">
        <v>2</v>
      </c>
      <c r="G34" s="1" t="n">
        <v>7000</v>
      </c>
      <c r="H34" s="1">
        <f>F34*G34</f>
        <v/>
      </c>
      <c r="I34" s="1" t="n">
        <v>0.065</v>
      </c>
      <c r="J34" s="1">
        <f>ROUND(H34*I34,2)</f>
        <v/>
      </c>
      <c r="K34" s="1" t="inlineStr">
        <is>
          <t>2026-05</t>
        </is>
      </c>
      <c r="L34" s="1" t="n">
        <v>0</v>
      </c>
      <c r="M34" s="1" t="inlineStr">
        <is>
          <t>4010</t>
        </is>
      </c>
      <c r="N34" s="1" t="inlineStr">
        <is>
          <t>Paid</t>
        </is>
      </c>
      <c r="O34" s="1" t="inlineStr">
        <is>
          <t>PO-PFU-6568</t>
        </is>
      </c>
    </row>
    <row r="35">
      <c r="A35" s="1" t="inlineStr">
        <is>
          <t>INV-2026-60034</t>
        </is>
      </c>
      <c r="B35" s="2" t="n">
        <v>46157</v>
      </c>
      <c r="C35" s="1" t="inlineStr">
        <is>
          <t>Calder Marine Supply</t>
        </is>
      </c>
      <c r="D35" s="1" t="inlineStr">
        <is>
          <t>CMS-MSA-2023-60</t>
        </is>
      </c>
      <c r="E35" s="1" t="inlineStr">
        <is>
          <t>Fleet orchestration platform, annual site licence</t>
        </is>
      </c>
      <c r="F35" s="1" t="n">
        <v>4</v>
      </c>
      <c r="G35" s="1" t="n">
        <v>95750</v>
      </c>
      <c r="H35" s="1">
        <f>F35*G35</f>
        <v/>
      </c>
      <c r="I35" s="1" t="n">
        <v>0.065</v>
      </c>
      <c r="J35" s="1">
        <f>ROUND(H35*I35,2)</f>
        <v/>
      </c>
      <c r="K35" s="1" t="inlineStr">
        <is>
          <t>2026-06</t>
        </is>
      </c>
      <c r="L35" s="1" t="n">
        <v>252780</v>
      </c>
      <c r="M35" s="1" t="inlineStr">
        <is>
          <t>4020</t>
        </is>
      </c>
      <c r="N35" s="1" t="inlineStr">
        <is>
          <t>Open</t>
        </is>
      </c>
      <c r="O35" s="1" t="inlineStr">
        <is>
          <t>PO-CMS-5703</t>
        </is>
      </c>
    </row>
    <row r="36">
      <c r="A36" s="1" t="inlineStr">
        <is>
          <t>INV-2026-60035</t>
        </is>
      </c>
      <c r="B36" s="2" t="n">
        <v>46203</v>
      </c>
      <c r="C36" s="1" t="inlineStr">
        <is>
          <t>Redwood Optics</t>
        </is>
      </c>
      <c r="D36" s="1" t="inlineStr">
        <is>
          <t>RWO-MSA-2024-89</t>
        </is>
      </c>
      <c r="E36" s="1" t="inlineStr">
        <is>
          <t>Fleet orchestration expansion pack, per robot</t>
        </is>
      </c>
      <c r="F36" s="1" t="n">
        <v>89</v>
      </c>
      <c r="G36" s="1" t="n">
        <v>2900</v>
      </c>
      <c r="H36" s="1">
        <f>F36*G36</f>
        <v/>
      </c>
      <c r="I36" s="1" t="n">
        <v>0.06</v>
      </c>
      <c r="J36" s="1">
        <f>ROUND(H36*I36,2)</f>
        <v/>
      </c>
      <c r="K36" s="1" t="inlineStr">
        <is>
          <t>2026-07</t>
        </is>
      </c>
      <c r="L36" s="1" t="n">
        <v>216804</v>
      </c>
      <c r="M36" s="1" t="inlineStr">
        <is>
          <t>4020</t>
        </is>
      </c>
      <c r="N36" s="1" t="inlineStr">
        <is>
          <t>Paid</t>
        </is>
      </c>
      <c r="O36" s="1" t="inlineStr">
        <is>
          <t>PO-RWO-3281</t>
        </is>
      </c>
    </row>
    <row r="37">
      <c r="A37" s="1" t="inlineStr">
        <is>
          <t>INV-2026-60036</t>
        </is>
      </c>
      <c r="B37" s="2" t="n">
        <v>46115</v>
      </c>
      <c r="C37" s="1" t="inlineStr">
        <is>
          <t>Redwood Optics</t>
        </is>
      </c>
      <c r="D37" s="1" t="inlineStr">
        <is>
          <t>RWO-MSA-2022-22</t>
        </is>
      </c>
      <c r="E37" s="1" t="inlineStr">
        <is>
          <t>Autonomous mobile robot, 450 kg payload</t>
        </is>
      </c>
      <c r="F37" s="1" t="n">
        <v>9</v>
      </c>
      <c r="G37" s="1" t="n">
        <v>68150</v>
      </c>
      <c r="H37" s="1">
        <f>F37*G37</f>
        <v/>
      </c>
      <c r="I37" s="1" t="n">
        <v>0.0475</v>
      </c>
      <c r="J37" s="1">
        <f>ROUND(H37*I37,2)</f>
        <v/>
      </c>
      <c r="K37" s="1" t="inlineStr">
        <is>
          <t>2026-05</t>
        </is>
      </c>
      <c r="L37" s="1" t="n">
        <v>0</v>
      </c>
      <c r="M37" s="1" t="inlineStr">
        <is>
          <t>4010</t>
        </is>
      </c>
      <c r="N37" s="1" t="inlineStr">
        <is>
          <t>Written off</t>
        </is>
      </c>
      <c r="O37" s="1" t="inlineStr">
        <is>
          <t>PO-RWO-9103</t>
        </is>
      </c>
    </row>
    <row r="38">
      <c r="A38" s="1" t="inlineStr">
        <is>
          <t>INV-2026-60037</t>
        </is>
      </c>
      <c r="B38" s="2" t="n">
        <v>46171</v>
      </c>
      <c r="C38" s="1" t="inlineStr">
        <is>
          <t>Alderbrook Textiles</t>
        </is>
      </c>
      <c r="D38" s="1" t="inlineStr">
        <is>
          <t>ABT-MSA-2025-29</t>
        </is>
      </c>
      <c r="E38" s="1" t="inlineStr">
        <is>
          <t>Deployment and commissioning services</t>
        </is>
      </c>
      <c r="F38" s="1" t="n">
        <v>35</v>
      </c>
      <c r="G38" s="1" t="n">
        <v>1147</v>
      </c>
      <c r="H38" s="1">
        <f>F38*G38</f>
        <v/>
      </c>
      <c r="I38" s="1" t="n">
        <v>0.0825</v>
      </c>
      <c r="J38" s="1">
        <f>ROUND(H38*I38,2)</f>
        <v/>
      </c>
      <c r="K38" s="1" t="inlineStr">
        <is>
          <t>2026-06</t>
        </is>
      </c>
      <c r="L38" s="1" t="n">
        <v>5218.85</v>
      </c>
      <c r="M38" s="1" t="inlineStr">
        <is>
          <t>4030</t>
        </is>
      </c>
      <c r="N38" s="1" t="inlineStr">
        <is>
          <t>Open</t>
        </is>
      </c>
      <c r="O38" s="1" t="inlineStr">
        <is>
          <t>PO-ABT-7325</t>
        </is>
      </c>
    </row>
    <row r="39">
      <c r="A39" s="1" t="inlineStr">
        <is>
          <t>INV-2026-60038</t>
        </is>
      </c>
      <c r="B39" s="2" t="n">
        <v>46202</v>
      </c>
      <c r="C39" s="1" t="inlineStr">
        <is>
          <t>Vantage Robotics Supply</t>
        </is>
      </c>
      <c r="D39" s="1" t="inlineStr">
        <is>
          <t>VRS-MSA-2025-84</t>
        </is>
      </c>
      <c r="E39" s="1" t="inlineStr">
        <is>
          <t>Operator training programme</t>
        </is>
      </c>
      <c r="F39" s="1" t="n">
        <v>2</v>
      </c>
      <c r="G39" s="1" t="n">
        <v>3700</v>
      </c>
      <c r="H39" s="1">
        <f>F39*G39</f>
        <v/>
      </c>
      <c r="I39" s="1" t="n">
        <v>0.065</v>
      </c>
      <c r="J39" s="1">
        <f>ROUND(H39*I39,2)</f>
        <v/>
      </c>
      <c r="K39" s="1" t="inlineStr">
        <is>
          <t>2026-07</t>
        </is>
      </c>
      <c r="L39" s="1" t="n">
        <v>148</v>
      </c>
      <c r="M39" s="1" t="inlineStr">
        <is>
          <t>4030</t>
        </is>
      </c>
      <c r="N39" s="1" t="inlineStr">
        <is>
          <t>Paid</t>
        </is>
      </c>
      <c r="O39" s="1" t="inlineStr">
        <is>
          <t>PO-VRS-6598</t>
        </is>
      </c>
    </row>
    <row r="40">
      <c r="A40" s="1" t="inlineStr">
        <is>
          <t>INV-2026-60039</t>
        </is>
      </c>
      <c r="B40" s="2" t="n">
        <v>46129</v>
      </c>
      <c r="C40" s="1" t="inlineStr">
        <is>
          <t>Westlake Chemical Depot</t>
        </is>
      </c>
      <c r="D40" s="1" t="inlineStr">
        <is>
          <t>WCD-MSA-2025-79</t>
        </is>
      </c>
      <c r="E40" s="1" t="inlineStr">
        <is>
          <t>Safety scanner retrofit kit</t>
        </is>
      </c>
      <c r="F40" s="1" t="n">
        <v>3</v>
      </c>
      <c r="G40" s="1" t="n">
        <v>7000</v>
      </c>
      <c r="H40" s="1">
        <f>F40*G40</f>
        <v/>
      </c>
      <c r="I40" s="1" t="n">
        <v>0.06</v>
      </c>
      <c r="J40" s="1">
        <f>ROUND(H40*I40,2)</f>
        <v/>
      </c>
      <c r="K40" s="1" t="inlineStr">
        <is>
          <t>2026-05</t>
        </is>
      </c>
      <c r="L40" s="1" t="n">
        <v>0</v>
      </c>
      <c r="M40" s="1" t="inlineStr">
        <is>
          <t>4010</t>
        </is>
      </c>
      <c r="N40" s="1" t="inlineStr">
        <is>
          <t>Partially paid</t>
        </is>
      </c>
      <c r="O40" s="1" t="inlineStr">
        <is>
          <t>PO-WCD-2949</t>
        </is>
      </c>
    </row>
    <row r="41">
      <c r="A41" s="1" t="inlineStr">
        <is>
          <t>INV-2026-60040</t>
        </is>
      </c>
      <c r="B41" s="2" t="n">
        <v>46162</v>
      </c>
      <c r="C41" s="1" t="inlineStr">
        <is>
          <t>Meridian Dynamics</t>
        </is>
      </c>
      <c r="D41" s="1" t="inlineStr">
        <is>
          <t>MDY-MSA-2025-58</t>
        </is>
      </c>
      <c r="E41" s="1" t="inlineStr">
        <is>
          <t>Remote operations desk coverage</t>
        </is>
      </c>
      <c r="F41" s="1" t="n">
        <v>3</v>
      </c>
      <c r="G41" s="1" t="n">
        <v>10400</v>
      </c>
      <c r="H41" s="1">
        <f>F41*G41</f>
        <v/>
      </c>
      <c r="I41" s="1" t="n">
        <v>0.065</v>
      </c>
      <c r="J41" s="1">
        <f>ROUND(H41*I41,2)</f>
        <v/>
      </c>
      <c r="K41" s="1" t="inlineStr">
        <is>
          <t>2026-06</t>
        </is>
      </c>
      <c r="L41" s="1" t="n">
        <v>17784</v>
      </c>
      <c r="M41" s="1" t="inlineStr">
        <is>
          <t>4020</t>
        </is>
      </c>
      <c r="N41" s="1" t="inlineStr">
        <is>
          <t>Paid</t>
        </is>
      </c>
      <c r="O41" s="1" t="inlineStr">
        <is>
          <t>PO-MDY-7029</t>
        </is>
      </c>
    </row>
    <row r="42">
      <c r="A42" s="1" t="inlineStr">
        <is>
          <t>INV-2026-60041</t>
        </is>
      </c>
      <c r="B42" s="2" t="n">
        <v>46202</v>
      </c>
      <c r="C42" s="1" t="inlineStr">
        <is>
          <t>Elmsworth Publishing</t>
        </is>
      </c>
      <c r="D42" s="1" t="inlineStr">
        <is>
          <t>EWP-MSA-2023-71</t>
        </is>
      </c>
      <c r="E42" s="1" t="inlineStr">
        <is>
          <t>Premium support and spares pool</t>
        </is>
      </c>
      <c r="F42" s="1" t="n">
        <v>4</v>
      </c>
      <c r="G42" s="1" t="n">
        <v>57300</v>
      </c>
      <c r="H42" s="1">
        <f>F42*G42</f>
        <v/>
      </c>
      <c r="I42" s="1" t="n">
        <v>0.09</v>
      </c>
      <c r="J42" s="1">
        <f>ROUND(H42*I42,2)</f>
        <v/>
      </c>
      <c r="K42" s="1" t="inlineStr">
        <is>
          <t>2026-07</t>
        </is>
      </c>
      <c r="L42" s="1" t="n">
        <v>148980</v>
      </c>
      <c r="M42" s="1" t="inlineStr">
        <is>
          <t>4020</t>
        </is>
      </c>
      <c r="N42" s="1" t="inlineStr">
        <is>
          <t>Credit issued</t>
        </is>
      </c>
      <c r="O42" s="1" t="inlineStr">
        <is>
          <t>PO-EWP-1822</t>
        </is>
      </c>
    </row>
    <row r="43">
      <c r="A43" s="1" t="inlineStr">
        <is>
          <t>INV-2026-60042</t>
        </is>
      </c>
      <c r="B43" s="2" t="n">
        <v>46141</v>
      </c>
      <c r="C43" s="1" t="inlineStr">
        <is>
          <t>Dunbar Industrial</t>
        </is>
      </c>
      <c r="D43" s="1" t="inlineStr">
        <is>
          <t>DBI-MSA-2024-23</t>
        </is>
      </c>
      <c r="E43" s="1" t="inlineStr">
        <is>
          <t>Opportunity charging dock</t>
        </is>
      </c>
      <c r="F43" s="1" t="n">
        <v>14</v>
      </c>
      <c r="G43" s="1" t="n">
        <v>11550</v>
      </c>
      <c r="H43" s="1">
        <f>F43*G43</f>
        <v/>
      </c>
      <c r="I43" s="1" t="n">
        <v>0</v>
      </c>
      <c r="J43" s="1">
        <f>ROUND(H43*I43,2)</f>
        <v/>
      </c>
      <c r="K43" s="1" t="inlineStr">
        <is>
          <t>2026-05</t>
        </is>
      </c>
      <c r="L43" s="1" t="n">
        <v>0</v>
      </c>
      <c r="M43" s="1" t="inlineStr">
        <is>
          <t>4010</t>
        </is>
      </c>
      <c r="N43" s="1" t="inlineStr">
        <is>
          <t>Paid</t>
        </is>
      </c>
      <c r="O43" s="1" t="inlineStr">
        <is>
          <t>PO-DBI-2584</t>
        </is>
      </c>
    </row>
    <row r="44">
      <c r="A44" s="1" t="inlineStr">
        <is>
          <t>INV-2026-60043</t>
        </is>
      </c>
      <c r="B44" s="2" t="n">
        <v>46171</v>
      </c>
      <c r="C44" s="1" t="inlineStr">
        <is>
          <t>Yarrow Home Goods</t>
        </is>
      </c>
      <c r="D44" s="1" t="inlineStr">
        <is>
          <t>YHG-MSA-2022-87</t>
        </is>
      </c>
      <c r="E44" s="1" t="inlineStr">
        <is>
          <t>Operator training programme</t>
        </is>
      </c>
      <c r="F44" s="1" t="n">
        <v>1</v>
      </c>
      <c r="G44" s="1" t="n">
        <v>4200</v>
      </c>
      <c r="H44" s="1">
        <f>F44*G44</f>
        <v/>
      </c>
      <c r="I44" s="1" t="n">
        <v>0.0475</v>
      </c>
      <c r="J44" s="1">
        <f>ROUND(H44*I44,2)</f>
        <v/>
      </c>
      <c r="K44" s="1" t="inlineStr">
        <is>
          <t>2026-06</t>
        </is>
      </c>
      <c r="L44" s="1" t="n">
        <v>546</v>
      </c>
      <c r="M44" s="1" t="inlineStr">
        <is>
          <t>4030</t>
        </is>
      </c>
      <c r="N44" s="1" t="inlineStr">
        <is>
          <t>Open</t>
        </is>
      </c>
      <c r="O44" s="1" t="inlineStr">
        <is>
          <t>PO-YHG-4605</t>
        </is>
      </c>
    </row>
    <row r="45">
      <c r="A45" s="1" t="inlineStr">
        <is>
          <t>INV-2026-60044</t>
        </is>
      </c>
      <c r="B45" s="2" t="n">
        <v>46202</v>
      </c>
      <c r="C45" s="1" t="inlineStr">
        <is>
          <t>Meridian Dynamics</t>
        </is>
      </c>
      <c r="D45" s="1" t="inlineStr">
        <is>
          <t>MDY-MSA-2025-65</t>
        </is>
      </c>
      <c r="E45" s="1" t="inlineStr">
        <is>
          <t>Fleet orchestration expansion pack, per robot</t>
        </is>
      </c>
      <c r="F45" s="1" t="n">
        <v>177</v>
      </c>
      <c r="G45" s="1" t="n">
        <v>3150</v>
      </c>
      <c r="H45" s="1">
        <f>F45*G45</f>
        <v/>
      </c>
      <c r="I45" s="1" t="n">
        <v>0.0475</v>
      </c>
      <c r="J45" s="1">
        <f>ROUND(H45*I45,2)</f>
        <v/>
      </c>
      <c r="K45" s="1" t="inlineStr">
        <is>
          <t>2026-07</t>
        </is>
      </c>
      <c r="L45" s="1" t="n">
        <v>451615.5</v>
      </c>
      <c r="M45" s="1" t="inlineStr">
        <is>
          <t>4020</t>
        </is>
      </c>
      <c r="N45" s="1" t="inlineStr">
        <is>
          <t>Open</t>
        </is>
      </c>
      <c r="O45" s="1" t="inlineStr">
        <is>
          <t>PO-MDY-4779</t>
        </is>
      </c>
    </row>
    <row r="46">
      <c r="A46" s="1" t="inlineStr">
        <is>
          <t>INV-2026-60045</t>
        </is>
      </c>
      <c r="B46" s="2" t="n">
        <v>46141</v>
      </c>
      <c r="C46" s="1" t="inlineStr">
        <is>
          <t>Quarrybridge Materials</t>
        </is>
      </c>
      <c r="D46" s="1" t="inlineStr">
        <is>
          <t>QBM-MSA-2022-86</t>
        </is>
      </c>
      <c r="E46" s="1" t="inlineStr">
        <is>
          <t>Fleet orchestration expansion pack, per robot</t>
        </is>
      </c>
      <c r="F46" s="1" t="n">
        <v>64</v>
      </c>
      <c r="G46" s="1" t="n">
        <v>2250</v>
      </c>
      <c r="H46" s="1">
        <f>F46*G46</f>
        <v/>
      </c>
      <c r="I46" s="1" t="n">
        <v>0.09</v>
      </c>
      <c r="J46" s="1">
        <f>ROUND(H46*I46,2)</f>
        <v/>
      </c>
      <c r="K46" s="1" t="inlineStr">
        <is>
          <t>2026-05</t>
        </is>
      </c>
      <c r="L46" s="1" t="n">
        <v>105120</v>
      </c>
      <c r="M46" s="1" t="inlineStr">
        <is>
          <t>4020</t>
        </is>
      </c>
      <c r="N46" s="1" t="inlineStr">
        <is>
          <t>Credit issued</t>
        </is>
      </c>
      <c r="O46" s="1" t="inlineStr">
        <is>
          <t>PO-QBM-9093</t>
        </is>
      </c>
    </row>
    <row r="47">
      <c r="A47" s="1" t="inlineStr">
        <is>
          <t>INV-2026-60046</t>
        </is>
      </c>
      <c r="B47" s="2" t="n">
        <v>46171</v>
      </c>
      <c r="C47" s="1" t="inlineStr">
        <is>
          <t>Northfield Beverage</t>
        </is>
      </c>
      <c r="D47" s="1" t="inlineStr">
        <is>
          <t>NFB-MSA-2022-73</t>
        </is>
      </c>
      <c r="E47" s="1" t="inlineStr">
        <is>
          <t>Safety scanner retrofit kit</t>
        </is>
      </c>
      <c r="F47" s="1" t="n">
        <v>4</v>
      </c>
      <c r="G47" s="1" t="n">
        <v>6750</v>
      </c>
      <c r="H47" s="1">
        <f>F47*G47</f>
        <v/>
      </c>
      <c r="I47" s="1" t="n">
        <v>0.07000000000000001</v>
      </c>
      <c r="J47" s="1">
        <f>ROUND(H47*I47,2)</f>
        <v/>
      </c>
      <c r="K47" s="1" t="inlineStr">
        <is>
          <t>2026-06</t>
        </is>
      </c>
      <c r="L47" s="1" t="n">
        <v>0</v>
      </c>
      <c r="M47" s="1" t="inlineStr">
        <is>
          <t>4010</t>
        </is>
      </c>
      <c r="N47" s="1" t="inlineStr">
        <is>
          <t>Credit issued</t>
        </is>
      </c>
      <c r="O47" s="1" t="inlineStr">
        <is>
          <t>PO-NFB-2128</t>
        </is>
      </c>
    </row>
    <row r="48">
      <c r="A48" s="1" t="inlineStr">
        <is>
          <t>INV-2026-60047</t>
        </is>
      </c>
      <c r="B48" s="2" t="n">
        <v>46202</v>
      </c>
      <c r="C48" s="1" t="inlineStr">
        <is>
          <t>Alderbrook Textiles</t>
        </is>
      </c>
      <c r="D48" s="1" t="inlineStr">
        <is>
          <t>ABT-MSA-2024-81</t>
        </is>
      </c>
      <c r="E48" s="1" t="inlineStr">
        <is>
          <t>Autonomous mobile robot, 450 kg payload</t>
        </is>
      </c>
      <c r="F48" s="1" t="n">
        <v>1</v>
      </c>
      <c r="G48" s="1" t="n">
        <v>66200</v>
      </c>
      <c r="H48" s="1">
        <f>F48*G48</f>
        <v/>
      </c>
      <c r="I48" s="1" t="n">
        <v>0.07000000000000001</v>
      </c>
      <c r="J48" s="1">
        <f>ROUND(H48*I48,2)</f>
        <v/>
      </c>
      <c r="K48" s="1" t="inlineStr">
        <is>
          <t>2026-07</t>
        </is>
      </c>
      <c r="L48" s="1" t="n">
        <v>0</v>
      </c>
      <c r="M48" s="1" t="inlineStr">
        <is>
          <t>4010</t>
        </is>
      </c>
      <c r="N48" s="1" t="inlineStr">
        <is>
          <t>Paid</t>
        </is>
      </c>
      <c r="O48" s="1" t="inlineStr">
        <is>
          <t>PO-ABT-2547</t>
        </is>
      </c>
    </row>
    <row r="49">
      <c r="A49" s="1" t="inlineStr">
        <is>
          <t>INV-2026-60048</t>
        </is>
      </c>
      <c r="B49" s="2" t="n">
        <v>46113</v>
      </c>
      <c r="C49" s="1" t="inlineStr">
        <is>
          <t>Harborline Systems</t>
        </is>
      </c>
      <c r="D49" s="1" t="inlineStr">
        <is>
          <t>HLS-MSA-2022-72</t>
        </is>
      </c>
      <c r="E49" s="1" t="inlineStr">
        <is>
          <t>Opportunity charging dock</t>
        </is>
      </c>
      <c r="F49" s="1" t="n">
        <v>13</v>
      </c>
      <c r="G49" s="1" t="n">
        <v>10400</v>
      </c>
      <c r="H49" s="1">
        <f>F49*G49</f>
        <v/>
      </c>
      <c r="I49" s="1" t="n">
        <v>0.07000000000000001</v>
      </c>
      <c r="J49" s="1">
        <f>ROUND(H49*I49,2)</f>
        <v/>
      </c>
      <c r="K49" s="1" t="inlineStr">
        <is>
          <t>2026-05</t>
        </is>
      </c>
      <c r="L49" s="1" t="n">
        <v>0</v>
      </c>
      <c r="M49" s="1" t="inlineStr">
        <is>
          <t>4010</t>
        </is>
      </c>
      <c r="N49" s="1" t="inlineStr">
        <is>
          <t>Partially paid</t>
        </is>
      </c>
      <c r="O49" s="1" t="inlineStr">
        <is>
          <t>PO-HLS-4202</t>
        </is>
      </c>
    </row>
    <row r="50">
      <c r="A50" s="1" t="inlineStr">
        <is>
          <t>INV-2026-60049</t>
        </is>
      </c>
      <c r="B50" s="2" t="n">
        <v>46171</v>
      </c>
      <c r="C50" s="1" t="inlineStr">
        <is>
          <t>Redwood Optics</t>
        </is>
      </c>
      <c r="D50" s="1" t="inlineStr">
        <is>
          <t>RWO-MSA-2025-84</t>
        </is>
      </c>
      <c r="E50" s="1" t="inlineStr">
        <is>
          <t>Fleet orchestration platform, annual site licence</t>
        </is>
      </c>
      <c r="F50" s="1" t="n">
        <v>4</v>
      </c>
      <c r="G50" s="1" t="n">
        <v>95100</v>
      </c>
      <c r="H50" s="1">
        <f>F50*G50</f>
        <v/>
      </c>
      <c r="I50" s="1" t="n">
        <v>0.07000000000000001</v>
      </c>
      <c r="J50" s="1">
        <f>ROUND(H50*I50,2)</f>
        <v/>
      </c>
      <c r="K50" s="1" t="inlineStr">
        <is>
          <t>2026-06</t>
        </is>
      </c>
      <c r="L50" s="1" t="n">
        <v>289104</v>
      </c>
      <c r="M50" s="1" t="inlineStr">
        <is>
          <t>4020</t>
        </is>
      </c>
      <c r="N50" s="1" t="inlineStr">
        <is>
          <t>Paid</t>
        </is>
      </c>
      <c r="O50" s="1" t="inlineStr">
        <is>
          <t>PO-RWO-9145</t>
        </is>
      </c>
    </row>
    <row r="51">
      <c r="A51" s="1" t="inlineStr">
        <is>
          <t>INV-2026-60050</t>
        </is>
      </c>
      <c r="B51" s="2" t="n">
        <v>46178</v>
      </c>
      <c r="C51" s="1" t="inlineStr">
        <is>
          <t>Juniper Health Supply</t>
        </is>
      </c>
      <c r="D51" s="1" t="inlineStr">
        <is>
          <t>JHS-MSA-2024-24</t>
        </is>
      </c>
      <c r="E51" s="1" t="inlineStr">
        <is>
          <t>Fleet orchestration platform, annual site licence</t>
        </is>
      </c>
      <c r="F51" s="1" t="n">
        <v>1</v>
      </c>
      <c r="G51" s="1" t="n">
        <v>95100</v>
      </c>
      <c r="H51" s="1">
        <f>F51*G51</f>
        <v/>
      </c>
      <c r="I51" s="1" t="n">
        <v>0.0825</v>
      </c>
      <c r="J51" s="1">
        <f>ROUND(H51*I51,2)</f>
        <v/>
      </c>
      <c r="K51" s="1" t="inlineStr">
        <is>
          <t>2026-07</t>
        </is>
      </c>
      <c r="L51" s="1" t="n">
        <v>55158</v>
      </c>
      <c r="M51" s="1" t="inlineStr">
        <is>
          <t>4020</t>
        </is>
      </c>
      <c r="N51" s="1" t="inlineStr">
        <is>
          <t>Open</t>
        </is>
      </c>
      <c r="O51" s="1" t="inlineStr">
        <is>
          <t>PO-JHS-6323</t>
        </is>
      </c>
    </row>
    <row r="52">
      <c r="A52" s="1" t="inlineStr">
        <is>
          <t>INV-2026-60051</t>
        </is>
      </c>
      <c r="B52" s="2" t="n">
        <v>46115</v>
      </c>
      <c r="C52" s="1" t="inlineStr">
        <is>
          <t>Larkspur Apparel</t>
        </is>
      </c>
      <c r="D52" s="1" t="inlineStr">
        <is>
          <t>LKA-MSA-2025-63</t>
        </is>
      </c>
      <c r="E52" s="1" t="inlineStr">
        <is>
          <t>Deployment and commissioning services</t>
        </is>
      </c>
      <c r="F52" s="1" t="n">
        <v>8</v>
      </c>
      <c r="G52" s="1" t="n">
        <v>1850</v>
      </c>
      <c r="H52" s="1">
        <f>F52*G52</f>
        <v/>
      </c>
      <c r="I52" s="1" t="n">
        <v>0.06</v>
      </c>
      <c r="J52" s="1">
        <f>ROUND(H52*I52,2)</f>
        <v/>
      </c>
      <c r="K52" s="1" t="inlineStr">
        <is>
          <t>2026-05</t>
        </is>
      </c>
      <c r="L52" s="1" t="n">
        <v>3404</v>
      </c>
      <c r="M52" s="1" t="inlineStr">
        <is>
          <t>4030</t>
        </is>
      </c>
      <c r="N52" s="1" t="inlineStr">
        <is>
          <t>Paid</t>
        </is>
      </c>
      <c r="O52" s="1" t="inlineStr">
        <is>
          <t>PO-LKA-1588</t>
        </is>
      </c>
    </row>
    <row r="53">
      <c r="A53" s="1" t="inlineStr">
        <is>
          <t>INV-2026-60052</t>
        </is>
      </c>
      <c r="B53" s="2" t="n">
        <v>46171</v>
      </c>
      <c r="C53" s="1" t="inlineStr">
        <is>
          <t>Meridian Dynamics</t>
        </is>
      </c>
      <c r="D53" s="1" t="inlineStr">
        <is>
          <t>MDY-MSA-2025-62</t>
        </is>
      </c>
      <c r="E53" s="1" t="inlineStr">
        <is>
          <t>Operator training programme</t>
        </is>
      </c>
      <c r="F53" s="1" t="n">
        <v>4</v>
      </c>
      <c r="G53" s="1" t="n">
        <v>3700</v>
      </c>
      <c r="H53" s="1">
        <f>F53*G53</f>
        <v/>
      </c>
      <c r="I53" s="1" t="n">
        <v>0.07000000000000001</v>
      </c>
      <c r="J53" s="1">
        <f>ROUND(H53*I53,2)</f>
        <v/>
      </c>
      <c r="K53" s="1" t="inlineStr">
        <is>
          <t>2026-06</t>
        </is>
      </c>
      <c r="L53" s="1" t="n">
        <v>740</v>
      </c>
      <c r="M53" s="1" t="inlineStr">
        <is>
          <t>4030</t>
        </is>
      </c>
      <c r="N53" s="1" t="inlineStr">
        <is>
          <t>Open</t>
        </is>
      </c>
      <c r="O53" s="1" t="inlineStr">
        <is>
          <t>PO-MDY-1905</t>
        </is>
      </c>
    </row>
    <row r="54">
      <c r="A54" s="1" t="inlineStr">
        <is>
          <t>INV-2026-60053</t>
        </is>
      </c>
      <c r="B54" s="2" t="n">
        <v>46196</v>
      </c>
      <c r="C54" s="1" t="inlineStr">
        <is>
          <t>Crestline Fulfillment</t>
        </is>
      </c>
      <c r="D54" s="1" t="inlineStr">
        <is>
          <t>CFF-MSA-2023-61</t>
        </is>
      </c>
      <c r="E54" s="1" t="inlineStr">
        <is>
          <t>Safety scanner retrofit kit</t>
        </is>
      </c>
      <c r="F54" s="1" t="n">
        <v>1</v>
      </c>
      <c r="G54" s="1" t="n">
        <v>6350</v>
      </c>
      <c r="H54" s="1">
        <f>F54*G54</f>
        <v/>
      </c>
      <c r="I54" s="1" t="n">
        <v>0</v>
      </c>
      <c r="J54" s="1">
        <f>ROUND(H54*I54,2)</f>
        <v/>
      </c>
      <c r="K54" s="1" t="inlineStr">
        <is>
          <t>2026-07</t>
        </is>
      </c>
      <c r="L54" s="1" t="n">
        <v>0</v>
      </c>
      <c r="M54" s="1" t="inlineStr">
        <is>
          <t>4010</t>
        </is>
      </c>
      <c r="N54" s="1" t="inlineStr">
        <is>
          <t>Disputed</t>
        </is>
      </c>
      <c r="O54" s="1" t="inlineStr">
        <is>
          <t>PO-CFF-2913</t>
        </is>
      </c>
    </row>
    <row r="55">
      <c r="A55" s="1" t="inlineStr">
        <is>
          <t>INV-2026-60054</t>
        </is>
      </c>
      <c r="B55" s="2" t="n">
        <v>46141</v>
      </c>
      <c r="C55" s="1" t="inlineStr">
        <is>
          <t>Quarrybridge Materials</t>
        </is>
      </c>
      <c r="D55" s="1" t="inlineStr">
        <is>
          <t>QBM-MSA-2024-88</t>
        </is>
      </c>
      <c r="E55" s="1" t="inlineStr">
        <is>
          <t>Fleet orchestration expansion pack, per robot</t>
        </is>
      </c>
      <c r="F55" s="1" t="n">
        <v>45</v>
      </c>
      <c r="G55" s="1" t="n">
        <v>3150</v>
      </c>
      <c r="H55" s="1">
        <f>F55*G55</f>
        <v/>
      </c>
      <c r="I55" s="1" t="n">
        <v>0</v>
      </c>
      <c r="J55" s="1">
        <f>ROUND(H55*I55,2)</f>
        <v/>
      </c>
      <c r="K55" s="1" t="inlineStr">
        <is>
          <t>2026-05</t>
        </is>
      </c>
      <c r="L55" s="1" t="n">
        <v>106312.5</v>
      </c>
      <c r="M55" s="1" t="inlineStr">
        <is>
          <t>4020</t>
        </is>
      </c>
      <c r="N55" s="1" t="inlineStr">
        <is>
          <t>Open</t>
        </is>
      </c>
      <c r="O55" s="1" t="inlineStr">
        <is>
          <t>PO-QBM-5734</t>
        </is>
      </c>
    </row>
    <row r="56">
      <c r="A56" s="1" t="inlineStr">
        <is>
          <t>INV-2026-60055</t>
        </is>
      </c>
      <c r="B56" s="2" t="n">
        <v>46171</v>
      </c>
      <c r="C56" s="1" t="inlineStr">
        <is>
          <t>Harborline Systems</t>
        </is>
      </c>
      <c r="D56" s="1" t="inlineStr">
        <is>
          <t>HLS-MSA-2022-34</t>
        </is>
      </c>
      <c r="E56" s="1" t="inlineStr">
        <is>
          <t>Premium support and spares pool</t>
        </is>
      </c>
      <c r="F56" s="1" t="n">
        <v>4</v>
      </c>
      <c r="G56" s="1" t="n">
        <v>57050</v>
      </c>
      <c r="H56" s="1">
        <f>F56*G56</f>
        <v/>
      </c>
      <c r="I56" s="1" t="n">
        <v>0.0825</v>
      </c>
      <c r="J56" s="1">
        <f>ROUND(H56*I56,2)</f>
        <v/>
      </c>
      <c r="K56" s="1" t="inlineStr">
        <is>
          <t>2026-06</t>
        </is>
      </c>
      <c r="L56" s="1" t="n">
        <v>150612</v>
      </c>
      <c r="M56" s="1" t="inlineStr">
        <is>
          <t>4020</t>
        </is>
      </c>
      <c r="N56" s="1" t="inlineStr">
        <is>
          <t>Partially paid</t>
        </is>
      </c>
      <c r="O56" s="1" t="inlineStr">
        <is>
          <t>PO-HLS-4195</t>
        </is>
      </c>
    </row>
    <row r="57">
      <c r="A57" s="1" t="inlineStr">
        <is>
          <t>INV-2026-60056</t>
        </is>
      </c>
      <c r="B57" s="2" t="n">
        <v>46203</v>
      </c>
      <c r="C57" s="1" t="inlineStr">
        <is>
          <t>Fathom Mobility</t>
        </is>
      </c>
      <c r="D57" s="1" t="inlineStr">
        <is>
          <t>FTM-MSA-2023-21</t>
        </is>
      </c>
      <c r="E57" s="1" t="inlineStr">
        <is>
          <t>Deployment and commissioning services</t>
        </is>
      </c>
      <c r="F57" s="1" t="n">
        <v>32</v>
      </c>
      <c r="G57" s="1" t="n">
        <v>1350</v>
      </c>
      <c r="H57" s="1">
        <f>F57*G57</f>
        <v/>
      </c>
      <c r="I57" s="1" t="n">
        <v>0.09</v>
      </c>
      <c r="J57" s="1">
        <f>ROUND(H57*I57,2)</f>
        <v/>
      </c>
      <c r="K57" s="1" t="inlineStr">
        <is>
          <t>2026-07</t>
        </is>
      </c>
      <c r="L57" s="1" t="n">
        <v>7776</v>
      </c>
      <c r="M57" s="1" t="inlineStr">
        <is>
          <t>4030</t>
        </is>
      </c>
      <c r="N57" s="1" t="inlineStr">
        <is>
          <t>Paid</t>
        </is>
      </c>
      <c r="O57" s="1" t="inlineStr">
        <is>
          <t>PO-FTM-6922</t>
        </is>
      </c>
    </row>
    <row r="58">
      <c r="A58" s="1" t="inlineStr">
        <is>
          <t>INV-2026-60057</t>
        </is>
      </c>
      <c r="B58" s="2" t="n">
        <v>46134</v>
      </c>
      <c r="C58" s="1" t="inlineStr">
        <is>
          <t>Blue Mesa Components</t>
        </is>
      </c>
      <c r="D58" s="1" t="inlineStr">
        <is>
          <t>BMC-MSA-2023-52</t>
        </is>
      </c>
      <c r="E58" s="1" t="inlineStr">
        <is>
          <t>Autonomous mobile robot, 450 kg payload</t>
        </is>
      </c>
      <c r="F58" s="1" t="n">
        <v>4</v>
      </c>
      <c r="G58" s="1" t="n">
        <v>68400</v>
      </c>
      <c r="H58" s="1">
        <f>F58*G58</f>
        <v/>
      </c>
      <c r="I58" s="1" t="n">
        <v>0.0825</v>
      </c>
      <c r="J58" s="1">
        <f>ROUND(H58*I58,2)</f>
        <v/>
      </c>
      <c r="K58" s="1" t="inlineStr">
        <is>
          <t>2026-05</t>
        </is>
      </c>
      <c r="L58" s="1" t="n">
        <v>0</v>
      </c>
      <c r="M58" s="1" t="inlineStr">
        <is>
          <t>4010</t>
        </is>
      </c>
      <c r="N58" s="1" t="inlineStr">
        <is>
          <t>Open</t>
        </is>
      </c>
      <c r="O58" s="1" t="inlineStr">
        <is>
          <t>PO-BMC-7842</t>
        </is>
      </c>
    </row>
    <row r="59">
      <c r="A59" s="1" t="inlineStr">
        <is>
          <t>INV-2026-60058</t>
        </is>
      </c>
      <c r="B59" s="2" t="n">
        <v>46171</v>
      </c>
      <c r="C59" s="1" t="inlineStr">
        <is>
          <t>Orchard Grove Foods</t>
        </is>
      </c>
      <c r="D59" s="1" t="inlineStr">
        <is>
          <t>OGF-MSA-2022-22</t>
        </is>
      </c>
      <c r="E59" s="1" t="inlineStr">
        <is>
          <t>Opportunity charging dock</t>
        </is>
      </c>
      <c r="F59" s="1" t="n">
        <v>13</v>
      </c>
      <c r="G59" s="1" t="n">
        <v>9600</v>
      </c>
      <c r="H59" s="1">
        <f>F59*G59</f>
        <v/>
      </c>
      <c r="I59" s="1" t="n">
        <v>0.09</v>
      </c>
      <c r="J59" s="1">
        <f>ROUND(H59*I59,2)</f>
        <v/>
      </c>
      <c r="K59" s="1" t="inlineStr">
        <is>
          <t>2026-06</t>
        </is>
      </c>
      <c r="L59" s="1" t="n">
        <v>0</v>
      </c>
      <c r="M59" s="1" t="inlineStr">
        <is>
          <t>4010</t>
        </is>
      </c>
      <c r="N59" s="1" t="inlineStr">
        <is>
          <t>Written off</t>
        </is>
      </c>
      <c r="O59" s="1" t="inlineStr">
        <is>
          <t>PO-OGF-9160</t>
        </is>
      </c>
    </row>
    <row r="60">
      <c r="A60" s="1" t="inlineStr">
        <is>
          <t>INV-2026-60059</t>
        </is>
      </c>
      <c r="B60" s="2" t="n">
        <v>46203</v>
      </c>
      <c r="C60" s="1" t="inlineStr">
        <is>
          <t>Juniper Health Supply</t>
        </is>
      </c>
      <c r="D60" s="1" t="inlineStr">
        <is>
          <t>JHS-MSA-2022-46</t>
        </is>
      </c>
      <c r="E60" s="1" t="inlineStr">
        <is>
          <t>Fleet orchestration expansion pack, per robot</t>
        </is>
      </c>
      <c r="F60" s="1" t="n">
        <v>145</v>
      </c>
      <c r="G60" s="1" t="n">
        <v>3150</v>
      </c>
      <c r="H60" s="1">
        <f>F60*G60</f>
        <v/>
      </c>
      <c r="I60" s="1" t="n">
        <v>0.06</v>
      </c>
      <c r="J60" s="1">
        <f>ROUND(H60*I60,2)</f>
        <v/>
      </c>
      <c r="K60" s="1" t="inlineStr">
        <is>
          <t>2026-07</t>
        </is>
      </c>
      <c r="L60" s="1" t="n">
        <v>342562.5</v>
      </c>
      <c r="M60" s="1" t="inlineStr">
        <is>
          <t>4020</t>
        </is>
      </c>
      <c r="N60" s="1" t="inlineStr">
        <is>
          <t>Open</t>
        </is>
      </c>
      <c r="O60" s="1" t="inlineStr">
        <is>
          <t>PO-JHS-6750</t>
        </is>
      </c>
    </row>
    <row r="61">
      <c r="A61" s="1" t="inlineStr">
        <is>
          <t>INV-2026-60060</t>
        </is>
      </c>
      <c r="B61" s="2" t="n">
        <v>46140</v>
      </c>
      <c r="C61" s="1" t="inlineStr">
        <is>
          <t>Westlake Chemical Depot</t>
        </is>
      </c>
      <c r="D61" s="1" t="inlineStr">
        <is>
          <t>WCD-MSA-2025-43</t>
        </is>
      </c>
      <c r="E61" s="1" t="inlineStr">
        <is>
          <t>Operator training programme</t>
        </is>
      </c>
      <c r="F61" s="1" t="n">
        <v>4</v>
      </c>
      <c r="G61" s="1" t="n">
        <v>3950</v>
      </c>
      <c r="H61" s="1">
        <f>F61*G61</f>
        <v/>
      </c>
      <c r="I61" s="1" t="n">
        <v>0</v>
      </c>
      <c r="J61" s="1">
        <f>ROUND(H61*I61,2)</f>
        <v/>
      </c>
      <c r="K61" s="1" t="inlineStr">
        <is>
          <t>2026-05</t>
        </is>
      </c>
      <c r="L61" s="1" t="n">
        <v>2528</v>
      </c>
      <c r="M61" s="1" t="inlineStr">
        <is>
          <t>4030</t>
        </is>
      </c>
      <c r="N61" s="1" t="inlineStr">
        <is>
          <t>Credit issued</t>
        </is>
      </c>
      <c r="O61" s="1" t="inlineStr">
        <is>
          <t>PO-WCD-9861</t>
        </is>
      </c>
    </row>
    <row r="62">
      <c r="A62" s="1" t="inlineStr">
        <is>
          <t>INV-2026-60061</t>
        </is>
      </c>
      <c r="B62" s="2" t="n">
        <v>46143</v>
      </c>
      <c r="C62" s="1" t="inlineStr">
        <is>
          <t>Fathom Mobility</t>
        </is>
      </c>
      <c r="D62" s="1" t="inlineStr">
        <is>
          <t>FTM-MSA-2025-12</t>
        </is>
      </c>
      <c r="E62" s="1" t="inlineStr">
        <is>
          <t>Autonomous mobile robot, 450 kg payload</t>
        </is>
      </c>
      <c r="F62" s="1" t="n">
        <v>7</v>
      </c>
      <c r="G62" s="1" t="n">
        <v>67500</v>
      </c>
      <c r="H62" s="1">
        <f>F62*G62</f>
        <v/>
      </c>
      <c r="I62" s="1" t="n">
        <v>0.09</v>
      </c>
      <c r="J62" s="1">
        <f>ROUND(H62*I62,2)</f>
        <v/>
      </c>
      <c r="K62" s="1" t="inlineStr">
        <is>
          <t>2026-06</t>
        </is>
      </c>
      <c r="L62" s="1" t="n">
        <v>0</v>
      </c>
      <c r="M62" s="1" t="inlineStr">
        <is>
          <t>4010</t>
        </is>
      </c>
      <c r="N62" s="1" t="inlineStr">
        <is>
          <t>Partially paid</t>
        </is>
      </c>
      <c r="O62" s="1" t="inlineStr">
        <is>
          <t>PO-FTM-1856</t>
        </is>
      </c>
    </row>
    <row r="63">
      <c r="A63" s="1" t="inlineStr">
        <is>
          <t>INV-2026-60062</t>
        </is>
      </c>
      <c r="B63" s="2" t="n">
        <v>46202</v>
      </c>
      <c r="C63" s="1" t="inlineStr">
        <is>
          <t>Fathom Mobility</t>
        </is>
      </c>
      <c r="D63" s="1" t="inlineStr">
        <is>
          <t>FTM-MSA-2023-82</t>
        </is>
      </c>
      <c r="E63" s="1" t="inlineStr">
        <is>
          <t>Deployment and commissioning services</t>
        </is>
      </c>
      <c r="F63" s="1" t="n">
        <v>8</v>
      </c>
      <c r="G63" s="1" t="n">
        <v>1850</v>
      </c>
      <c r="H63" s="1">
        <f>F63*G63</f>
        <v/>
      </c>
      <c r="I63" s="1" t="n">
        <v>0.07000000000000001</v>
      </c>
      <c r="J63" s="1">
        <f>ROUND(H63*I63,2)</f>
        <v/>
      </c>
      <c r="K63" s="1" t="inlineStr">
        <is>
          <t>2026-07</t>
        </is>
      </c>
      <c r="L63" s="1" t="n">
        <v>0</v>
      </c>
      <c r="M63" s="1" t="inlineStr">
        <is>
          <t>4030</t>
        </is>
      </c>
      <c r="N63" s="1" t="inlineStr">
        <is>
          <t>Partially paid</t>
        </is>
      </c>
      <c r="O63" s="1" t="inlineStr">
        <is>
          <t>PO-FTM-4739</t>
        </is>
      </c>
    </row>
    <row r="64">
      <c r="A64" s="1" t="inlineStr">
        <is>
          <t>INV-2026-60063</t>
        </is>
      </c>
      <c r="B64" s="2" t="n">
        <v>46140</v>
      </c>
      <c r="C64" s="1" t="inlineStr">
        <is>
          <t>Dorsey Grain Cooperative</t>
        </is>
      </c>
      <c r="D64" s="1" t="inlineStr">
        <is>
          <t>DGC-MSA-2024-86</t>
        </is>
      </c>
      <c r="E64" s="1" t="inlineStr">
        <is>
          <t>Premium support and spares pool</t>
        </is>
      </c>
      <c r="F64" s="1" t="n">
        <v>1</v>
      </c>
      <c r="G64" s="1" t="n">
        <v>57300</v>
      </c>
      <c r="H64" s="1">
        <f>F64*G64</f>
        <v/>
      </c>
      <c r="I64" s="1" t="n">
        <v>0.06</v>
      </c>
      <c r="J64" s="1">
        <f>ROUND(H64*I64,2)</f>
        <v/>
      </c>
      <c r="K64" s="1" t="inlineStr">
        <is>
          <t>2026-05</t>
        </is>
      </c>
      <c r="L64" s="1" t="n">
        <v>33807</v>
      </c>
      <c r="M64" s="1" t="inlineStr">
        <is>
          <t>4020</t>
        </is>
      </c>
      <c r="N64" s="1" t="inlineStr">
        <is>
          <t>Credit issued</t>
        </is>
      </c>
      <c r="O64" s="1" t="inlineStr">
        <is>
          <t>PO-DGC-4614</t>
        </is>
      </c>
    </row>
    <row r="65">
      <c r="A65" s="1" t="inlineStr">
        <is>
          <t>INV-2026-60064</t>
        </is>
      </c>
      <c r="B65" s="2" t="n">
        <v>46143</v>
      </c>
      <c r="C65" s="1" t="inlineStr">
        <is>
          <t>Orchard Grove Foods</t>
        </is>
      </c>
      <c r="D65" s="1" t="inlineStr">
        <is>
          <t>OGF-MSA-2023-55</t>
        </is>
      </c>
      <c r="E65" s="1" t="inlineStr">
        <is>
          <t>Fleet orchestration expansion pack, per robot</t>
        </is>
      </c>
      <c r="F65" s="1" t="n">
        <v>12</v>
      </c>
      <c r="G65" s="1" t="n">
        <v>3150</v>
      </c>
      <c r="H65" s="1">
        <f>F65*G65</f>
        <v/>
      </c>
      <c r="I65" s="1" t="n">
        <v>0.06</v>
      </c>
      <c r="J65" s="1">
        <f>ROUND(H65*I65,2)</f>
        <v/>
      </c>
      <c r="K65" s="1" t="inlineStr">
        <is>
          <t>2026-06</t>
        </is>
      </c>
      <c r="L65" s="1" t="n">
        <v>26460</v>
      </c>
      <c r="M65" s="1" t="inlineStr">
        <is>
          <t>4020</t>
        </is>
      </c>
      <c r="N65" s="1" t="inlineStr">
        <is>
          <t>Paid</t>
        </is>
      </c>
      <c r="O65" s="1" t="inlineStr">
        <is>
          <t>PO-OGF-2817</t>
        </is>
      </c>
    </row>
    <row r="66">
      <c r="A66" s="1" t="inlineStr">
        <is>
          <t>INV-2026-60065</t>
        </is>
      </c>
      <c r="B66" s="2" t="n">
        <v>46202</v>
      </c>
      <c r="C66" s="1" t="inlineStr">
        <is>
          <t>Union Vale Pharma</t>
        </is>
      </c>
      <c r="D66" s="1" t="inlineStr">
        <is>
          <t>UVP-MSA-2025-54</t>
        </is>
      </c>
      <c r="E66" s="1" t="inlineStr">
        <is>
          <t>Deployment and commissioning services</t>
        </is>
      </c>
      <c r="F66" s="1" t="n">
        <v>43</v>
      </c>
      <c r="G66" s="1" t="n">
        <v>1147</v>
      </c>
      <c r="H66" s="1">
        <f>F66*G66</f>
        <v/>
      </c>
      <c r="I66" s="1" t="n">
        <v>0.09</v>
      </c>
      <c r="J66" s="1">
        <f>ROUND(H66*I66,2)</f>
        <v/>
      </c>
      <c r="K66" s="1" t="inlineStr">
        <is>
          <t>2026-07</t>
        </is>
      </c>
      <c r="L66" s="1" t="n">
        <v>4438.89</v>
      </c>
      <c r="M66" s="1" t="inlineStr">
        <is>
          <t>4030</t>
        </is>
      </c>
      <c r="N66" s="1" t="inlineStr">
        <is>
          <t>Paid</t>
        </is>
      </c>
      <c r="O66" s="1" t="inlineStr">
        <is>
          <t>PO-UVP-3414</t>
        </is>
      </c>
    </row>
    <row r="67">
      <c r="A67" s="1" t="inlineStr">
        <is>
          <t>INV-2026-60066</t>
        </is>
      </c>
      <c r="B67" s="2" t="n">
        <v>46141</v>
      </c>
      <c r="C67" s="1" t="inlineStr">
        <is>
          <t>Bellweather Auto Group</t>
        </is>
      </c>
      <c r="D67" s="1" t="inlineStr">
        <is>
          <t>BWA-MSA-2022-67</t>
        </is>
      </c>
      <c r="E67" s="1" t="inlineStr">
        <is>
          <t>Telemetry retention tier, extended</t>
        </is>
      </c>
      <c r="F67" s="1" t="n">
        <v>2</v>
      </c>
      <c r="G67" s="1" t="n">
        <v>24500</v>
      </c>
      <c r="H67" s="1">
        <f>F67*G67</f>
        <v/>
      </c>
      <c r="I67" s="1" t="n">
        <v>0</v>
      </c>
      <c r="J67" s="1">
        <f>ROUND(H67*I67,2)</f>
        <v/>
      </c>
      <c r="K67" s="1" t="inlineStr">
        <is>
          <t>2026-05</t>
        </is>
      </c>
      <c r="L67" s="1" t="n">
        <v>40670</v>
      </c>
      <c r="M67" s="1" t="inlineStr">
        <is>
          <t>4020</t>
        </is>
      </c>
      <c r="N67" s="1" t="inlineStr">
        <is>
          <t>Paid</t>
        </is>
      </c>
      <c r="O67" s="1" t="inlineStr">
        <is>
          <t>PO-BWA-6046</t>
        </is>
      </c>
    </row>
    <row r="68">
      <c r="A68" s="1" t="inlineStr">
        <is>
          <t>INV-2026-60067</t>
        </is>
      </c>
      <c r="B68" s="2" t="n">
        <v>46171</v>
      </c>
      <c r="C68" s="1" t="inlineStr">
        <is>
          <t>Yarrow Home Goods</t>
        </is>
      </c>
      <c r="D68" s="1" t="inlineStr">
        <is>
          <t>YHG-MSA-2025-37</t>
        </is>
      </c>
      <c r="E68" s="1" t="inlineStr">
        <is>
          <t>Premium support and spares pool</t>
        </is>
      </c>
      <c r="F68" s="1" t="n">
        <v>4</v>
      </c>
      <c r="G68" s="1" t="n">
        <v>57300</v>
      </c>
      <c r="H68" s="1">
        <f>F68*G68</f>
        <v/>
      </c>
      <c r="I68" s="1" t="n">
        <v>0.07000000000000001</v>
      </c>
      <c r="J68" s="1">
        <f>ROUND(H68*I68,2)</f>
        <v/>
      </c>
      <c r="K68" s="1" t="inlineStr">
        <is>
          <t>2026-06</t>
        </is>
      </c>
      <c r="L68" s="1" t="n">
        <v>142104</v>
      </c>
      <c r="M68" s="1" t="inlineStr">
        <is>
          <t>4020</t>
        </is>
      </c>
      <c r="N68" s="1" t="inlineStr">
        <is>
          <t>Open</t>
        </is>
      </c>
      <c r="O68" s="1" t="inlineStr">
        <is>
          <t>PO-YHG-5639</t>
        </is>
      </c>
    </row>
    <row r="69">
      <c r="A69" s="1" t="inlineStr">
        <is>
          <t>INV-2026-60068</t>
        </is>
      </c>
      <c r="B69" s="2" t="n">
        <v>46178</v>
      </c>
      <c r="C69" s="1" t="inlineStr">
        <is>
          <t>Meridian Dynamics</t>
        </is>
      </c>
      <c r="D69" s="1" t="inlineStr">
        <is>
          <t>MDY-MSA-2025-43</t>
        </is>
      </c>
      <c r="E69" s="1" t="inlineStr">
        <is>
          <t>Safety scanner retrofit kit</t>
        </is>
      </c>
      <c r="F69" s="1" t="n">
        <v>4</v>
      </c>
      <c r="G69" s="1" t="n">
        <v>5850</v>
      </c>
      <c r="H69" s="1">
        <f>F69*G69</f>
        <v/>
      </c>
      <c r="I69" s="1" t="n">
        <v>0.065</v>
      </c>
      <c r="J69" s="1">
        <f>ROUND(H69*I69,2)</f>
        <v/>
      </c>
      <c r="K69" s="1" t="inlineStr">
        <is>
          <t>2026-07</t>
        </is>
      </c>
      <c r="L69" s="1" t="n">
        <v>0</v>
      </c>
      <c r="M69" s="1" t="inlineStr">
        <is>
          <t>4010</t>
        </is>
      </c>
      <c r="N69" s="1" t="inlineStr">
        <is>
          <t>Disputed</t>
        </is>
      </c>
      <c r="O69" s="1" t="inlineStr">
        <is>
          <t>PO-MDY-4120</t>
        </is>
      </c>
    </row>
    <row r="70">
      <c r="A70" s="1" t="inlineStr">
        <is>
          <t>INV-2026-60069</t>
        </is>
      </c>
      <c r="B70" s="2" t="n">
        <v>46115</v>
      </c>
      <c r="C70" s="1" t="inlineStr">
        <is>
          <t>Ironvale Grocery Group</t>
        </is>
      </c>
      <c r="D70" s="1" t="inlineStr">
        <is>
          <t>IVG-MSA-2022-36</t>
        </is>
      </c>
      <c r="E70" s="1" t="inlineStr">
        <is>
          <t>Remote operations desk coverage</t>
        </is>
      </c>
      <c r="F70" s="1" t="n">
        <v>2</v>
      </c>
      <c r="G70" s="1" t="n">
        <v>12100</v>
      </c>
      <c r="H70" s="1">
        <f>F70*G70</f>
        <v/>
      </c>
      <c r="I70" s="1" t="n">
        <v>0.0825</v>
      </c>
      <c r="J70" s="1">
        <f>ROUND(H70*I70,2)</f>
        <v/>
      </c>
      <c r="K70" s="1" t="inlineStr">
        <is>
          <t>2026-05</t>
        </is>
      </c>
      <c r="L70" s="1" t="n">
        <v>19118</v>
      </c>
      <c r="M70" s="1" t="inlineStr">
        <is>
          <t>4020</t>
        </is>
      </c>
      <c r="N70" s="1" t="inlineStr">
        <is>
          <t>Written off</t>
        </is>
      </c>
      <c r="O70" s="1" t="inlineStr">
        <is>
          <t>PO-IVG-4843</t>
        </is>
      </c>
    </row>
    <row r="71">
      <c r="A71" s="1" t="inlineStr">
        <is>
          <t>INV-2026-60070</t>
        </is>
      </c>
      <c r="B71" s="2" t="n">
        <v>46171</v>
      </c>
      <c r="C71" s="1" t="inlineStr">
        <is>
          <t>Orchard Grove Foods</t>
        </is>
      </c>
      <c r="D71" s="1" t="inlineStr">
        <is>
          <t>OGF-MSA-2022-68</t>
        </is>
      </c>
      <c r="E71" s="1" t="inlineStr">
        <is>
          <t>Fleet orchestration expansion pack, per robot</t>
        </is>
      </c>
      <c r="F71" s="1" t="n">
        <v>124</v>
      </c>
      <c r="G71" s="1" t="n">
        <v>1953</v>
      </c>
      <c r="H71" s="1">
        <f>F71*G71</f>
        <v/>
      </c>
      <c r="I71" s="1" t="n">
        <v>0.09</v>
      </c>
      <c r="J71" s="1">
        <f>ROUND(H71*I71,2)</f>
        <v/>
      </c>
      <c r="K71" s="1" t="inlineStr">
        <is>
          <t>2026-06</t>
        </is>
      </c>
      <c r="L71" s="1" t="n">
        <v>171942.12</v>
      </c>
      <c r="M71" s="1" t="inlineStr">
        <is>
          <t>4020</t>
        </is>
      </c>
      <c r="N71" s="1" t="inlineStr">
        <is>
          <t>Credit issued</t>
        </is>
      </c>
      <c r="O71" s="1" t="inlineStr">
        <is>
          <t>PO-OGF-7602</t>
        </is>
      </c>
    </row>
    <row r="72">
      <c r="A72" s="1" t="inlineStr">
        <is>
          <t>INV-2026-60071</t>
        </is>
      </c>
      <c r="B72" s="2" t="n">
        <v>46203</v>
      </c>
      <c r="C72" s="1" t="inlineStr">
        <is>
          <t>Evergreen Warehousing</t>
        </is>
      </c>
      <c r="D72" s="1" t="inlineStr">
        <is>
          <t>EVW-MSA-2024-72</t>
        </is>
      </c>
      <c r="E72" s="1" t="inlineStr">
        <is>
          <t>Remote operations desk coverage</t>
        </is>
      </c>
      <c r="F72" s="1" t="n">
        <v>2</v>
      </c>
      <c r="G72" s="1" t="n">
        <v>12600</v>
      </c>
      <c r="H72" s="1">
        <f>F72*G72</f>
        <v/>
      </c>
      <c r="I72" s="1" t="n">
        <v>0.06</v>
      </c>
      <c r="J72" s="1">
        <f>ROUND(H72*I72,2)</f>
        <v/>
      </c>
      <c r="K72" s="1" t="inlineStr">
        <is>
          <t>2026-07</t>
        </is>
      </c>
      <c r="L72" s="1" t="n">
        <v>15876</v>
      </c>
      <c r="M72" s="1" t="inlineStr">
        <is>
          <t>4020</t>
        </is>
      </c>
      <c r="N72" s="1" t="inlineStr">
        <is>
          <t>Open</t>
        </is>
      </c>
      <c r="O72" s="1" t="inlineStr">
        <is>
          <t>PO-EVW-8421</t>
        </is>
      </c>
    </row>
    <row r="73">
      <c r="A73" s="1" t="inlineStr">
        <is>
          <t>INV-2026-60072</t>
        </is>
      </c>
      <c r="B73" s="2" t="n">
        <v>46115</v>
      </c>
      <c r="C73" s="1" t="inlineStr">
        <is>
          <t>Fathom Mobility</t>
        </is>
      </c>
      <c r="D73" s="1" t="inlineStr">
        <is>
          <t>FTM-MSA-2023-84</t>
        </is>
      </c>
      <c r="E73" s="1" t="inlineStr">
        <is>
          <t>Telemetry retention tier, extended</t>
        </is>
      </c>
      <c r="F73" s="1" t="n">
        <v>1</v>
      </c>
      <c r="G73" s="1" t="n">
        <v>24250</v>
      </c>
      <c r="H73" s="1">
        <f>F73*G73</f>
        <v/>
      </c>
      <c r="I73" s="1" t="n">
        <v>0.06</v>
      </c>
      <c r="J73" s="1">
        <f>ROUND(H73*I73,2)</f>
        <v/>
      </c>
      <c r="K73" s="1" t="inlineStr">
        <is>
          <t>2026-05</t>
        </is>
      </c>
      <c r="L73" s="1" t="n">
        <v>15762.5</v>
      </c>
      <c r="M73" s="1" t="inlineStr">
        <is>
          <t>4020</t>
        </is>
      </c>
      <c r="N73" s="1" t="inlineStr">
        <is>
          <t>Written off</t>
        </is>
      </c>
      <c r="O73" s="1" t="inlineStr">
        <is>
          <t>PO-FTM-8669</t>
        </is>
      </c>
    </row>
    <row r="74">
      <c r="A74" s="1" t="inlineStr">
        <is>
          <t>INV-2026-60073</t>
        </is>
      </c>
      <c r="B74" s="2" t="n">
        <v>46171</v>
      </c>
      <c r="C74" s="1" t="inlineStr">
        <is>
          <t>Calder Marine Supply</t>
        </is>
      </c>
      <c r="D74" s="1" t="inlineStr">
        <is>
          <t>CMS-MSA-2025-57</t>
        </is>
      </c>
      <c r="E74" s="1" t="inlineStr">
        <is>
          <t>Telemetry retention tier, extended</t>
        </is>
      </c>
      <c r="F74" s="1" t="n">
        <v>4</v>
      </c>
      <c r="G74" s="1" t="n">
        <v>22300</v>
      </c>
      <c r="H74" s="1">
        <f>F74*G74</f>
        <v/>
      </c>
      <c r="I74" s="1" t="n">
        <v>0.07000000000000001</v>
      </c>
      <c r="J74" s="1">
        <f>ROUND(H74*I74,2)</f>
        <v/>
      </c>
      <c r="K74" s="1" t="inlineStr">
        <is>
          <t>2026-06</t>
        </is>
      </c>
      <c r="L74" s="1" t="n">
        <v>68684</v>
      </c>
      <c r="M74" s="1" t="inlineStr">
        <is>
          <t>4020</t>
        </is>
      </c>
      <c r="N74" s="1" t="inlineStr">
        <is>
          <t>Paid</t>
        </is>
      </c>
      <c r="O74" s="1" t="inlineStr">
        <is>
          <t>PO-CMS-7762</t>
        </is>
      </c>
    </row>
    <row r="75">
      <c r="A75" s="1" t="inlineStr">
        <is>
          <t>INV-2026-60074</t>
        </is>
      </c>
      <c r="B75" s="2" t="n">
        <v>46203</v>
      </c>
      <c r="C75" s="1" t="inlineStr">
        <is>
          <t>Alderbrook Textiles</t>
        </is>
      </c>
      <c r="D75" s="1" t="inlineStr">
        <is>
          <t>ABT-MSA-2024-53</t>
        </is>
      </c>
      <c r="E75" s="1" t="inlineStr">
        <is>
          <t>Safety scanner retrofit kit</t>
        </is>
      </c>
      <c r="F75" s="1" t="n">
        <v>4</v>
      </c>
      <c r="G75" s="1" t="n">
        <v>7000</v>
      </c>
      <c r="H75" s="1">
        <f>F75*G75</f>
        <v/>
      </c>
      <c r="I75" s="1" t="n">
        <v>0.065</v>
      </c>
      <c r="J75" s="1">
        <f>ROUND(H75*I75,2)</f>
        <v/>
      </c>
      <c r="K75" s="1" t="inlineStr">
        <is>
          <t>2026-07</t>
        </is>
      </c>
      <c r="L75" s="1" t="n">
        <v>0</v>
      </c>
      <c r="M75" s="1" t="inlineStr">
        <is>
          <t>4010</t>
        </is>
      </c>
      <c r="N75" s="1" t="inlineStr">
        <is>
          <t>Written off</t>
        </is>
      </c>
      <c r="O75" s="1" t="inlineStr">
        <is>
          <t>PO-ABT-4397</t>
        </is>
      </c>
    </row>
    <row r="76">
      <c r="A76" s="1" t="inlineStr">
        <is>
          <t>INV-2026-60075</t>
        </is>
      </c>
      <c r="B76" s="2" t="n">
        <v>46136</v>
      </c>
      <c r="C76" s="1" t="inlineStr">
        <is>
          <t>Ironvale Grocery Group</t>
        </is>
      </c>
      <c r="D76" s="1" t="inlineStr">
        <is>
          <t>IVG-MSA-2024-83</t>
        </is>
      </c>
      <c r="E76" s="1" t="inlineStr">
        <is>
          <t>Operator training programme</t>
        </is>
      </c>
      <c r="F76" s="1" t="n">
        <v>3</v>
      </c>
      <c r="G76" s="1" t="n">
        <v>3950</v>
      </c>
      <c r="H76" s="1">
        <f>F76*G76</f>
        <v/>
      </c>
      <c r="I76" s="1" t="n">
        <v>0.065</v>
      </c>
      <c r="J76" s="1">
        <f>ROUND(H76*I76,2)</f>
        <v/>
      </c>
      <c r="K76" s="1" t="inlineStr">
        <is>
          <t>2026-05</t>
        </is>
      </c>
      <c r="L76" s="1" t="n">
        <v>1422</v>
      </c>
      <c r="M76" s="1" t="inlineStr">
        <is>
          <t>4030</t>
        </is>
      </c>
      <c r="N76" s="1" t="inlineStr">
        <is>
          <t>Paid</t>
        </is>
      </c>
      <c r="O76" s="1" t="inlineStr">
        <is>
          <t>PO-IVG-7996</t>
        </is>
      </c>
    </row>
    <row r="77">
      <c r="A77" s="1" t="inlineStr">
        <is>
          <t>INV-2026-60076</t>
        </is>
      </c>
      <c r="B77" s="2" t="n">
        <v>46171</v>
      </c>
      <c r="C77" s="1" t="inlineStr">
        <is>
          <t>Dunbar Industrial</t>
        </is>
      </c>
      <c r="D77" s="1" t="inlineStr">
        <is>
          <t>DBI-MSA-2023-56</t>
        </is>
      </c>
      <c r="E77" s="1" t="inlineStr">
        <is>
          <t>Autonomous mobile robot, 450 kg payload</t>
        </is>
      </c>
      <c r="F77" s="1" t="n">
        <v>3</v>
      </c>
      <c r="G77" s="1" t="n">
        <v>67000</v>
      </c>
      <c r="H77" s="1">
        <f>F77*G77</f>
        <v/>
      </c>
      <c r="I77" s="1" t="n">
        <v>0.0825</v>
      </c>
      <c r="J77" s="1">
        <f>ROUND(H77*I77,2)</f>
        <v/>
      </c>
      <c r="K77" s="1" t="inlineStr">
        <is>
          <t>2026-06</t>
        </is>
      </c>
      <c r="L77" s="1" t="n">
        <v>0</v>
      </c>
      <c r="M77" s="1" t="inlineStr">
        <is>
          <t>4010</t>
        </is>
      </c>
      <c r="N77" s="1" t="inlineStr">
        <is>
          <t>Paid</t>
        </is>
      </c>
      <c r="O77" s="1" t="inlineStr">
        <is>
          <t>PO-DBI-4424</t>
        </is>
      </c>
    </row>
    <row r="78">
      <c r="A78" s="1" t="inlineStr">
        <is>
          <t>INV-2026-60077</t>
        </is>
      </c>
      <c r="B78" s="2" t="n">
        <v>46196</v>
      </c>
      <c r="C78" s="1" t="inlineStr">
        <is>
          <t>Dunbar Industrial</t>
        </is>
      </c>
      <c r="D78" s="1" t="inlineStr">
        <is>
          <t>DBI-MSA-2024-45</t>
        </is>
      </c>
      <c r="E78" s="1" t="inlineStr">
        <is>
          <t>Telemetry retention tier, extended</t>
        </is>
      </c>
      <c r="F78" s="1" t="n">
        <v>2</v>
      </c>
      <c r="G78" s="1" t="n">
        <v>23600</v>
      </c>
      <c r="H78" s="1">
        <f>F78*G78</f>
        <v/>
      </c>
      <c r="I78" s="1" t="n">
        <v>0.09</v>
      </c>
      <c r="J78" s="1">
        <f>ROUND(H78*I78,2)</f>
        <v/>
      </c>
      <c r="K78" s="1" t="inlineStr">
        <is>
          <t>2026-07</t>
        </is>
      </c>
      <c r="L78" s="1" t="n">
        <v>37760</v>
      </c>
      <c r="M78" s="1" t="inlineStr">
        <is>
          <t>4020</t>
        </is>
      </c>
      <c r="N78" s="1" t="inlineStr">
        <is>
          <t>Written off</t>
        </is>
      </c>
      <c r="O78" s="1" t="inlineStr">
        <is>
          <t>PO-DBI-6473</t>
        </is>
      </c>
    </row>
    <row r="79">
      <c r="A79" s="1" t="inlineStr">
        <is>
          <t>INV-2026-60078</t>
        </is>
      </c>
      <c r="B79" s="2" t="n">
        <v>46129</v>
      </c>
      <c r="C79" s="1" t="inlineStr">
        <is>
          <t>Keystone Paper &amp; Pack</t>
        </is>
      </c>
      <c r="D79" s="1" t="inlineStr">
        <is>
          <t>KPP-MSA-2023-79</t>
        </is>
      </c>
      <c r="E79" s="1" t="inlineStr">
        <is>
          <t>Operator training programme</t>
        </is>
      </c>
      <c r="F79" s="1" t="n">
        <v>4</v>
      </c>
      <c r="G79" s="1" t="n">
        <v>4200</v>
      </c>
      <c r="H79" s="1">
        <f>F79*G79</f>
        <v/>
      </c>
      <c r="I79" s="1" t="n">
        <v>0</v>
      </c>
      <c r="J79" s="1">
        <f>ROUND(H79*I79,2)</f>
        <v/>
      </c>
      <c r="K79" s="1" t="inlineStr">
        <is>
          <t>2026-05</t>
        </is>
      </c>
      <c r="L79" s="1" t="n">
        <v>0</v>
      </c>
      <c r="M79" s="1" t="inlineStr">
        <is>
          <t>4030</t>
        </is>
      </c>
      <c r="N79" s="1" t="inlineStr">
        <is>
          <t>Paid</t>
        </is>
      </c>
      <c r="O79" s="1" t="inlineStr">
        <is>
          <t>PO-KPP-2639</t>
        </is>
      </c>
    </row>
    <row r="80">
      <c r="A80" s="1" t="inlineStr">
        <is>
          <t>INV-2026-60079</t>
        </is>
      </c>
      <c r="B80" s="2" t="n">
        <v>46171</v>
      </c>
      <c r="C80" s="1" t="inlineStr">
        <is>
          <t>Blue Mesa Components</t>
        </is>
      </c>
      <c r="D80" s="1" t="inlineStr">
        <is>
          <t>BMC-MSA-2025-13</t>
        </is>
      </c>
      <c r="E80" s="1" t="inlineStr">
        <is>
          <t>Opportunity charging dock</t>
        </is>
      </c>
      <c r="F80" s="1" t="n">
        <v>14</v>
      </c>
      <c r="G80" s="1" t="n">
        <v>10900</v>
      </c>
      <c r="H80" s="1">
        <f>F80*G80</f>
        <v/>
      </c>
      <c r="I80" s="1" t="n">
        <v>0</v>
      </c>
      <c r="J80" s="1">
        <f>ROUND(H80*I80,2)</f>
        <v/>
      </c>
      <c r="K80" s="1" t="inlineStr">
        <is>
          <t>2026-06</t>
        </is>
      </c>
      <c r="L80" s="1" t="n">
        <v>0</v>
      </c>
      <c r="M80" s="1" t="inlineStr">
        <is>
          <t>4010</t>
        </is>
      </c>
      <c r="N80" s="1" t="inlineStr">
        <is>
          <t>Paid</t>
        </is>
      </c>
      <c r="O80" s="1" t="inlineStr">
        <is>
          <t>PO-BMC-6828</t>
        </is>
      </c>
    </row>
    <row r="81">
      <c r="A81" s="1" t="inlineStr">
        <is>
          <t>INV-2026-60080</t>
        </is>
      </c>
      <c r="B81" s="2" t="n">
        <v>46202</v>
      </c>
      <c r="C81" s="1" t="inlineStr">
        <is>
          <t>Ironvale Grocery Group</t>
        </is>
      </c>
      <c r="D81" s="1" t="inlineStr">
        <is>
          <t>IVG-MSA-2022-38</t>
        </is>
      </c>
      <c r="E81" s="1" t="inlineStr">
        <is>
          <t>Autonomous mobile robot, 220 kg payload</t>
        </is>
      </c>
      <c r="F81" s="1" t="n">
        <v>3</v>
      </c>
      <c r="G81" s="1" t="n">
        <v>40600</v>
      </c>
      <c r="H81" s="1">
        <f>F81*G81</f>
        <v/>
      </c>
      <c r="I81" s="1" t="n">
        <v>0.06</v>
      </c>
      <c r="J81" s="1">
        <f>ROUND(H81*I81,2)</f>
        <v/>
      </c>
      <c r="K81" s="1" t="inlineStr">
        <is>
          <t>2026-07</t>
        </is>
      </c>
      <c r="L81" s="1" t="n">
        <v>0</v>
      </c>
      <c r="M81" s="1" t="inlineStr">
        <is>
          <t>4010</t>
        </is>
      </c>
      <c r="N81" s="1" t="inlineStr">
        <is>
          <t>Open</t>
        </is>
      </c>
      <c r="O81" s="1" t="inlineStr">
        <is>
          <t>PO-IVG-2483</t>
        </is>
      </c>
    </row>
    <row r="82">
      <c r="A82" s="1" t="inlineStr">
        <is>
          <t>INV-2026-60081</t>
        </is>
      </c>
      <c r="B82" s="2" t="n">
        <v>46140</v>
      </c>
      <c r="C82" s="1" t="inlineStr">
        <is>
          <t>Summit Ridge Retail</t>
        </is>
      </c>
      <c r="D82" s="1" t="inlineStr">
        <is>
          <t>SRR-MSA-2024-78</t>
        </is>
      </c>
      <c r="E82" s="1" t="inlineStr">
        <is>
          <t>Premium support and spares pool</t>
        </is>
      </c>
      <c r="F82" s="1" t="n">
        <v>4</v>
      </c>
      <c r="G82" s="1" t="n">
        <v>57300</v>
      </c>
      <c r="H82" s="1">
        <f>F82*G82</f>
        <v/>
      </c>
      <c r="I82" s="1" t="n">
        <v>0.06</v>
      </c>
      <c r="J82" s="1">
        <f>ROUND(H82*I82,2)</f>
        <v/>
      </c>
      <c r="K82" s="1" t="inlineStr">
        <is>
          <t>2026-05</t>
        </is>
      </c>
      <c r="L82" s="1" t="n">
        <v>139812</v>
      </c>
      <c r="M82" s="1" t="inlineStr">
        <is>
          <t>4020</t>
        </is>
      </c>
      <c r="N82" s="1" t="inlineStr">
        <is>
          <t>Credit issued</t>
        </is>
      </c>
      <c r="O82" s="1" t="inlineStr">
        <is>
          <t>PO-SRR-2325</t>
        </is>
      </c>
    </row>
    <row r="83">
      <c r="A83" s="1" t="inlineStr">
        <is>
          <t>INV-2026-60082</t>
        </is>
      </c>
      <c r="B83" s="2" t="n">
        <v>46171</v>
      </c>
      <c r="C83" s="1" t="inlineStr">
        <is>
          <t>Union Vale Pharma</t>
        </is>
      </c>
      <c r="D83" s="1" t="inlineStr">
        <is>
          <t>UVP-MSA-2025-23</t>
        </is>
      </c>
      <c r="E83" s="1" t="inlineStr">
        <is>
          <t>Fleet orchestration platform, annual site licence</t>
        </is>
      </c>
      <c r="F83" s="1" t="n">
        <v>2</v>
      </c>
      <c r="G83" s="1" t="n">
        <v>95750</v>
      </c>
      <c r="H83" s="1">
        <f>F83*G83</f>
        <v/>
      </c>
      <c r="I83" s="1" t="n">
        <v>0.0825</v>
      </c>
      <c r="J83" s="1">
        <f>ROUND(H83*I83,2)</f>
        <v/>
      </c>
      <c r="K83" s="1" t="inlineStr">
        <is>
          <t>2026-06</t>
        </is>
      </c>
      <c r="L83" s="1" t="n">
        <v>135965</v>
      </c>
      <c r="M83" s="1" t="inlineStr">
        <is>
          <t>4020</t>
        </is>
      </c>
      <c r="N83" s="1" t="inlineStr">
        <is>
          <t>Open</t>
        </is>
      </c>
      <c r="O83" s="1" t="inlineStr">
        <is>
          <t>PO-UVP-1326</t>
        </is>
      </c>
    </row>
    <row r="84">
      <c r="A84" s="1" t="inlineStr">
        <is>
          <t>INV-2026-60083</t>
        </is>
      </c>
      <c r="B84" s="2" t="n">
        <v>46199</v>
      </c>
      <c r="C84" s="1" t="inlineStr">
        <is>
          <t>Keystone Paper &amp; Pack</t>
        </is>
      </c>
      <c r="D84" s="1" t="inlineStr">
        <is>
          <t>KPP-MSA-2024-74</t>
        </is>
      </c>
      <c r="E84" s="1" t="inlineStr">
        <is>
          <t>Opportunity charging dock</t>
        </is>
      </c>
      <c r="F84" s="1" t="n">
        <v>3</v>
      </c>
      <c r="G84" s="1" t="n">
        <v>11800</v>
      </c>
      <c r="H84" s="1">
        <f>F84*G84</f>
        <v/>
      </c>
      <c r="I84" s="1" t="n">
        <v>0.07000000000000001</v>
      </c>
      <c r="J84" s="1">
        <f>ROUND(H84*I84,2)</f>
        <v/>
      </c>
      <c r="K84" s="1" t="inlineStr">
        <is>
          <t>2026-07</t>
        </is>
      </c>
      <c r="L84" s="1" t="n">
        <v>0</v>
      </c>
      <c r="M84" s="1" t="inlineStr">
        <is>
          <t>4010</t>
        </is>
      </c>
      <c r="N84" s="1" t="inlineStr">
        <is>
          <t>Paid</t>
        </is>
      </c>
      <c r="O84" s="1" t="inlineStr">
        <is>
          <t>PO-KPP-6689</t>
        </is>
      </c>
    </row>
    <row r="85">
      <c r="A85" s="1" t="inlineStr">
        <is>
          <t>INV-2026-60084</t>
        </is>
      </c>
      <c r="B85" s="2" t="n">
        <v>46129</v>
      </c>
      <c r="C85" s="1" t="inlineStr">
        <is>
          <t>Blue Mesa Components</t>
        </is>
      </c>
      <c r="D85" s="1" t="inlineStr">
        <is>
          <t>BMC-MSA-2024-42</t>
        </is>
      </c>
      <c r="E85" s="1" t="inlineStr">
        <is>
          <t>Autonomous mobile robot, 450 kg payload</t>
        </is>
      </c>
      <c r="F85" s="1" t="n">
        <v>7</v>
      </c>
      <c r="G85" s="1" t="n">
        <v>68400</v>
      </c>
      <c r="H85" s="1">
        <f>F85*G85</f>
        <v/>
      </c>
      <c r="I85" s="1" t="n">
        <v>0.0825</v>
      </c>
      <c r="J85" s="1">
        <f>ROUND(H85*I85,2)</f>
        <v/>
      </c>
      <c r="K85" s="1" t="inlineStr">
        <is>
          <t>2026-05</t>
        </is>
      </c>
      <c r="L85" s="1" t="n">
        <v>0</v>
      </c>
      <c r="M85" s="1" t="inlineStr">
        <is>
          <t>4010</t>
        </is>
      </c>
      <c r="N85" s="1" t="inlineStr">
        <is>
          <t>Paid</t>
        </is>
      </c>
      <c r="O85" s="1" t="inlineStr">
        <is>
          <t>PO-BMC-8655</t>
        </is>
      </c>
    </row>
    <row r="86">
      <c r="A86" s="1" t="inlineStr">
        <is>
          <t>INV-2026-60085</t>
        </is>
      </c>
      <c r="B86" s="2" t="n">
        <v>46171</v>
      </c>
      <c r="C86" s="1" t="inlineStr">
        <is>
          <t>Yarrow Home Goods</t>
        </is>
      </c>
      <c r="D86" s="1" t="inlineStr">
        <is>
          <t>YHG-MSA-2023-23</t>
        </is>
      </c>
      <c r="E86" s="1" t="inlineStr">
        <is>
          <t>Opportunity charging dock</t>
        </is>
      </c>
      <c r="F86" s="1" t="n">
        <v>7</v>
      </c>
      <c r="G86" s="1" t="n">
        <v>11800</v>
      </c>
      <c r="H86" s="1">
        <f>F86*G86</f>
        <v/>
      </c>
      <c r="I86" s="1" t="n">
        <v>0</v>
      </c>
      <c r="J86" s="1">
        <f>ROUND(H86*I86,2)</f>
        <v/>
      </c>
      <c r="K86" s="1" t="inlineStr">
        <is>
          <t>2026-06</t>
        </is>
      </c>
      <c r="L86" s="1" t="n">
        <v>0</v>
      </c>
      <c r="M86" s="1" t="inlineStr">
        <is>
          <t>4010</t>
        </is>
      </c>
      <c r="N86" s="1" t="inlineStr">
        <is>
          <t>Credit issued</t>
        </is>
      </c>
      <c r="O86" s="1" t="inlineStr">
        <is>
          <t>PO-YHG-4025</t>
        </is>
      </c>
    </row>
    <row r="87">
      <c r="A87" s="1" t="inlineStr">
        <is>
          <t>INV-2026-60086</t>
        </is>
      </c>
      <c r="B87" s="2" t="n">
        <v>46190</v>
      </c>
      <c r="C87" s="1" t="inlineStr">
        <is>
          <t>Juniper Health Supply</t>
        </is>
      </c>
      <c r="D87" s="1" t="inlineStr">
        <is>
          <t>JHS-MSA-2023-29</t>
        </is>
      </c>
      <c r="E87" s="1" t="inlineStr">
        <is>
          <t>Autonomous mobile robot, 450 kg payload</t>
        </is>
      </c>
      <c r="F87" s="1" t="n">
        <v>11</v>
      </c>
      <c r="G87" s="1" t="n">
        <v>66200</v>
      </c>
      <c r="H87" s="1">
        <f>F87*G87</f>
        <v/>
      </c>
      <c r="I87" s="1" t="n">
        <v>0.065</v>
      </c>
      <c r="J87" s="1">
        <f>ROUND(H87*I87,2)</f>
        <v/>
      </c>
      <c r="K87" s="1" t="inlineStr">
        <is>
          <t>2026-07</t>
        </is>
      </c>
      <c r="L87" s="1" t="n">
        <v>0</v>
      </c>
      <c r="M87" s="1" t="inlineStr">
        <is>
          <t>4010</t>
        </is>
      </c>
      <c r="N87" s="1" t="inlineStr">
        <is>
          <t>Paid</t>
        </is>
      </c>
      <c r="O87" s="1" t="inlineStr">
        <is>
          <t>PO-JHS-8464</t>
        </is>
      </c>
    </row>
    <row r="88">
      <c r="A88" s="1" t="inlineStr">
        <is>
          <t>INV-2026-60087</t>
        </is>
      </c>
      <c r="B88" s="2" t="n">
        <v>46142</v>
      </c>
      <c r="C88" s="1" t="inlineStr">
        <is>
          <t>Harborline Systems</t>
        </is>
      </c>
      <c r="D88" s="1" t="inlineStr">
        <is>
          <t>HLS-MSA-2023-74</t>
        </is>
      </c>
      <c r="E88" s="1" t="inlineStr">
        <is>
          <t>Premium support and spares pool</t>
        </is>
      </c>
      <c r="F88" s="1" t="n">
        <v>4</v>
      </c>
      <c r="G88" s="1" t="n">
        <v>57300</v>
      </c>
      <c r="H88" s="1">
        <f>F88*G88</f>
        <v/>
      </c>
      <c r="I88" s="1" t="n">
        <v>0</v>
      </c>
      <c r="J88" s="1">
        <f>ROUND(H88*I88,2)</f>
        <v/>
      </c>
      <c r="K88" s="1" t="inlineStr">
        <is>
          <t>2026-05</t>
        </is>
      </c>
      <c r="L88" s="1" t="n">
        <v>146688</v>
      </c>
      <c r="M88" s="1" t="inlineStr">
        <is>
          <t>4020</t>
        </is>
      </c>
      <c r="N88" s="1" t="inlineStr">
        <is>
          <t>Paid</t>
        </is>
      </c>
      <c r="O88" s="1" t="inlineStr">
        <is>
          <t>PO-HLS-2161</t>
        </is>
      </c>
    </row>
    <row r="89">
      <c r="A89" s="1" t="inlineStr">
        <is>
          <t>INV-2026-60088</t>
        </is>
      </c>
      <c r="B89" s="2" t="n">
        <v>46171</v>
      </c>
      <c r="C89" s="1" t="inlineStr">
        <is>
          <t>Dorsey Grain Cooperative</t>
        </is>
      </c>
      <c r="D89" s="1" t="inlineStr">
        <is>
          <t>DGC-MSA-2025-11</t>
        </is>
      </c>
      <c r="E89" s="1" t="inlineStr">
        <is>
          <t>Safety scanner retrofit kit</t>
        </is>
      </c>
      <c r="F89" s="1" t="n">
        <v>2</v>
      </c>
      <c r="G89" s="1" t="n">
        <v>7250</v>
      </c>
      <c r="H89" s="1">
        <f>F89*G89</f>
        <v/>
      </c>
      <c r="I89" s="1" t="n">
        <v>0</v>
      </c>
      <c r="J89" s="1">
        <f>ROUND(H89*I89,2)</f>
        <v/>
      </c>
      <c r="K89" s="1" t="inlineStr">
        <is>
          <t>2026-06</t>
        </is>
      </c>
      <c r="L89" s="1" t="n">
        <v>0</v>
      </c>
      <c r="M89" s="1" t="inlineStr">
        <is>
          <t>4010</t>
        </is>
      </c>
      <c r="N89" s="1" t="inlineStr">
        <is>
          <t>Paid</t>
        </is>
      </c>
      <c r="O89" s="1" t="inlineStr">
        <is>
          <t>PO-DGC-7913</t>
        </is>
      </c>
    </row>
    <row r="90">
      <c r="A90" s="1" t="inlineStr">
        <is>
          <t>INV-2026-60089</t>
        </is>
      </c>
      <c r="B90" s="2" t="n">
        <v>46203</v>
      </c>
      <c r="C90" s="1" t="inlineStr">
        <is>
          <t>Granite Peak Distribution</t>
        </is>
      </c>
      <c r="D90" s="1" t="inlineStr">
        <is>
          <t>GPD-MSA-2024-29</t>
        </is>
      </c>
      <c r="E90" s="1" t="inlineStr">
        <is>
          <t>Remote operations desk coverage</t>
        </is>
      </c>
      <c r="F90" s="1" t="n">
        <v>3</v>
      </c>
      <c r="G90" s="1" t="n">
        <v>12600</v>
      </c>
      <c r="H90" s="1">
        <f>F90*G90</f>
        <v/>
      </c>
      <c r="I90" s="1" t="n">
        <v>0.09</v>
      </c>
      <c r="J90" s="1">
        <f>ROUND(H90*I90,2)</f>
        <v/>
      </c>
      <c r="K90" s="1" t="inlineStr">
        <is>
          <t>2026-07</t>
        </is>
      </c>
      <c r="L90" s="1" t="n">
        <v>31374</v>
      </c>
      <c r="M90" s="1" t="inlineStr">
        <is>
          <t>4020</t>
        </is>
      </c>
      <c r="N90" s="1" t="inlineStr">
        <is>
          <t>Disputed</t>
        </is>
      </c>
      <c r="O90" s="1" t="inlineStr">
        <is>
          <t>PO-GPD-2230</t>
        </is>
      </c>
    </row>
    <row r="91">
      <c r="A91" s="1" t="inlineStr">
        <is>
          <t>INV-2026-60090</t>
        </is>
      </c>
      <c r="B91" s="2" t="n">
        <v>46129</v>
      </c>
      <c r="C91" s="1" t="inlineStr">
        <is>
          <t>Blue Mesa Components</t>
        </is>
      </c>
      <c r="D91" s="1" t="inlineStr">
        <is>
          <t>BMC-MSA-2023-16</t>
        </is>
      </c>
      <c r="E91" s="1" t="inlineStr">
        <is>
          <t>Deployment and commissioning services</t>
        </is>
      </c>
      <c r="F91" s="1" t="n">
        <v>40</v>
      </c>
      <c r="G91" s="1" t="n">
        <v>1350</v>
      </c>
      <c r="H91" s="1">
        <f>F91*G91</f>
        <v/>
      </c>
      <c r="I91" s="1" t="n">
        <v>0.09</v>
      </c>
      <c r="J91" s="1">
        <f>ROUND(H91*I91,2)</f>
        <v/>
      </c>
      <c r="K91" s="1" t="inlineStr">
        <is>
          <t>2026-05</t>
        </is>
      </c>
      <c r="L91" s="1" t="n">
        <v>8640</v>
      </c>
      <c r="M91" s="1" t="inlineStr">
        <is>
          <t>4030</t>
        </is>
      </c>
      <c r="N91" s="1" t="inlineStr">
        <is>
          <t>Credit issued</t>
        </is>
      </c>
      <c r="O91" s="1" t="inlineStr">
        <is>
          <t>PO-BMC-1052</t>
        </is>
      </c>
    </row>
    <row r="92">
      <c r="A92" s="1" t="inlineStr">
        <is>
          <t>INV-2026-60091</t>
        </is>
      </c>
      <c r="B92" s="2" t="n">
        <v>46171</v>
      </c>
      <c r="C92" s="1" t="inlineStr">
        <is>
          <t>Fathom Mobility</t>
        </is>
      </c>
      <c r="D92" s="1" t="inlineStr">
        <is>
          <t>FTM-MSA-2023-56</t>
        </is>
      </c>
      <c r="E92" s="1" t="inlineStr">
        <is>
          <t>Premium support and spares pool</t>
        </is>
      </c>
      <c r="F92" s="1" t="n">
        <v>3</v>
      </c>
      <c r="G92" s="1" t="n">
        <v>57050</v>
      </c>
      <c r="H92" s="1">
        <f>F92*G92</f>
        <v/>
      </c>
      <c r="I92" s="1" t="n">
        <v>0.09</v>
      </c>
      <c r="J92" s="1">
        <f>ROUND(H92*I92,2)</f>
        <v/>
      </c>
      <c r="K92" s="1" t="inlineStr">
        <is>
          <t>2026-06</t>
        </is>
      </c>
      <c r="L92" s="1" t="n">
        <v>124939.5</v>
      </c>
      <c r="M92" s="1" t="inlineStr">
        <is>
          <t>4020</t>
        </is>
      </c>
      <c r="N92" s="1" t="inlineStr">
        <is>
          <t>Credit issued</t>
        </is>
      </c>
      <c r="O92" s="1" t="inlineStr">
        <is>
          <t>PO-FTM-5395</t>
        </is>
      </c>
    </row>
    <row r="93">
      <c r="A93" s="1" t="inlineStr">
        <is>
          <t>INV-2026-60092</t>
        </is>
      </c>
      <c r="B93" s="2" t="n">
        <v>46202</v>
      </c>
      <c r="C93" s="1" t="inlineStr">
        <is>
          <t>Meridian Dynamics</t>
        </is>
      </c>
      <c r="D93" s="1" t="inlineStr">
        <is>
          <t>MDY-MSA-2025-48</t>
        </is>
      </c>
      <c r="E93" s="1" t="inlineStr">
        <is>
          <t>Fleet orchestration expansion pack, per robot</t>
        </is>
      </c>
      <c r="F93" s="1" t="n">
        <v>149</v>
      </c>
      <c r="G93" s="1" t="n">
        <v>3150</v>
      </c>
      <c r="H93" s="1">
        <f>F93*G93</f>
        <v/>
      </c>
      <c r="I93" s="1" t="n">
        <v>0.0825</v>
      </c>
      <c r="J93" s="1">
        <f>ROUND(H93*I93,2)</f>
        <v/>
      </c>
      <c r="K93" s="1" t="inlineStr">
        <is>
          <t>2026-07</t>
        </is>
      </c>
      <c r="L93" s="1" t="n">
        <v>281610</v>
      </c>
      <c r="M93" s="1" t="inlineStr">
        <is>
          <t>4020</t>
        </is>
      </c>
      <c r="N93" s="1" t="inlineStr">
        <is>
          <t>Credit issued</t>
        </is>
      </c>
      <c r="O93" s="1" t="inlineStr">
        <is>
          <t>PO-MDY-5458</t>
        </is>
      </c>
    </row>
    <row r="94">
      <c r="A94" s="1" t="inlineStr">
        <is>
          <t>INV-2026-60093</t>
        </is>
      </c>
      <c r="B94" s="2" t="n">
        <v>46142</v>
      </c>
      <c r="C94" s="1" t="inlineStr">
        <is>
          <t>Orchard Grove Foods</t>
        </is>
      </c>
      <c r="D94" s="1" t="inlineStr">
        <is>
          <t>OGF-MSA-2025-40</t>
        </is>
      </c>
      <c r="E94" s="1" t="inlineStr">
        <is>
          <t>Telemetry retention tier, extended</t>
        </is>
      </c>
      <c r="F94" s="1" t="n">
        <v>2</v>
      </c>
      <c r="G94" s="1" t="n">
        <v>23600</v>
      </c>
      <c r="H94" s="1">
        <f>F94*G94</f>
        <v/>
      </c>
      <c r="I94" s="1" t="n">
        <v>0.09</v>
      </c>
      <c r="J94" s="1">
        <f>ROUND(H94*I94,2)</f>
        <v/>
      </c>
      <c r="K94" s="1" t="inlineStr">
        <is>
          <t>2026-05</t>
        </is>
      </c>
      <c r="L94" s="1" t="n">
        <v>36344</v>
      </c>
      <c r="M94" s="1" t="inlineStr">
        <is>
          <t>4020</t>
        </is>
      </c>
      <c r="N94" s="1" t="inlineStr">
        <is>
          <t>Paid</t>
        </is>
      </c>
      <c r="O94" s="1" t="inlineStr">
        <is>
          <t>PO-OGF-2249</t>
        </is>
      </c>
    </row>
    <row r="95">
      <c r="A95" s="1" t="inlineStr">
        <is>
          <t>INV-2026-60094</t>
        </is>
      </c>
      <c r="B95" s="2" t="n">
        <v>46143</v>
      </c>
      <c r="C95" s="1" t="inlineStr">
        <is>
          <t>Juniper Health Supply</t>
        </is>
      </c>
      <c r="D95" s="1" t="inlineStr">
        <is>
          <t>JHS-MSA-2023-40</t>
        </is>
      </c>
      <c r="E95" s="1" t="inlineStr">
        <is>
          <t>Operator training programme</t>
        </is>
      </c>
      <c r="F95" s="1" t="n">
        <v>1</v>
      </c>
      <c r="G95" s="1" t="n">
        <v>3700</v>
      </c>
      <c r="H95" s="1">
        <f>F95*G95</f>
        <v/>
      </c>
      <c r="I95" s="1" t="n">
        <v>0.065</v>
      </c>
      <c r="J95" s="1">
        <f>ROUND(H95*I95,2)</f>
        <v/>
      </c>
      <c r="K95" s="1" t="inlineStr">
        <is>
          <t>2026-06</t>
        </is>
      </c>
      <c r="L95" s="1" t="n">
        <v>629</v>
      </c>
      <c r="M95" s="1" t="inlineStr">
        <is>
          <t>4030</t>
        </is>
      </c>
      <c r="N95" s="1" t="inlineStr">
        <is>
          <t>Paid</t>
        </is>
      </c>
      <c r="O95" s="1" t="inlineStr">
        <is>
          <t>PO-JHS-3658</t>
        </is>
      </c>
    </row>
    <row r="96">
      <c r="A96" s="1" t="inlineStr">
        <is>
          <t>INV-2026-60095</t>
        </is>
      </c>
      <c r="B96" s="2" t="n">
        <v>46174</v>
      </c>
      <c r="C96" s="1" t="inlineStr">
        <is>
          <t>Elmsworth Publishing</t>
        </is>
      </c>
      <c r="D96" s="1" t="inlineStr">
        <is>
          <t>EWP-MSA-2022-71</t>
        </is>
      </c>
      <c r="E96" s="1" t="inlineStr">
        <is>
          <t>Operator training programme</t>
        </is>
      </c>
      <c r="F96" s="1" t="n">
        <v>2</v>
      </c>
      <c r="G96" s="1" t="n">
        <v>4200</v>
      </c>
      <c r="H96" s="1">
        <f>F96*G96</f>
        <v/>
      </c>
      <c r="I96" s="1" t="n">
        <v>0.06</v>
      </c>
      <c r="J96" s="1">
        <f>ROUND(H96*I96,2)</f>
        <v/>
      </c>
      <c r="K96" s="1" t="inlineStr">
        <is>
          <t>2026-07</t>
        </is>
      </c>
      <c r="L96" s="1" t="n">
        <v>84</v>
      </c>
      <c r="M96" s="1" t="inlineStr">
        <is>
          <t>4030</t>
        </is>
      </c>
      <c r="N96" s="1" t="inlineStr">
        <is>
          <t>Open</t>
        </is>
      </c>
      <c r="O96" s="1" t="inlineStr">
        <is>
          <t>PO-EWP-6466</t>
        </is>
      </c>
    </row>
    <row r="97">
      <c r="A97" s="1" t="inlineStr">
        <is>
          <t>INV-2026-60096</t>
        </is>
      </c>
      <c r="B97" s="2" t="n">
        <v>46140</v>
      </c>
      <c r="C97" s="1" t="inlineStr">
        <is>
          <t>Asterion Logistics</t>
        </is>
      </c>
      <c r="D97" s="1" t="inlineStr">
        <is>
          <t>AST-MSA-2023-23</t>
        </is>
      </c>
      <c r="E97" s="1" t="inlineStr">
        <is>
          <t>Telemetry retention tier, extended</t>
        </is>
      </c>
      <c r="F97" s="1" t="n">
        <v>3</v>
      </c>
      <c r="G97" s="1" t="n">
        <v>23100</v>
      </c>
      <c r="H97" s="1">
        <f>F97*G97</f>
        <v/>
      </c>
      <c r="I97" s="1" t="n">
        <v>0.065</v>
      </c>
      <c r="J97" s="1">
        <f>ROUND(H97*I97,2)</f>
        <v/>
      </c>
      <c r="K97" s="1" t="inlineStr">
        <is>
          <t>2026-05</t>
        </is>
      </c>
      <c r="L97" s="1" t="n">
        <v>49203</v>
      </c>
      <c r="M97" s="1" t="inlineStr">
        <is>
          <t>4020</t>
        </is>
      </c>
      <c r="N97" s="1" t="inlineStr">
        <is>
          <t>Disputed</t>
        </is>
      </c>
      <c r="O97" s="1" t="inlineStr">
        <is>
          <t>PO-AST-6639</t>
        </is>
      </c>
    </row>
    <row r="98">
      <c r="A98" s="1" t="inlineStr">
        <is>
          <t>INV-2026-60097</t>
        </is>
      </c>
      <c r="B98" s="2" t="n">
        <v>46171</v>
      </c>
      <c r="C98" s="1" t="inlineStr">
        <is>
          <t>Vantage Robotics Supply</t>
        </is>
      </c>
      <c r="D98" s="1" t="inlineStr">
        <is>
          <t>VRS-MSA-2023-14</t>
        </is>
      </c>
      <c r="E98" s="1" t="inlineStr">
        <is>
          <t>Warehouse management system connector</t>
        </is>
      </c>
      <c r="F98" s="1" t="n">
        <v>1</v>
      </c>
      <c r="G98" s="1" t="n">
        <v>38000</v>
      </c>
      <c r="H98" s="1">
        <f>F98*G98</f>
        <v/>
      </c>
      <c r="I98" s="1" t="n">
        <v>0.09</v>
      </c>
      <c r="J98" s="1">
        <f>ROUND(H98*I98,2)</f>
        <v/>
      </c>
      <c r="K98" s="1" t="inlineStr">
        <is>
          <t>2026-06</t>
        </is>
      </c>
      <c r="L98" s="1" t="n">
        <v>3800</v>
      </c>
      <c r="M98" s="1" t="inlineStr">
        <is>
          <t>4030</t>
        </is>
      </c>
      <c r="N98" s="1" t="inlineStr">
        <is>
          <t>Paid</t>
        </is>
      </c>
      <c r="O98" s="1" t="inlineStr">
        <is>
          <t>PO-VRS-8932</t>
        </is>
      </c>
    </row>
    <row r="99">
      <c r="A99" s="1" t="inlineStr">
        <is>
          <t>INV-2026-60098</t>
        </is>
      </c>
      <c r="B99" s="2" t="n">
        <v>46202</v>
      </c>
      <c r="C99" s="1" t="inlineStr">
        <is>
          <t>Orchard Grove Foods</t>
        </is>
      </c>
      <c r="D99" s="1" t="inlineStr">
        <is>
          <t>OGF-MSA-2024-44</t>
        </is>
      </c>
      <c r="E99" s="1" t="inlineStr">
        <is>
          <t>Safety scanner retrofit kit</t>
        </is>
      </c>
      <c r="F99" s="1" t="n">
        <v>3</v>
      </c>
      <c r="G99" s="1" t="n">
        <v>7000</v>
      </c>
      <c r="H99" s="1">
        <f>F99*G99</f>
        <v/>
      </c>
      <c r="I99" s="1" t="n">
        <v>0.09</v>
      </c>
      <c r="J99" s="1">
        <f>ROUND(H99*I99,2)</f>
        <v/>
      </c>
      <c r="K99" s="1" t="inlineStr">
        <is>
          <t>2026-07</t>
        </is>
      </c>
      <c r="L99" s="1" t="n">
        <v>0</v>
      </c>
      <c r="M99" s="1" t="inlineStr">
        <is>
          <t>4010</t>
        </is>
      </c>
      <c r="N99" s="1" t="inlineStr">
        <is>
          <t>Paid</t>
        </is>
      </c>
      <c r="O99" s="1" t="inlineStr">
        <is>
          <t>PO-OGF-4451</t>
        </is>
      </c>
    </row>
    <row r="100">
      <c r="A100" s="1" t="inlineStr">
        <is>
          <t>INV-2026-60099</t>
        </is>
      </c>
      <c r="B100" s="2" t="n">
        <v>46120</v>
      </c>
      <c r="C100" s="1" t="inlineStr">
        <is>
          <t>Alderbrook Textiles</t>
        </is>
      </c>
      <c r="D100" s="1" t="inlineStr">
        <is>
          <t>ABT-MSA-2023-89</t>
        </is>
      </c>
      <c r="E100" s="1" t="inlineStr">
        <is>
          <t>Opportunity charging dock</t>
        </is>
      </c>
      <c r="F100" s="1" t="n">
        <v>6</v>
      </c>
      <c r="G100" s="1" t="n">
        <v>10900</v>
      </c>
      <c r="H100" s="1">
        <f>F100*G100</f>
        <v/>
      </c>
      <c r="I100" s="1" t="n">
        <v>0.06</v>
      </c>
      <c r="J100" s="1">
        <f>ROUND(H100*I100,2)</f>
        <v/>
      </c>
      <c r="K100" s="1" t="inlineStr">
        <is>
          <t>2026-05</t>
        </is>
      </c>
      <c r="L100" s="1" t="n">
        <v>0</v>
      </c>
      <c r="M100" s="1" t="inlineStr">
        <is>
          <t>4010</t>
        </is>
      </c>
      <c r="N100" s="1" t="inlineStr">
        <is>
          <t>Open</t>
        </is>
      </c>
      <c r="O100" s="1" t="inlineStr">
        <is>
          <t>PO-ABT-2950</t>
        </is>
      </c>
    </row>
    <row r="101">
      <c r="A101" s="1" t="inlineStr">
        <is>
          <t>INV-2026-60100</t>
        </is>
      </c>
      <c r="B101" s="2" t="n">
        <v>46146</v>
      </c>
      <c r="C101" s="1" t="inlineStr">
        <is>
          <t>Quarrybridge Materials</t>
        </is>
      </c>
      <c r="D101" s="1" t="inlineStr">
        <is>
          <t>QBM-MSA-2024-74</t>
        </is>
      </c>
      <c r="E101" s="1" t="inlineStr">
        <is>
          <t>Warehouse management system connector</t>
        </is>
      </c>
      <c r="F101" s="1" t="n">
        <v>4</v>
      </c>
      <c r="G101" s="1" t="n">
        <v>38000</v>
      </c>
      <c r="H101" s="1">
        <f>F101*G101</f>
        <v/>
      </c>
      <c r="I101" s="1" t="n">
        <v>0.07000000000000001</v>
      </c>
      <c r="J101" s="1">
        <f>ROUND(H101*I101,2)</f>
        <v/>
      </c>
      <c r="K101" s="1" t="inlineStr">
        <is>
          <t>2026-06</t>
        </is>
      </c>
      <c r="L101" s="1" t="n">
        <v>16720</v>
      </c>
      <c r="M101" s="1" t="inlineStr">
        <is>
          <t>4030</t>
        </is>
      </c>
      <c r="N101" s="1" t="inlineStr">
        <is>
          <t>Paid</t>
        </is>
      </c>
      <c r="O101" s="1" t="inlineStr">
        <is>
          <t>PO-QBM-3187</t>
        </is>
      </c>
    </row>
    <row r="102">
      <c r="A102" s="1" t="inlineStr">
        <is>
          <t>INV-2026-60101</t>
        </is>
      </c>
      <c r="B102" s="2" t="n">
        <v>46183</v>
      </c>
      <c r="C102" s="1" t="inlineStr">
        <is>
          <t>Granite Peak Distribution</t>
        </is>
      </c>
      <c r="D102" s="1" t="inlineStr">
        <is>
          <t>GPD-MSA-2022-72</t>
        </is>
      </c>
      <c r="E102" s="1" t="inlineStr">
        <is>
          <t>Safety scanner retrofit kit</t>
        </is>
      </c>
      <c r="F102" s="1" t="n">
        <v>1</v>
      </c>
      <c r="G102" s="1" t="n">
        <v>5850</v>
      </c>
      <c r="H102" s="1">
        <f>F102*G102</f>
        <v/>
      </c>
      <c r="I102" s="1" t="n">
        <v>0.065</v>
      </c>
      <c r="J102" s="1">
        <f>ROUND(H102*I102,2)</f>
        <v/>
      </c>
      <c r="K102" s="1" t="inlineStr">
        <is>
          <t>2026-07</t>
        </is>
      </c>
      <c r="L102" s="1" t="n">
        <v>0</v>
      </c>
      <c r="M102" s="1" t="inlineStr">
        <is>
          <t>4010</t>
        </is>
      </c>
      <c r="N102" s="1" t="inlineStr">
        <is>
          <t>Paid</t>
        </is>
      </c>
      <c r="O102" s="1" t="inlineStr">
        <is>
          <t>PO-GPD-3991</t>
        </is>
      </c>
    </row>
    <row r="103">
      <c r="A103" s="1" t="inlineStr">
        <is>
          <t>INV-2026-60102</t>
        </is>
      </c>
      <c r="B103" s="2" t="n">
        <v>46118</v>
      </c>
      <c r="C103" s="1" t="inlineStr">
        <is>
          <t>Granite Peak Distribution</t>
        </is>
      </c>
      <c r="D103" s="1" t="inlineStr">
        <is>
          <t>GPD-MSA-2024-76</t>
        </is>
      </c>
      <c r="E103" s="1" t="inlineStr">
        <is>
          <t>Safety scanner retrofit kit</t>
        </is>
      </c>
      <c r="F103" s="1" t="n">
        <v>1</v>
      </c>
      <c r="G103" s="1" t="n">
        <v>7250</v>
      </c>
      <c r="H103" s="1">
        <f>F103*G103</f>
        <v/>
      </c>
      <c r="I103" s="1" t="n">
        <v>0</v>
      </c>
      <c r="J103" s="1">
        <f>ROUND(H103*I103,2)</f>
        <v/>
      </c>
      <c r="K103" s="1" t="inlineStr">
        <is>
          <t>2026-05</t>
        </is>
      </c>
      <c r="L103" s="1" t="n">
        <v>0</v>
      </c>
      <c r="M103" s="1" t="inlineStr">
        <is>
          <t>4010</t>
        </is>
      </c>
      <c r="N103" s="1" t="inlineStr">
        <is>
          <t>Disputed</t>
        </is>
      </c>
      <c r="O103" s="1" t="inlineStr">
        <is>
          <t>PO-GPD-6095</t>
        </is>
      </c>
    </row>
    <row r="104">
      <c r="A104" s="1" t="inlineStr">
        <is>
          <t>INV-2026-60103</t>
        </is>
      </c>
      <c r="B104" s="2" t="n">
        <v>46171</v>
      </c>
      <c r="C104" s="1" t="inlineStr">
        <is>
          <t>Northfield Beverage</t>
        </is>
      </c>
      <c r="D104" s="1" t="inlineStr">
        <is>
          <t>NFB-MSA-2025-44</t>
        </is>
      </c>
      <c r="E104" s="1" t="inlineStr">
        <is>
          <t>Deployment and commissioning services</t>
        </is>
      </c>
      <c r="F104" s="1" t="n">
        <v>26</v>
      </c>
      <c r="G104" s="1" t="n">
        <v>1147</v>
      </c>
      <c r="H104" s="1">
        <f>F104*G104</f>
        <v/>
      </c>
      <c r="I104" s="1" t="n">
        <v>0.06</v>
      </c>
      <c r="J104" s="1">
        <f>ROUND(H104*I104,2)</f>
        <v/>
      </c>
      <c r="K104" s="1" t="inlineStr">
        <is>
          <t>2026-06</t>
        </is>
      </c>
      <c r="L104" s="1" t="n">
        <v>7157.28</v>
      </c>
      <c r="M104" s="1" t="inlineStr">
        <is>
          <t>4030</t>
        </is>
      </c>
      <c r="N104" s="1" t="inlineStr">
        <is>
          <t>Open</t>
        </is>
      </c>
      <c r="O104" s="1" t="inlineStr">
        <is>
          <t>PO-NFB-1825</t>
        </is>
      </c>
    </row>
    <row r="105">
      <c r="A105" s="1" t="inlineStr">
        <is>
          <t>INV-2026-60104</t>
        </is>
      </c>
      <c r="B105" s="2" t="n">
        <v>46175</v>
      </c>
      <c r="C105" s="1" t="inlineStr">
        <is>
          <t>Alderbrook Textiles</t>
        </is>
      </c>
      <c r="D105" s="1" t="inlineStr">
        <is>
          <t>ABT-MSA-2024-29</t>
        </is>
      </c>
      <c r="E105" s="1" t="inlineStr">
        <is>
          <t>Remote operations desk coverage</t>
        </is>
      </c>
      <c r="F105" s="1" t="n">
        <v>3</v>
      </c>
      <c r="G105" s="1" t="n">
        <v>10400</v>
      </c>
      <c r="H105" s="1">
        <f>F105*G105</f>
        <v/>
      </c>
      <c r="I105" s="1" t="n">
        <v>0.06</v>
      </c>
      <c r="J105" s="1">
        <f>ROUND(H105*I105,2)</f>
        <v/>
      </c>
      <c r="K105" s="1" t="inlineStr">
        <is>
          <t>2026-07</t>
        </is>
      </c>
      <c r="L105" s="1" t="n">
        <v>17160</v>
      </c>
      <c r="M105" s="1" t="inlineStr">
        <is>
          <t>4020</t>
        </is>
      </c>
      <c r="N105" s="1" t="inlineStr">
        <is>
          <t>Open</t>
        </is>
      </c>
      <c r="O105" s="1" t="inlineStr">
        <is>
          <t>PO-ABT-2665</t>
        </is>
      </c>
    </row>
    <row r="106">
      <c r="A106" s="1" t="inlineStr">
        <is>
          <t>INV-2026-60105</t>
        </is>
      </c>
      <c r="B106" s="2" t="n">
        <v>46128</v>
      </c>
      <c r="C106" s="1" t="inlineStr">
        <is>
          <t>Blue Mesa Components</t>
        </is>
      </c>
      <c r="D106" s="1" t="inlineStr">
        <is>
          <t>BMC-MSA-2025-62</t>
        </is>
      </c>
      <c r="E106" s="1" t="inlineStr">
        <is>
          <t>Fleet orchestration platform, annual site licence</t>
        </is>
      </c>
      <c r="F106" s="1" t="n">
        <v>2</v>
      </c>
      <c r="G106" s="1" t="n">
        <v>95100</v>
      </c>
      <c r="H106" s="1">
        <f>F106*G106</f>
        <v/>
      </c>
      <c r="I106" s="1" t="n">
        <v>0.06</v>
      </c>
      <c r="J106" s="1">
        <f>ROUND(H106*I106,2)</f>
        <v/>
      </c>
      <c r="K106" s="1" t="inlineStr">
        <is>
          <t>2026-05</t>
        </is>
      </c>
      <c r="L106" s="1" t="n">
        <v>154062</v>
      </c>
      <c r="M106" s="1" t="inlineStr">
        <is>
          <t>4020</t>
        </is>
      </c>
      <c r="N106" s="1" t="inlineStr">
        <is>
          <t>Paid</t>
        </is>
      </c>
      <c r="O106" s="1" t="inlineStr">
        <is>
          <t>PO-BMC-9197</t>
        </is>
      </c>
    </row>
    <row r="107">
      <c r="A107" s="1" t="inlineStr">
        <is>
          <t>INV-2026-60106</t>
        </is>
      </c>
      <c r="B107" s="2" t="n">
        <v>46171</v>
      </c>
      <c r="C107" s="1" t="inlineStr">
        <is>
          <t>Larkspur Apparel</t>
        </is>
      </c>
      <c r="D107" s="1" t="inlineStr">
        <is>
          <t>LKA-MSA-2023-46</t>
        </is>
      </c>
      <c r="E107" s="1" t="inlineStr">
        <is>
          <t>Deployment and commissioning services</t>
        </is>
      </c>
      <c r="F107" s="1" t="n">
        <v>10</v>
      </c>
      <c r="G107" s="1" t="n">
        <v>1350</v>
      </c>
      <c r="H107" s="1">
        <f>F107*G107</f>
        <v/>
      </c>
      <c r="I107" s="1" t="n">
        <v>0.07000000000000001</v>
      </c>
      <c r="J107" s="1">
        <f>ROUND(H107*I107,2)</f>
        <v/>
      </c>
      <c r="K107" s="1" t="inlineStr">
        <is>
          <t>2026-06</t>
        </is>
      </c>
      <c r="L107" s="1" t="n">
        <v>3240</v>
      </c>
      <c r="M107" s="1" t="inlineStr">
        <is>
          <t>4030</t>
        </is>
      </c>
      <c r="N107" s="1" t="inlineStr">
        <is>
          <t>Partially paid</t>
        </is>
      </c>
      <c r="O107" s="1" t="inlineStr">
        <is>
          <t>PO-LKA-9223</t>
        </is>
      </c>
    </row>
    <row r="108">
      <c r="A108" s="1" t="inlineStr">
        <is>
          <t>INV-2026-60107</t>
        </is>
      </c>
      <c r="B108" s="2" t="n">
        <v>46196</v>
      </c>
      <c r="C108" s="1" t="inlineStr">
        <is>
          <t>Pioneer Freight Union</t>
        </is>
      </c>
      <c r="D108" s="1" t="inlineStr">
        <is>
          <t>PFU-MSA-2023-78</t>
        </is>
      </c>
      <c r="E108" s="1" t="inlineStr">
        <is>
          <t>Deployment and commissioning services</t>
        </is>
      </c>
      <c r="F108" s="1" t="n">
        <v>24</v>
      </c>
      <c r="G108" s="1" t="n">
        <v>1600</v>
      </c>
      <c r="H108" s="1">
        <f>F108*G108</f>
        <v/>
      </c>
      <c r="I108" s="1" t="n">
        <v>0.09</v>
      </c>
      <c r="J108" s="1">
        <f>ROUND(H108*I108,2)</f>
        <v/>
      </c>
      <c r="K108" s="1" t="inlineStr">
        <is>
          <t>2026-07</t>
        </is>
      </c>
      <c r="L108" s="1" t="n">
        <v>6144</v>
      </c>
      <c r="M108" s="1" t="inlineStr">
        <is>
          <t>4030</t>
        </is>
      </c>
      <c r="N108" s="1" t="inlineStr">
        <is>
          <t>Paid</t>
        </is>
      </c>
      <c r="O108" s="1" t="inlineStr">
        <is>
          <t>PO-PFU-9353</t>
        </is>
      </c>
    </row>
    <row r="109">
      <c r="A109" s="1" t="inlineStr">
        <is>
          <t>INV-2026-60108</t>
        </is>
      </c>
      <c r="B109" s="2" t="n">
        <v>46140</v>
      </c>
      <c r="C109" s="1" t="inlineStr">
        <is>
          <t>Bellweather Auto Group</t>
        </is>
      </c>
      <c r="D109" s="1" t="inlineStr">
        <is>
          <t>BWA-MSA-2023-43</t>
        </is>
      </c>
      <c r="E109" s="1" t="inlineStr">
        <is>
          <t>Fleet orchestration expansion pack, per robot</t>
        </is>
      </c>
      <c r="F109" s="1" t="n">
        <v>57</v>
      </c>
      <c r="G109" s="1" t="n">
        <v>2650</v>
      </c>
      <c r="H109" s="1">
        <f>F109*G109</f>
        <v/>
      </c>
      <c r="I109" s="1" t="n">
        <v>0.06</v>
      </c>
      <c r="J109" s="1">
        <f>ROUND(H109*I109,2)</f>
        <v/>
      </c>
      <c r="K109" s="1" t="inlineStr">
        <is>
          <t>2026-05</t>
        </is>
      </c>
      <c r="L109" s="1" t="n">
        <v>111777</v>
      </c>
      <c r="M109" s="1" t="inlineStr">
        <is>
          <t>4020</t>
        </is>
      </c>
      <c r="N109" s="1" t="inlineStr">
        <is>
          <t>Paid</t>
        </is>
      </c>
      <c r="O109" s="1" t="inlineStr">
        <is>
          <t>PO-BWA-4102</t>
        </is>
      </c>
    </row>
    <row r="110">
      <c r="A110" s="1" t="inlineStr">
        <is>
          <t>INV-2026-60109</t>
        </is>
      </c>
      <c r="B110" s="2" t="n">
        <v>46171</v>
      </c>
      <c r="C110" s="1" t="inlineStr">
        <is>
          <t>Union Vale Pharma</t>
        </is>
      </c>
      <c r="D110" s="1" t="inlineStr">
        <is>
          <t>UVP-MSA-2023-45</t>
        </is>
      </c>
      <c r="E110" s="1" t="inlineStr">
        <is>
          <t>Premium support and spares pool</t>
        </is>
      </c>
      <c r="F110" s="1" t="n">
        <v>1</v>
      </c>
      <c r="G110" s="1" t="n">
        <v>55100</v>
      </c>
      <c r="H110" s="1">
        <f>F110*G110</f>
        <v/>
      </c>
      <c r="I110" s="1" t="n">
        <v>0.06</v>
      </c>
      <c r="J110" s="1">
        <f>ROUND(H110*I110,2)</f>
        <v/>
      </c>
      <c r="K110" s="1" t="inlineStr">
        <is>
          <t>2026-06</t>
        </is>
      </c>
      <c r="L110" s="1" t="n">
        <v>40223</v>
      </c>
      <c r="M110" s="1" t="inlineStr">
        <is>
          <t>4020</t>
        </is>
      </c>
      <c r="N110" s="1" t="inlineStr">
        <is>
          <t>Partially paid</t>
        </is>
      </c>
      <c r="O110" s="1" t="inlineStr">
        <is>
          <t>PO-UVP-4981</t>
        </is>
      </c>
    </row>
    <row r="111">
      <c r="A111" s="1" t="inlineStr">
        <is>
          <t>INV-2026-60110</t>
        </is>
      </c>
      <c r="B111" s="2" t="n">
        <v>46202</v>
      </c>
      <c r="C111" s="1" t="inlineStr">
        <is>
          <t>Elmsworth Publishing</t>
        </is>
      </c>
      <c r="D111" s="1" t="inlineStr">
        <is>
          <t>EWP-MSA-2024-80</t>
        </is>
      </c>
      <c r="E111" s="1" t="inlineStr">
        <is>
          <t>Fleet orchestration platform, annual site licence</t>
        </is>
      </c>
      <c r="F111" s="1" t="n">
        <v>4</v>
      </c>
      <c r="G111" s="1" t="n">
        <v>96000</v>
      </c>
      <c r="H111" s="1">
        <f>F111*G111</f>
        <v/>
      </c>
      <c r="I111" s="1" t="n">
        <v>0.09</v>
      </c>
      <c r="J111" s="1">
        <f>ROUND(H111*I111,2)</f>
        <v/>
      </c>
      <c r="K111" s="1" t="inlineStr">
        <is>
          <t>2026-07</t>
        </is>
      </c>
      <c r="L111" s="1" t="n">
        <v>261120</v>
      </c>
      <c r="M111" s="1" t="inlineStr">
        <is>
          <t>4020</t>
        </is>
      </c>
      <c r="N111" s="1" t="inlineStr">
        <is>
          <t>Open</t>
        </is>
      </c>
      <c r="O111" s="1" t="inlineStr">
        <is>
          <t>PO-EWP-3273</t>
        </is>
      </c>
    </row>
    <row r="112">
      <c r="A112" s="1" t="inlineStr">
        <is>
          <t>INV-2026-60111</t>
        </is>
      </c>
      <c r="B112" s="2" t="n">
        <v>46141</v>
      </c>
      <c r="C112" s="1" t="inlineStr">
        <is>
          <t>Dorsey Grain Cooperative</t>
        </is>
      </c>
      <c r="D112" s="1" t="inlineStr">
        <is>
          <t>DGC-MSA-2024-49</t>
        </is>
      </c>
      <c r="E112" s="1" t="inlineStr">
        <is>
          <t>Operator training programme</t>
        </is>
      </c>
      <c r="F112" s="1" t="n">
        <v>4</v>
      </c>
      <c r="G112" s="1" t="n">
        <v>2800</v>
      </c>
      <c r="H112" s="1">
        <f>F112*G112</f>
        <v/>
      </c>
      <c r="I112" s="1" t="n">
        <v>0</v>
      </c>
      <c r="J112" s="1">
        <f>ROUND(H112*I112,2)</f>
        <v/>
      </c>
      <c r="K112" s="1" t="inlineStr">
        <is>
          <t>2026-05</t>
        </is>
      </c>
      <c r="L112" s="1" t="n">
        <v>2240</v>
      </c>
      <c r="M112" s="1" t="inlineStr">
        <is>
          <t>4030</t>
        </is>
      </c>
      <c r="N112" s="1" t="inlineStr">
        <is>
          <t>Written off</t>
        </is>
      </c>
      <c r="O112" s="1" t="inlineStr">
        <is>
          <t>PO-DGC-9299</t>
        </is>
      </c>
    </row>
    <row r="113">
      <c r="A113" s="1" t="inlineStr">
        <is>
          <t>INV-2026-60112</t>
        </is>
      </c>
      <c r="B113" s="2" t="n">
        <v>46171</v>
      </c>
      <c r="C113" s="1" t="inlineStr">
        <is>
          <t>Alderbrook Textiles</t>
        </is>
      </c>
      <c r="D113" s="1" t="inlineStr">
        <is>
          <t>ABT-MSA-2023-54</t>
        </is>
      </c>
      <c r="E113" s="1" t="inlineStr">
        <is>
          <t>Remote operations desk coverage</t>
        </is>
      </c>
      <c r="F113" s="1" t="n">
        <v>3</v>
      </c>
      <c r="G113" s="1" t="n">
        <v>12600</v>
      </c>
      <c r="H113" s="1">
        <f>F113*G113</f>
        <v/>
      </c>
      <c r="I113" s="1" t="n">
        <v>0.0825</v>
      </c>
      <c r="J113" s="1">
        <f>ROUND(H113*I113,2)</f>
        <v/>
      </c>
      <c r="K113" s="1" t="inlineStr">
        <is>
          <t>2026-06</t>
        </is>
      </c>
      <c r="L113" s="1" t="n">
        <v>28728</v>
      </c>
      <c r="M113" s="1" t="inlineStr">
        <is>
          <t>4020</t>
        </is>
      </c>
      <c r="N113" s="1" t="inlineStr">
        <is>
          <t>Credit issued</t>
        </is>
      </c>
      <c r="O113" s="1" t="inlineStr">
        <is>
          <t>PO-ABT-5569</t>
        </is>
      </c>
    </row>
    <row r="114">
      <c r="A114" s="1" t="inlineStr">
        <is>
          <t>INV-2026-60113</t>
        </is>
      </c>
      <c r="B114" s="2" t="n">
        <v>46199</v>
      </c>
      <c r="C114" s="1" t="inlineStr">
        <is>
          <t>Meridian Dynamics</t>
        </is>
      </c>
      <c r="D114" s="1" t="inlineStr">
        <is>
          <t>MDY-MSA-2022-16</t>
        </is>
      </c>
      <c r="E114" s="1" t="inlineStr">
        <is>
          <t>Autonomous mobile robot, 450 kg payload</t>
        </is>
      </c>
      <c r="F114" s="1" t="n">
        <v>5</v>
      </c>
      <c r="G114" s="1" t="n">
        <v>68150</v>
      </c>
      <c r="H114" s="1">
        <f>F114*G114</f>
        <v/>
      </c>
      <c r="I114" s="1" t="n">
        <v>0.07000000000000001</v>
      </c>
      <c r="J114" s="1">
        <f>ROUND(H114*I114,2)</f>
        <v/>
      </c>
      <c r="K114" s="1" t="inlineStr">
        <is>
          <t>2026-07</t>
        </is>
      </c>
      <c r="L114" s="1" t="n">
        <v>0</v>
      </c>
      <c r="M114" s="1" t="inlineStr">
        <is>
          <t>4010</t>
        </is>
      </c>
      <c r="N114" s="1" t="inlineStr">
        <is>
          <t>Written off</t>
        </is>
      </c>
      <c r="O114" s="1" t="inlineStr">
        <is>
          <t>PO-MDY-3662</t>
        </is>
      </c>
    </row>
    <row r="115">
      <c r="A115" s="1" t="inlineStr">
        <is>
          <t>INV-2026-60114</t>
        </is>
      </c>
      <c r="B115" s="2" t="n">
        <v>46141</v>
      </c>
      <c r="C115" s="1" t="inlineStr">
        <is>
          <t>Dorsey Grain Cooperative</t>
        </is>
      </c>
      <c r="D115" s="1" t="inlineStr">
        <is>
          <t>DGC-MSA-2024-89</t>
        </is>
      </c>
      <c r="E115" s="1" t="inlineStr">
        <is>
          <t>Warehouse management system connector</t>
        </is>
      </c>
      <c r="F115" s="1" t="n">
        <v>4</v>
      </c>
      <c r="G115" s="1" t="n">
        <v>37500</v>
      </c>
      <c r="H115" s="1">
        <f>F115*G115</f>
        <v/>
      </c>
      <c r="I115" s="1" t="n">
        <v>0.09</v>
      </c>
      <c r="J115" s="1">
        <f>ROUND(H115*I115,2)</f>
        <v/>
      </c>
      <c r="K115" s="1" t="inlineStr">
        <is>
          <t>2026-05</t>
        </is>
      </c>
      <c r="L115" s="1" t="n">
        <v>1500</v>
      </c>
      <c r="M115" s="1" t="inlineStr">
        <is>
          <t>4030</t>
        </is>
      </c>
      <c r="N115" s="1" t="inlineStr">
        <is>
          <t>Partially paid</t>
        </is>
      </c>
      <c r="O115" s="1" t="inlineStr">
        <is>
          <t>PO-DGC-5929</t>
        </is>
      </c>
    </row>
    <row r="116">
      <c r="A116" s="1" t="inlineStr">
        <is>
          <t>INV-2026-60115</t>
        </is>
      </c>
      <c r="B116" s="2" t="n">
        <v>46171</v>
      </c>
      <c r="C116" s="1" t="inlineStr">
        <is>
          <t>Harborline Systems</t>
        </is>
      </c>
      <c r="D116" s="1" t="inlineStr">
        <is>
          <t>HLS-MSA-2024-88</t>
        </is>
      </c>
      <c r="E116" s="1" t="inlineStr">
        <is>
          <t>Safety scanner retrofit kit</t>
        </is>
      </c>
      <c r="F116" s="1" t="n">
        <v>3</v>
      </c>
      <c r="G116" s="1" t="n">
        <v>7000</v>
      </c>
      <c r="H116" s="1">
        <f>F116*G116</f>
        <v/>
      </c>
      <c r="I116" s="1" t="n">
        <v>0.06</v>
      </c>
      <c r="J116" s="1">
        <f>ROUND(H116*I116,2)</f>
        <v/>
      </c>
      <c r="K116" s="1" t="inlineStr">
        <is>
          <t>2026-06</t>
        </is>
      </c>
      <c r="L116" s="1" t="n">
        <v>0</v>
      </c>
      <c r="M116" s="1" t="inlineStr">
        <is>
          <t>4010</t>
        </is>
      </c>
      <c r="N116" s="1" t="inlineStr">
        <is>
          <t>Open</t>
        </is>
      </c>
      <c r="O116" s="1" t="inlineStr">
        <is>
          <t>PO-HLS-5925</t>
        </is>
      </c>
    </row>
    <row r="117">
      <c r="A117" s="1" t="inlineStr">
        <is>
          <t>INV-2026-60116</t>
        </is>
      </c>
      <c r="B117" s="2" t="n">
        <v>46199</v>
      </c>
      <c r="C117" s="1" t="inlineStr">
        <is>
          <t>Harborline Systems</t>
        </is>
      </c>
      <c r="D117" s="1" t="inlineStr">
        <is>
          <t>HLS-MSA-2023-70</t>
        </is>
      </c>
      <c r="E117" s="1" t="inlineStr">
        <is>
          <t>Operator training programme</t>
        </is>
      </c>
      <c r="F117" s="1" t="n">
        <v>2</v>
      </c>
      <c r="G117" s="1" t="n">
        <v>4200</v>
      </c>
      <c r="H117" s="1">
        <f>F117*G117</f>
        <v/>
      </c>
      <c r="I117" s="1" t="n">
        <v>0.065</v>
      </c>
      <c r="J117" s="1">
        <f>ROUND(H117*I117,2)</f>
        <v/>
      </c>
      <c r="K117" s="1" t="inlineStr">
        <is>
          <t>2026-07</t>
        </is>
      </c>
      <c r="L117" s="1" t="n">
        <v>1848</v>
      </c>
      <c r="M117" s="1" t="inlineStr">
        <is>
          <t>4030</t>
        </is>
      </c>
      <c r="N117" s="1" t="inlineStr">
        <is>
          <t>Written off</t>
        </is>
      </c>
      <c r="O117" s="1" t="inlineStr">
        <is>
          <t>PO-HLS-3518</t>
        </is>
      </c>
    </row>
    <row r="118">
      <c r="A118" s="1" t="inlineStr">
        <is>
          <t>INV-2026-60117</t>
        </is>
      </c>
      <c r="B118" s="2" t="n">
        <v>46140</v>
      </c>
      <c r="C118" s="1" t="inlineStr">
        <is>
          <t>Ironvale Grocery Group</t>
        </is>
      </c>
      <c r="D118" s="1" t="inlineStr">
        <is>
          <t>IVG-MSA-2022-66</t>
        </is>
      </c>
      <c r="E118" s="1" t="inlineStr">
        <is>
          <t>Fleet orchestration platform, annual site licence</t>
        </is>
      </c>
      <c r="F118" s="1" t="n">
        <v>2</v>
      </c>
      <c r="G118" s="1" t="n">
        <v>95100</v>
      </c>
      <c r="H118" s="1">
        <f>F118*G118</f>
        <v/>
      </c>
      <c r="I118" s="1" t="n">
        <v>0.0475</v>
      </c>
      <c r="J118" s="1">
        <f>ROUND(H118*I118,2)</f>
        <v/>
      </c>
      <c r="K118" s="1" t="inlineStr">
        <is>
          <t>2026-05</t>
        </is>
      </c>
      <c r="L118" s="1" t="n">
        <v>123630</v>
      </c>
      <c r="M118" s="1" t="inlineStr">
        <is>
          <t>4020</t>
        </is>
      </c>
      <c r="N118" s="1" t="inlineStr">
        <is>
          <t>Open</t>
        </is>
      </c>
      <c r="O118" s="1" t="inlineStr">
        <is>
          <t>PO-IVG-2129</t>
        </is>
      </c>
    </row>
    <row r="119">
      <c r="A119" s="1" t="inlineStr">
        <is>
          <t>INV-2026-60118</t>
        </is>
      </c>
      <c r="B119" s="2" t="n">
        <v>46171</v>
      </c>
      <c r="C119" s="1" t="inlineStr">
        <is>
          <t>Yarrow Home Goods</t>
        </is>
      </c>
      <c r="D119" s="1" t="inlineStr">
        <is>
          <t>YHG-MSA-2024-37</t>
        </is>
      </c>
      <c r="E119" s="1" t="inlineStr">
        <is>
          <t>Fleet orchestration expansion pack, per robot</t>
        </is>
      </c>
      <c r="F119" s="1" t="n">
        <v>24</v>
      </c>
      <c r="G119" s="1" t="n">
        <v>2900</v>
      </c>
      <c r="H119" s="1">
        <f>F119*G119</f>
        <v/>
      </c>
      <c r="I119" s="1" t="n">
        <v>0.0825</v>
      </c>
      <c r="J119" s="1">
        <f>ROUND(H119*I119,2)</f>
        <v/>
      </c>
      <c r="K119" s="1" t="inlineStr">
        <is>
          <t>2026-06</t>
        </is>
      </c>
      <c r="L119" s="1" t="n">
        <v>54288</v>
      </c>
      <c r="M119" s="1" t="inlineStr">
        <is>
          <t>4020</t>
        </is>
      </c>
      <c r="N119" s="1" t="inlineStr">
        <is>
          <t>Partially paid</t>
        </is>
      </c>
      <c r="O119" s="1" t="inlineStr">
        <is>
          <t>PO-YHG-7961</t>
        </is>
      </c>
    </row>
    <row r="120">
      <c r="A120" s="1" t="inlineStr">
        <is>
          <t>INV-2026-60119</t>
        </is>
      </c>
      <c r="B120" s="2" t="n">
        <v>46202</v>
      </c>
      <c r="C120" s="1" t="inlineStr">
        <is>
          <t>Pioneer Freight Union</t>
        </is>
      </c>
      <c r="D120" s="1" t="inlineStr">
        <is>
          <t>PFU-MSA-2025-68</t>
        </is>
      </c>
      <c r="E120" s="1" t="inlineStr">
        <is>
          <t>Telemetry retention tier, extended</t>
        </is>
      </c>
      <c r="F120" s="1" t="n">
        <v>3</v>
      </c>
      <c r="G120" s="1" t="n">
        <v>22300</v>
      </c>
      <c r="H120" s="1">
        <f>F120*G120</f>
        <v/>
      </c>
      <c r="I120" s="1" t="n">
        <v>0.0825</v>
      </c>
      <c r="J120" s="1">
        <f>ROUND(H120*I120,2)</f>
        <v/>
      </c>
      <c r="K120" s="1" t="inlineStr">
        <is>
          <t>2026-07</t>
        </is>
      </c>
      <c r="L120" s="1" t="n">
        <v>37464</v>
      </c>
      <c r="M120" s="1" t="inlineStr">
        <is>
          <t>4020</t>
        </is>
      </c>
      <c r="N120" s="1" t="inlineStr">
        <is>
          <t>Paid</t>
        </is>
      </c>
      <c r="O120" s="1" t="inlineStr">
        <is>
          <t>PO-PFU-9092</t>
        </is>
      </c>
    </row>
    <row r="121">
      <c r="A121" s="1" t="inlineStr">
        <is>
          <t>INV-2026-60120</t>
        </is>
      </c>
      <c r="B121" s="2" t="n">
        <v>46142</v>
      </c>
      <c r="C121" s="1" t="inlineStr">
        <is>
          <t>Pioneer Freight Union</t>
        </is>
      </c>
      <c r="D121" s="1" t="inlineStr">
        <is>
          <t>PFU-MSA-2025-69</t>
        </is>
      </c>
      <c r="E121" s="1" t="inlineStr">
        <is>
          <t>Autonomous mobile robot, 450 kg payload</t>
        </is>
      </c>
      <c r="F121" s="1" t="n">
        <v>8</v>
      </c>
      <c r="G121" s="1" t="n">
        <v>67000</v>
      </c>
      <c r="H121" s="1">
        <f>F121*G121</f>
        <v/>
      </c>
      <c r="I121" s="1" t="n">
        <v>0.07000000000000001</v>
      </c>
      <c r="J121" s="1">
        <f>ROUND(H121*I121,2)</f>
        <v/>
      </c>
      <c r="K121" s="1" t="inlineStr">
        <is>
          <t>2026-05</t>
        </is>
      </c>
      <c r="L121" s="1" t="n">
        <v>0</v>
      </c>
      <c r="M121" s="1" t="inlineStr">
        <is>
          <t>4010</t>
        </is>
      </c>
      <c r="N121" s="1" t="inlineStr">
        <is>
          <t>Open</t>
        </is>
      </c>
      <c r="O121" s="1" t="inlineStr">
        <is>
          <t>PO-PFU-1658</t>
        </is>
      </c>
    </row>
    <row r="122">
      <c r="A122" s="1" t="inlineStr">
        <is>
          <t>FY26Q2 Invoices subtotal</t>
        </is>
      </c>
      <c r="B122" s="1" t="inlineStr"/>
      <c r="C122" s="1" t="inlineStr"/>
      <c r="D122" s="1" t="inlineStr"/>
      <c r="E122" s="1" t="inlineStr"/>
      <c r="F122" s="1" t="inlineStr"/>
      <c r="G122" s="1" t="inlineStr"/>
      <c r="H122" s="1">
        <f>SUM(H2:H121)</f>
        <v/>
      </c>
      <c r="I122" s="1" t="inlineStr"/>
      <c r="J122" s="1">
        <f>SUM(J2:J121)</f>
        <v/>
      </c>
      <c r="K122" s="1" t="inlineStr"/>
      <c r="L122" s="1">
        <f>SUM(L2:L121)</f>
        <v/>
      </c>
      <c r="M122" s="1" t="inlineStr"/>
      <c r="N122" s="1" t="inlineStr">
        <is>
          <t>Subtotal</t>
        </is>
      </c>
      <c r="O1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2026-08-09T15:57:47Z</dcterms:created>
  <dcterms:modified xmlns:dcterms="http://purl.org/dc/terms/" xmlns:xsi="http://www.w3.org/2001/XMLSchema-instance" xsi:type="dcterms:W3CDTF">2026-08-09T15:57:48Z</dcterms:modified>
</cp:coreProperties>
</file>