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7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budget_line</t>
        </is>
      </c>
      <c r="B1" s="1" t="inlineStr">
        <is>
          <t>cost_center</t>
        </is>
      </c>
      <c r="C1" s="1" t="inlineStr">
        <is>
          <t>gl_account</t>
        </is>
      </c>
      <c r="D1" s="1" t="inlineStr">
        <is>
          <t>account_name</t>
        </is>
      </c>
      <c r="E1" s="1" t="inlineStr">
        <is>
          <t>line_owner</t>
        </is>
      </c>
      <c r="F1" s="1" t="inlineStr">
        <is>
          <t>fy2026_forecast</t>
        </is>
      </c>
      <c r="G1" s="1" t="inlineStr">
        <is>
          <t>fy2027_request</t>
        </is>
      </c>
      <c r="H1" s="1" t="inlineStr">
        <is>
          <t>variance_amount</t>
        </is>
      </c>
      <c r="I1" s="1" t="inlineStr">
        <is>
          <t>variance_driver</t>
        </is>
      </c>
      <c r="J1" s="1" t="inlineStr">
        <is>
          <t>headcount_linked</t>
        </is>
      </c>
      <c r="K1" s="1" t="inlineStr">
        <is>
          <t>approval_status</t>
        </is>
      </c>
      <c r="L1" s="1" t="inlineStr">
        <is>
          <t>board_review_date</t>
        </is>
      </c>
      <c r="M1" s="1" t="inlineStr">
        <is>
          <t>budget_comment</t>
        </is>
      </c>
    </row>
    <row r="2">
      <c r="A2" s="1" t="inlineStr">
        <is>
          <t>CC-500-5020-001</t>
        </is>
      </c>
      <c r="B2" s="1" t="inlineStr">
        <is>
          <t>CC-500 Manufacturing</t>
        </is>
      </c>
      <c r="C2" s="1" t="inlineStr">
        <is>
          <t>5020</t>
        </is>
      </c>
      <c r="D2" s="1" t="inlineStr">
        <is>
          <t>Cost of revenue - hosting</t>
        </is>
      </c>
      <c r="E2" s="1" t="inlineStr">
        <is>
          <t>Gideon Marsh</t>
        </is>
      </c>
      <c r="F2" s="1" t="n">
        <v>853311.15</v>
      </c>
      <c r="G2" s="1" t="n">
        <v>930109.15</v>
      </c>
      <c r="H2" s="1">
        <f>ROUND(G2-F2,2)</f>
        <v/>
      </c>
      <c r="I2" s="1" t="inlineStr">
        <is>
          <t>Volume growth in deployments</t>
        </is>
      </c>
      <c r="J2" s="1" t="inlineStr">
        <is>
          <t>No</t>
        </is>
      </c>
      <c r="K2" s="1" t="inlineStr">
        <is>
          <t>Approved</t>
        </is>
      </c>
      <c r="L2" s="2" t="n">
        <v>46345</v>
      </c>
      <c r="M2" s="1" t="inlineStr">
        <is>
          <t>Flat to forecast; no change requested</t>
        </is>
      </c>
    </row>
    <row r="3">
      <c r="A3" s="1" t="inlineStr">
        <is>
          <t>CC-510-6310-002</t>
        </is>
      </c>
      <c r="B3" s="1" t="inlineStr">
        <is>
          <t>CC-510 Supply Chain</t>
        </is>
      </c>
      <c r="C3" s="1" t="inlineStr">
        <is>
          <t>6310</t>
        </is>
      </c>
      <c r="D3" s="1" t="inlineStr">
        <is>
          <t>Depreciation and amortization</t>
        </is>
      </c>
      <c r="E3" s="1" t="inlineStr">
        <is>
          <t>Marcus Oyelaran</t>
        </is>
      </c>
      <c r="F3" s="1" t="n">
        <v>3806787.65</v>
      </c>
      <c r="G3" s="1" t="n">
        <v>3730651.9</v>
      </c>
      <c r="H3" s="1">
        <f>ROUND(G3-F3,2)</f>
        <v/>
      </c>
      <c r="I3" s="1" t="inlineStr">
        <is>
          <t>Contract renegotiated at a lower unit rate</t>
        </is>
      </c>
      <c r="J3" s="1" t="inlineStr">
        <is>
          <t>No</t>
        </is>
      </c>
      <c r="K3" s="1" t="inlineStr">
        <is>
          <t>Under review</t>
        </is>
      </c>
      <c r="L3" s="2" t="n">
        <v>46317</v>
      </c>
      <c r="M3" s="1" t="inlineStr">
        <is>
          <t>Line consolidated with two smaller requests</t>
        </is>
      </c>
    </row>
    <row r="4">
      <c r="A4" s="1" t="inlineStr">
        <is>
          <t>CC-100-6020-003</t>
        </is>
      </c>
      <c r="B4" s="1" t="inlineStr">
        <is>
          <t>CC-100 Executive</t>
        </is>
      </c>
      <c r="C4" s="1" t="inlineStr">
        <is>
          <t>6020</t>
        </is>
      </c>
      <c r="D4" s="1" t="inlineStr">
        <is>
          <t>Research and development materials</t>
        </is>
      </c>
      <c r="E4" s="1" t="inlineStr">
        <is>
          <t>Marta Kubiak</t>
        </is>
      </c>
      <c r="F4" s="1" t="n">
        <v>568552.27</v>
      </c>
      <c r="G4" s="1" t="n">
        <v>523068.09</v>
      </c>
      <c r="H4" s="1">
        <f>ROUND(G4-F4,2)</f>
        <v/>
      </c>
      <c r="I4" s="1" t="inlineStr">
        <is>
          <t>Inflation and renewal uplift on a multi-year contract</t>
        </is>
      </c>
      <c r="J4" s="1" t="inlineStr">
        <is>
          <t>No</t>
        </is>
      </c>
      <c r="K4" s="1" t="inlineStr">
        <is>
          <t>Under review</t>
        </is>
      </c>
      <c r="L4" s="2" t="n">
        <v>46282</v>
      </c>
      <c r="M4" s="1" t="inlineStr">
        <is>
          <t>Depends on the financing outcome and may be re-cut</t>
        </is>
      </c>
    </row>
    <row r="5">
      <c r="A5" s="1" t="inlineStr">
        <is>
          <t>CC-300-6240-004</t>
        </is>
      </c>
      <c r="B5" s="1" t="inlineStr">
        <is>
          <t>CC-300 Sales</t>
        </is>
      </c>
      <c r="C5" s="1" t="inlineStr">
        <is>
          <t>6240</t>
        </is>
      </c>
      <c r="D5" s="1" t="inlineStr">
        <is>
          <t>Facilities and occupancy</t>
        </is>
      </c>
      <c r="E5" s="1" t="inlineStr">
        <is>
          <t>Rune Halvorsen</t>
        </is>
      </c>
      <c r="F5" s="1" t="n">
        <v>2625789.89</v>
      </c>
      <c r="G5" s="1" t="n">
        <v>3754879.54</v>
      </c>
      <c r="H5" s="1">
        <f>ROUND(G5-F5,2)</f>
        <v/>
      </c>
      <c r="I5" s="1" t="inlineStr">
        <is>
          <t>Programme deferred to the following year</t>
        </is>
      </c>
      <c r="J5" s="1" t="inlineStr">
        <is>
          <t>No</t>
        </is>
      </c>
      <c r="K5" s="1" t="inlineStr">
        <is>
          <t>Approved</t>
        </is>
      </c>
      <c r="L5" s="2" t="n">
        <v>46345</v>
      </c>
      <c r="M5" s="1" t="inlineStr">
        <is>
          <t>Line consolidated with two smaller requests</t>
        </is>
      </c>
    </row>
    <row r="6">
      <c r="A6" s="1" t="inlineStr">
        <is>
          <t>CC-410-5010-005</t>
        </is>
      </c>
      <c r="B6" s="1" t="inlineStr">
        <is>
          <t>CC-410 Remote Operations</t>
        </is>
      </c>
      <c r="C6" s="1" t="inlineStr">
        <is>
          <t>5010</t>
        </is>
      </c>
      <c r="D6" s="1" t="inlineStr">
        <is>
          <t>Cost of revenue - hardware</t>
        </is>
      </c>
      <c r="E6" s="1" t="inlineStr">
        <is>
          <t>Priya Raghunathan</t>
        </is>
      </c>
      <c r="F6" s="1" t="n">
        <v>1747628.34</v>
      </c>
      <c r="G6" s="1" t="n">
        <v>2236964.28</v>
      </c>
      <c r="H6" s="1">
        <f>ROUND(G6-F6,2)</f>
        <v/>
      </c>
      <c r="I6" s="1" t="inlineStr">
        <is>
          <t>Headcount additions approved in the plan</t>
        </is>
      </c>
      <c r="J6" s="1" t="inlineStr">
        <is>
          <t>No</t>
        </is>
      </c>
      <c r="K6" s="1" t="inlineStr">
        <is>
          <t>Returned to owner</t>
        </is>
      </c>
      <c r="L6" s="2" t="n">
        <v>46282</v>
      </c>
      <c r="M6" s="1" t="inlineStr">
        <is>
          <t>Line consolidated with two smaller requests</t>
        </is>
      </c>
    </row>
    <row r="7">
      <c r="A7" s="1" t="inlineStr">
        <is>
          <t>CC-610-6110-006</t>
        </is>
      </c>
      <c r="B7" s="1" t="inlineStr">
        <is>
          <t>CC-610 Legal</t>
        </is>
      </c>
      <c r="C7" s="1" t="inlineStr">
        <is>
          <t>6110</t>
        </is>
      </c>
      <c r="D7" s="1" t="inlineStr">
        <is>
          <t>Sales and marketing compensation</t>
        </is>
      </c>
      <c r="E7" s="1" t="inlineStr">
        <is>
          <t>Elias Moreno</t>
        </is>
      </c>
      <c r="F7" s="1" t="n">
        <v>1657359.42</v>
      </c>
      <c r="G7" s="1" t="n">
        <v>1375608.32</v>
      </c>
      <c r="H7" s="1">
        <f>ROUND(G7-F7,2)</f>
        <v/>
      </c>
      <c r="I7" s="1" t="inlineStr">
        <is>
          <t>Cost moved to a different cost centre</t>
        </is>
      </c>
      <c r="J7" s="1" t="inlineStr">
        <is>
          <t>Yes</t>
        </is>
      </c>
      <c r="K7" s="1" t="inlineStr">
        <is>
          <t>Returned to owner</t>
        </is>
      </c>
      <c r="L7" s="2" t="n">
        <v>46317</v>
      </c>
      <c r="M7" s="1" t="inlineStr">
        <is>
          <t>Reclassified from cost of revenue after the audit review</t>
        </is>
      </c>
    </row>
    <row r="8">
      <c r="A8" s="1" t="inlineStr">
        <is>
          <t>CC-400-6230-007</t>
        </is>
      </c>
      <c r="B8" s="1" t="inlineStr">
        <is>
          <t>CC-400 Customer Operations</t>
        </is>
      </c>
      <c r="C8" s="1" t="inlineStr">
        <is>
          <t>6230</t>
        </is>
      </c>
      <c r="D8" s="1" t="inlineStr">
        <is>
          <t>Professional fees - accounting</t>
        </is>
      </c>
      <c r="E8" s="1" t="inlineStr">
        <is>
          <t>Devraj Iyer</t>
        </is>
      </c>
      <c r="F8" s="1" t="n">
        <v>3674539.93</v>
      </c>
      <c r="G8" s="1" t="n">
        <v>3307085.94</v>
      </c>
      <c r="H8" s="1">
        <f>ROUND(G8-F8,2)</f>
        <v/>
      </c>
      <c r="I8" s="1" t="inlineStr">
        <is>
          <t>Contract renegotiated at a lower unit rate</t>
        </is>
      </c>
      <c r="J8" s="1" t="inlineStr">
        <is>
          <t>No</t>
        </is>
      </c>
      <c r="K8" s="1" t="inlineStr">
        <is>
          <t>Under review</t>
        </is>
      </c>
      <c r="L8" s="2" t="n">
        <v>46317</v>
      </c>
      <c r="M8" s="1" t="inlineStr">
        <is>
          <t>Depends on the financing outcome and may be re-cut</t>
        </is>
      </c>
    </row>
    <row r="9">
      <c r="A9" s="1" t="inlineStr">
        <is>
          <t>CC-100-6230-008</t>
        </is>
      </c>
      <c r="B9" s="1" t="inlineStr">
        <is>
          <t>CC-100 Executive</t>
        </is>
      </c>
      <c r="C9" s="1" t="inlineStr">
        <is>
          <t>6230</t>
        </is>
      </c>
      <c r="D9" s="1" t="inlineStr">
        <is>
          <t>Professional fees - accounting</t>
        </is>
      </c>
      <c r="E9" s="1" t="inlineStr">
        <is>
          <t>Gideon Marsh</t>
        </is>
      </c>
      <c r="F9" s="1" t="n">
        <v>3998674.36</v>
      </c>
      <c r="G9" s="1" t="n">
        <v>3678780.41</v>
      </c>
      <c r="H9" s="1">
        <f>ROUND(G9-F9,2)</f>
        <v/>
      </c>
      <c r="I9" s="1" t="inlineStr">
        <is>
          <t>Inflation and renewal uplift on a multi-year contract</t>
        </is>
      </c>
      <c r="J9" s="1" t="inlineStr">
        <is>
          <t>No</t>
        </is>
      </c>
      <c r="K9" s="1" t="inlineStr">
        <is>
          <t>Approved</t>
        </is>
      </c>
      <c r="L9" s="2" t="n">
        <v>46282</v>
      </c>
      <c r="M9" s="1" t="inlineStr">
        <is>
          <t>Owner to confirm the vendor quote before release</t>
        </is>
      </c>
    </row>
    <row r="10">
      <c r="A10" s="1" t="inlineStr">
        <is>
          <t>CC-410-5030-009</t>
        </is>
      </c>
      <c r="B10" s="1" t="inlineStr">
        <is>
          <t>CC-410 Remote Operations</t>
        </is>
      </c>
      <c r="C10" s="1" t="inlineStr">
        <is>
          <t>5030</t>
        </is>
      </c>
      <c r="D10" s="1" t="inlineStr">
        <is>
          <t>Cost of revenue - field services</t>
        </is>
      </c>
      <c r="E10" s="1" t="inlineStr">
        <is>
          <t>Tomas Ferreira</t>
        </is>
      </c>
      <c r="F10" s="1" t="n">
        <v>2202115.04</v>
      </c>
      <c r="G10" s="1" t="n">
        <v>2642538.05</v>
      </c>
      <c r="H10" s="1">
        <f>ROUND(G10-F10,2)</f>
        <v/>
      </c>
      <c r="I10" s="1" t="inlineStr">
        <is>
          <t>Cost moved to a different cost centre</t>
        </is>
      </c>
      <c r="J10" s="1" t="inlineStr">
        <is>
          <t>No</t>
        </is>
      </c>
      <c r="K10" s="1" t="inlineStr">
        <is>
          <t>Deferred</t>
        </is>
      </c>
      <c r="L10" s="2" t="n">
        <v>46282</v>
      </c>
      <c r="M10" s="1" t="inlineStr">
        <is>
          <t>Reclassified from cost of revenue after the audit review</t>
        </is>
      </c>
    </row>
    <row r="11">
      <c r="A11" s="1" t="inlineStr">
        <is>
          <t>CC-400-6310-010</t>
        </is>
      </c>
      <c r="B11" s="1" t="inlineStr">
        <is>
          <t>CC-400 Customer Operations</t>
        </is>
      </c>
      <c r="C11" s="1" t="inlineStr">
        <is>
          <t>6310</t>
        </is>
      </c>
      <c r="D11" s="1" t="inlineStr">
        <is>
          <t>Depreciation and amortization</t>
        </is>
      </c>
      <c r="E11" s="1" t="inlineStr">
        <is>
          <t>Camila Duarte</t>
        </is>
      </c>
      <c r="F11" s="1" t="n">
        <v>2707127.37</v>
      </c>
      <c r="G11" s="1" t="n">
        <v>3573408.13</v>
      </c>
      <c r="H11" s="1">
        <f>ROUND(G11-F11,2)</f>
        <v/>
      </c>
      <c r="I11" s="1" t="inlineStr">
        <is>
          <t>Volume growth in deployments</t>
        </is>
      </c>
      <c r="J11" s="1" t="inlineStr">
        <is>
          <t>No</t>
        </is>
      </c>
      <c r="K11" s="1" t="inlineStr">
        <is>
          <t>Approved with condition</t>
        </is>
      </c>
      <c r="L11" s="2" t="n">
        <v>46345</v>
      </c>
      <c r="M11" s="1" t="inlineStr">
        <is>
          <t>Line consolidated with two smaller requests</t>
        </is>
      </c>
    </row>
    <row r="12">
      <c r="A12" s="1" t="inlineStr">
        <is>
          <t>CC-200-7010-011</t>
        </is>
      </c>
      <c r="B12" s="1" t="inlineStr">
        <is>
          <t>CC-200 Engineering</t>
        </is>
      </c>
      <c r="C12" s="1" t="inlineStr">
        <is>
          <t>7010</t>
        </is>
      </c>
      <c r="D12" s="1" t="inlineStr">
        <is>
          <t>Interest expense</t>
        </is>
      </c>
      <c r="E12" s="1" t="inlineStr">
        <is>
          <t>Priya Raghunathan</t>
        </is>
      </c>
      <c r="F12" s="1" t="n">
        <v>678966.88</v>
      </c>
      <c r="G12" s="1" t="n">
        <v>658597.87</v>
      </c>
      <c r="H12" s="1">
        <f>ROUND(G12-F12,2)</f>
        <v/>
      </c>
      <c r="I12" s="1" t="inlineStr">
        <is>
          <t>Cost moved to a different cost centre</t>
        </is>
      </c>
      <c r="J12" s="1" t="inlineStr">
        <is>
          <t>No</t>
        </is>
      </c>
      <c r="K12" s="1" t="inlineStr">
        <is>
          <t>Under review</t>
        </is>
      </c>
      <c r="L12" s="2" t="n">
        <v>46317</v>
      </c>
      <c r="M12" s="1" t="inlineStr">
        <is>
          <t>Flat to forecast; no change requested</t>
        </is>
      </c>
    </row>
    <row r="13">
      <c r="A13" s="1" t="inlineStr">
        <is>
          <t>CC-800-6110-012</t>
        </is>
      </c>
      <c r="B13" s="1" t="inlineStr">
        <is>
          <t>CC-800 People</t>
        </is>
      </c>
      <c r="C13" s="1" t="inlineStr">
        <is>
          <t>6110</t>
        </is>
      </c>
      <c r="D13" s="1" t="inlineStr">
        <is>
          <t>Sales and marketing compensation</t>
        </is>
      </c>
      <c r="E13" s="1" t="inlineStr">
        <is>
          <t>Junia Alvarez</t>
        </is>
      </c>
      <c r="F13" s="1" t="n">
        <v>2108290.58</v>
      </c>
      <c r="G13" s="1" t="n">
        <v>2466699.98</v>
      </c>
      <c r="H13" s="1">
        <f>ROUND(G13-F13,2)</f>
        <v/>
      </c>
      <c r="I13" s="1" t="inlineStr">
        <is>
          <t>Contract renegotiated at a lower unit rate</t>
        </is>
      </c>
      <c r="J13" s="1" t="inlineStr">
        <is>
          <t>Yes</t>
        </is>
      </c>
      <c r="K13" s="1" t="inlineStr">
        <is>
          <t>Under review</t>
        </is>
      </c>
      <c r="L13" s="2" t="n">
        <v>46282</v>
      </c>
      <c r="M13" s="1" t="inlineStr">
        <is>
          <t>Flat to forecast; no change requested</t>
        </is>
      </c>
    </row>
    <row r="14">
      <c r="A14" s="1" t="inlineStr">
        <is>
          <t>CC-610-6110-013</t>
        </is>
      </c>
      <c r="B14" s="1" t="inlineStr">
        <is>
          <t>CC-610 Legal</t>
        </is>
      </c>
      <c r="C14" s="1" t="inlineStr">
        <is>
          <t>6110</t>
        </is>
      </c>
      <c r="D14" s="1" t="inlineStr">
        <is>
          <t>Sales and marketing compensation</t>
        </is>
      </c>
      <c r="E14" s="1" t="inlineStr">
        <is>
          <t>Delia Mwangi</t>
        </is>
      </c>
      <c r="F14" s="1" t="n">
        <v>2032164.42</v>
      </c>
      <c r="G14" s="1" t="n">
        <v>2113451</v>
      </c>
      <c r="H14" s="1">
        <f>ROUND(G14-F14,2)</f>
        <v/>
      </c>
      <c r="I14" s="1" t="inlineStr">
        <is>
          <t>Headcount additions approved in the plan</t>
        </is>
      </c>
      <c r="J14" s="1" t="inlineStr">
        <is>
          <t>Yes</t>
        </is>
      </c>
      <c r="K14" s="1" t="inlineStr">
        <is>
          <t>Returned to owner</t>
        </is>
      </c>
      <c r="L14" s="2" t="n">
        <v>46317</v>
      </c>
      <c r="M14" s="1" t="inlineStr">
        <is>
          <t>Line consolidated with two smaller requests</t>
        </is>
      </c>
    </row>
    <row r="15">
      <c r="A15" s="1" t="inlineStr">
        <is>
          <t>CC-610-6010-014</t>
        </is>
      </c>
      <c r="B15" s="1" t="inlineStr">
        <is>
          <t>CC-610 Legal</t>
        </is>
      </c>
      <c r="C15" s="1" t="inlineStr">
        <is>
          <t>6010</t>
        </is>
      </c>
      <c r="D15" s="1" t="inlineStr">
        <is>
          <t>Research and development compensation</t>
        </is>
      </c>
      <c r="E15" s="1" t="inlineStr">
        <is>
          <t>Marta Kubiak</t>
        </is>
      </c>
      <c r="F15" s="1" t="n">
        <v>3226238.76</v>
      </c>
      <c r="G15" s="1" t="n">
        <v>2677778.17</v>
      </c>
      <c r="H15" s="1">
        <f>ROUND(G15-F15,2)</f>
        <v/>
      </c>
      <c r="I15" s="1" t="inlineStr">
        <is>
          <t>Cost moved to a different cost centre</t>
        </is>
      </c>
      <c r="J15" s="1" t="inlineStr">
        <is>
          <t>Yes</t>
        </is>
      </c>
      <c r="K15" s="1" t="inlineStr">
        <is>
          <t>Deferred</t>
        </is>
      </c>
      <c r="L15" s="2" t="n">
        <v>46282</v>
      </c>
      <c r="M15" s="1" t="inlineStr">
        <is>
          <t>Owner to confirm the vendor quote before release</t>
        </is>
      </c>
    </row>
    <row r="16">
      <c r="A16" s="1" t="inlineStr">
        <is>
          <t>CC-510-6020-015</t>
        </is>
      </c>
      <c r="B16" s="1" t="inlineStr">
        <is>
          <t>CC-510 Supply Chain</t>
        </is>
      </c>
      <c r="C16" s="1" t="inlineStr">
        <is>
          <t>6020</t>
        </is>
      </c>
      <c r="D16" s="1" t="inlineStr">
        <is>
          <t>Research and development materials</t>
        </is>
      </c>
      <c r="E16" s="1" t="inlineStr">
        <is>
          <t>Owen Brackenbury</t>
        </is>
      </c>
      <c r="F16" s="1" t="n">
        <v>106910.38</v>
      </c>
      <c r="G16" s="1" t="n">
        <v>107979.48</v>
      </c>
      <c r="H16" s="1">
        <f>ROUND(G16-F16,2)</f>
        <v/>
      </c>
      <c r="I16" s="1" t="inlineStr">
        <is>
          <t>Inflation and renewal uplift on a multi-year contract</t>
        </is>
      </c>
      <c r="J16" s="1" t="inlineStr">
        <is>
          <t>No</t>
        </is>
      </c>
      <c r="K16" s="1" t="inlineStr">
        <is>
          <t>Returned to owner</t>
        </is>
      </c>
      <c r="L16" s="2" t="n">
        <v>46345</v>
      </c>
      <c r="M16" s="1" t="inlineStr">
        <is>
          <t>Reclassified from cost of revenue after the audit review</t>
        </is>
      </c>
    </row>
    <row r="17">
      <c r="A17" s="1" t="inlineStr">
        <is>
          <t>CC-610-6210-016</t>
        </is>
      </c>
      <c r="B17" s="1" t="inlineStr">
        <is>
          <t>CC-610 Legal</t>
        </is>
      </c>
      <c r="C17" s="1" t="inlineStr">
        <is>
          <t>6210</t>
        </is>
      </c>
      <c r="D17" s="1" t="inlineStr">
        <is>
          <t>General and administrative compensation</t>
        </is>
      </c>
      <c r="E17" s="1" t="inlineStr">
        <is>
          <t>Tomas Ferreira</t>
        </is>
      </c>
      <c r="F17" s="1" t="n">
        <v>1839615.77</v>
      </c>
      <c r="G17" s="1" t="n">
        <v>2538669.76</v>
      </c>
      <c r="H17" s="1">
        <f>ROUND(G17-F17,2)</f>
        <v/>
      </c>
      <c r="I17" s="1" t="inlineStr">
        <is>
          <t>Headcount additions approved in the plan</t>
        </is>
      </c>
      <c r="J17" s="1" t="inlineStr">
        <is>
          <t>Yes</t>
        </is>
      </c>
      <c r="K17" s="1" t="inlineStr">
        <is>
          <t>Approved</t>
        </is>
      </c>
      <c r="L17" s="2" t="n">
        <v>46345</v>
      </c>
      <c r="M17" s="1" t="inlineStr">
        <is>
          <t>Reclassified from cost of revenue after the audit review</t>
        </is>
      </c>
    </row>
    <row r="18">
      <c r="A18" s="1" t="inlineStr">
        <is>
          <t>CC-310-6220-017</t>
        </is>
      </c>
      <c r="B18" s="1" t="inlineStr">
        <is>
          <t>CC-310 Sales Engineering</t>
        </is>
      </c>
      <c r="C18" s="1" t="inlineStr">
        <is>
          <t>6220</t>
        </is>
      </c>
      <c r="D18" s="1" t="inlineStr">
        <is>
          <t>Professional fees - legal</t>
        </is>
      </c>
      <c r="E18" s="1" t="inlineStr">
        <is>
          <t>Winifred Achebe</t>
        </is>
      </c>
      <c r="F18" s="1" t="n">
        <v>2720811.25</v>
      </c>
      <c r="G18" s="1" t="n">
        <v>2095024.66</v>
      </c>
      <c r="H18" s="1">
        <f>ROUND(G18-F18,2)</f>
        <v/>
      </c>
      <c r="I18" s="1" t="inlineStr">
        <is>
          <t>Insourcing work previously performed by a vendor</t>
        </is>
      </c>
      <c r="J18" s="1" t="inlineStr">
        <is>
          <t>No</t>
        </is>
      </c>
      <c r="K18" s="1" t="inlineStr">
        <is>
          <t>Under review</t>
        </is>
      </c>
      <c r="L18" s="2" t="n">
        <v>46282</v>
      </c>
      <c r="M18" s="1" t="inlineStr">
        <is>
          <t>Reclassified from cost of revenue after the audit review</t>
        </is>
      </c>
    </row>
    <row r="19">
      <c r="A19" s="1" t="inlineStr">
        <is>
          <t>CC-900-6230-018</t>
        </is>
      </c>
      <c r="B19" s="1" t="inlineStr">
        <is>
          <t>CC-900 Information Technology</t>
        </is>
      </c>
      <c r="C19" s="1" t="inlineStr">
        <is>
          <t>6230</t>
        </is>
      </c>
      <c r="D19" s="1" t="inlineStr">
        <is>
          <t>Professional fees - accounting</t>
        </is>
      </c>
      <c r="E19" s="1" t="inlineStr">
        <is>
          <t>Yuki Sandoval</t>
        </is>
      </c>
      <c r="F19" s="1" t="n">
        <v>1671477.75</v>
      </c>
      <c r="G19" s="1" t="n">
        <v>1704907.3</v>
      </c>
      <c r="H19" s="1">
        <f>ROUND(G19-F19,2)</f>
        <v/>
      </c>
      <c r="I19" s="1" t="inlineStr">
        <is>
          <t>Programme deferred to the following year</t>
        </is>
      </c>
      <c r="J19" s="1" t="inlineStr">
        <is>
          <t>No</t>
        </is>
      </c>
      <c r="K19" s="1" t="inlineStr">
        <is>
          <t>Approved with condition</t>
        </is>
      </c>
      <c r="L19" s="2" t="n">
        <v>46282</v>
      </c>
      <c r="M19" s="1" t="inlineStr">
        <is>
          <t>Condition: release the second half only after the mid-year review</t>
        </is>
      </c>
    </row>
    <row r="20">
      <c r="A20" s="1" t="inlineStr">
        <is>
          <t>CC-900-6240-019</t>
        </is>
      </c>
      <c r="B20" s="1" t="inlineStr">
        <is>
          <t>CC-900 Information Technology</t>
        </is>
      </c>
      <c r="C20" s="1" t="inlineStr">
        <is>
          <t>6240</t>
        </is>
      </c>
      <c r="D20" s="1" t="inlineStr">
        <is>
          <t>Facilities and occupancy</t>
        </is>
      </c>
      <c r="E20" s="1" t="inlineStr">
        <is>
          <t>Junia Alvarez</t>
        </is>
      </c>
      <c r="F20" s="1" t="n">
        <v>3843845.63</v>
      </c>
      <c r="G20" s="1" t="n">
        <v>5419822.34</v>
      </c>
      <c r="H20" s="1">
        <f>ROUND(G20-F20,2)</f>
        <v/>
      </c>
      <c r="I20" s="1" t="inlineStr">
        <is>
          <t>Programme deferred to the following year</t>
        </is>
      </c>
      <c r="J20" s="1" t="inlineStr">
        <is>
          <t>No</t>
        </is>
      </c>
      <c r="K20" s="1" t="inlineStr">
        <is>
          <t>Returned to owner</t>
        </is>
      </c>
      <c r="L20" s="2" t="n">
        <v>46282</v>
      </c>
      <c r="M20" s="1" t="inlineStr">
        <is>
          <t>Reclassified from cost of revenue after the audit review</t>
        </is>
      </c>
    </row>
    <row r="21">
      <c r="A21" s="1" t="inlineStr">
        <is>
          <t>CC-400-7020-020</t>
        </is>
      </c>
      <c r="B21" s="1" t="inlineStr">
        <is>
          <t>CC-400 Customer Operations</t>
        </is>
      </c>
      <c r="C21" s="1" t="inlineStr">
        <is>
          <t>7020</t>
        </is>
      </c>
      <c r="D21" s="1" t="inlineStr">
        <is>
          <t>Other income and expense</t>
        </is>
      </c>
      <c r="E21" s="1" t="inlineStr">
        <is>
          <t>Simona Vitale</t>
        </is>
      </c>
      <c r="F21" s="1" t="n">
        <v>1575197.6</v>
      </c>
      <c r="G21" s="1" t="n">
        <v>1291662.03</v>
      </c>
      <c r="H21" s="1">
        <f>ROUND(G21-F21,2)</f>
        <v/>
      </c>
      <c r="I21" s="1" t="inlineStr">
        <is>
          <t>Contract renegotiated at a lower unit rate</t>
        </is>
      </c>
      <c r="J21" s="1" t="inlineStr">
        <is>
          <t>No</t>
        </is>
      </c>
      <c r="K21" s="1" t="inlineStr">
        <is>
          <t>Deferred</t>
        </is>
      </c>
      <c r="L21" s="2" t="n">
        <v>46317</v>
      </c>
      <c r="M21" s="1" t="inlineStr">
        <is>
          <t>Line consolidated with two smaller requests</t>
        </is>
      </c>
    </row>
    <row r="22">
      <c r="A22" s="1" t="inlineStr">
        <is>
          <t>CC-210-6230-021</t>
        </is>
      </c>
      <c r="B22" s="1" t="inlineStr">
        <is>
          <t>CC-210 Engineering Test</t>
        </is>
      </c>
      <c r="C22" s="1" t="inlineStr">
        <is>
          <t>6230</t>
        </is>
      </c>
      <c r="D22" s="1" t="inlineStr">
        <is>
          <t>Professional fees - accounting</t>
        </is>
      </c>
      <c r="E22" s="1" t="inlineStr">
        <is>
          <t>Sasha Lindqvist</t>
        </is>
      </c>
      <c r="F22" s="1" t="n">
        <v>3998110.94</v>
      </c>
      <c r="G22" s="1" t="n">
        <v>3958129.83</v>
      </c>
      <c r="H22" s="1">
        <f>ROUND(G22-F22,2)</f>
        <v/>
      </c>
      <c r="I22" s="1" t="inlineStr">
        <is>
          <t>Headcount additions approved in the plan</t>
        </is>
      </c>
      <c r="J22" s="1" t="inlineStr">
        <is>
          <t>No</t>
        </is>
      </c>
      <c r="K22" s="1" t="inlineStr">
        <is>
          <t>Approved</t>
        </is>
      </c>
      <c r="L22" s="2" t="n">
        <v>46317</v>
      </c>
      <c r="M22" s="1" t="inlineStr">
        <is>
          <t>Condition: release the second half only after the mid-year review</t>
        </is>
      </c>
    </row>
    <row r="23">
      <c r="A23" s="1" t="inlineStr">
        <is>
          <t>CC-900-6020-022</t>
        </is>
      </c>
      <c r="B23" s="1" t="inlineStr">
        <is>
          <t>CC-900 Information Technology</t>
        </is>
      </c>
      <c r="C23" s="1" t="inlineStr">
        <is>
          <t>6020</t>
        </is>
      </c>
      <c r="D23" s="1" t="inlineStr">
        <is>
          <t>Research and development materials</t>
        </is>
      </c>
      <c r="E23" s="1" t="inlineStr">
        <is>
          <t>Simona Vitale</t>
        </is>
      </c>
      <c r="F23" s="1" t="n">
        <v>186224.27</v>
      </c>
      <c r="G23" s="1" t="n">
        <v>221606.88</v>
      </c>
      <c r="H23" s="1">
        <f>ROUND(G23-F23,2)</f>
        <v/>
      </c>
      <c r="I23" s="1" t="inlineStr">
        <is>
          <t>Headcount additions approved in the plan</t>
        </is>
      </c>
      <c r="J23" s="1" t="inlineStr">
        <is>
          <t>No</t>
        </is>
      </c>
      <c r="K23" s="1" t="inlineStr">
        <is>
          <t>Approved with condition</t>
        </is>
      </c>
      <c r="L23" s="2" t="n">
        <v>46317</v>
      </c>
      <c r="M23" s="1" t="inlineStr">
        <is>
          <t>Depends on the financing outcome and may be re-cut</t>
        </is>
      </c>
    </row>
    <row r="24">
      <c r="A24" s="1" t="inlineStr">
        <is>
          <t>CC-310-6020-023</t>
        </is>
      </c>
      <c r="B24" s="1" t="inlineStr">
        <is>
          <t>CC-310 Sales Engineering</t>
        </is>
      </c>
      <c r="C24" s="1" t="inlineStr">
        <is>
          <t>6020</t>
        </is>
      </c>
      <c r="D24" s="1" t="inlineStr">
        <is>
          <t>Research and development materials</t>
        </is>
      </c>
      <c r="E24" s="1" t="inlineStr">
        <is>
          <t>Marta Kubiak</t>
        </is>
      </c>
      <c r="F24" s="1" t="n">
        <v>630829.13</v>
      </c>
      <c r="G24" s="1" t="n">
        <v>693912.04</v>
      </c>
      <c r="H24" s="1">
        <f>ROUND(G24-F24,2)</f>
        <v/>
      </c>
      <c r="I24" s="1" t="inlineStr">
        <is>
          <t>Cost moved to a different cost centre</t>
        </is>
      </c>
      <c r="J24" s="1" t="inlineStr">
        <is>
          <t>No</t>
        </is>
      </c>
      <c r="K24" s="1" t="inlineStr">
        <is>
          <t>Approved</t>
        </is>
      </c>
      <c r="L24" s="2" t="n">
        <v>46345</v>
      </c>
      <c r="M24" s="1" t="inlineStr">
        <is>
          <t>Reclassified from cost of revenue after the audit review</t>
        </is>
      </c>
    </row>
    <row r="25">
      <c r="A25" s="1" t="inlineStr">
        <is>
          <t>CC-300-6310-024</t>
        </is>
      </c>
      <c r="B25" s="1" t="inlineStr">
        <is>
          <t>CC-300 Sales</t>
        </is>
      </c>
      <c r="C25" s="1" t="inlineStr">
        <is>
          <t>6310</t>
        </is>
      </c>
      <c r="D25" s="1" t="inlineStr">
        <is>
          <t>Depreciation and amortization</t>
        </is>
      </c>
      <c r="E25" s="1" t="inlineStr">
        <is>
          <t>Camila Duarte</t>
        </is>
      </c>
      <c r="F25" s="1" t="n">
        <v>1377901.12</v>
      </c>
      <c r="G25" s="1" t="n">
        <v>1708597.39</v>
      </c>
      <c r="H25" s="1">
        <f>ROUND(G25-F25,2)</f>
        <v/>
      </c>
      <c r="I25" s="1" t="inlineStr">
        <is>
          <t>One-time programme not repeating</t>
        </is>
      </c>
      <c r="J25" s="1" t="inlineStr">
        <is>
          <t>No</t>
        </is>
      </c>
      <c r="K25" s="1" t="inlineStr">
        <is>
          <t>Approved with condition</t>
        </is>
      </c>
      <c r="L25" s="2" t="n">
        <v>46345</v>
      </c>
      <c r="M25" s="1" t="inlineStr">
        <is>
          <t>Line consolidated with two smaller requests</t>
        </is>
      </c>
    </row>
    <row r="26">
      <c r="A26" s="1" t="inlineStr">
        <is>
          <t>CC-700-6210-025</t>
        </is>
      </c>
      <c r="B26" s="1" t="inlineStr">
        <is>
          <t>CC-700 Marketing</t>
        </is>
      </c>
      <c r="C26" s="1" t="inlineStr">
        <is>
          <t>6210</t>
        </is>
      </c>
      <c r="D26" s="1" t="inlineStr">
        <is>
          <t>General and administrative compensation</t>
        </is>
      </c>
      <c r="E26" s="1" t="inlineStr">
        <is>
          <t>Owen Brackenbury</t>
        </is>
      </c>
      <c r="F26" s="1" t="n">
        <v>553841.12</v>
      </c>
      <c r="G26" s="1" t="n">
        <v>443072.9</v>
      </c>
      <c r="H26" s="1">
        <f>ROUND(G26-F26,2)</f>
        <v/>
      </c>
      <c r="I26" s="1" t="inlineStr">
        <is>
          <t>Contract renegotiated at a lower unit rate</t>
        </is>
      </c>
      <c r="J26" s="1" t="inlineStr">
        <is>
          <t>Yes</t>
        </is>
      </c>
      <c r="K26" s="1" t="inlineStr">
        <is>
          <t>Returned to owner</t>
        </is>
      </c>
      <c r="L26" s="2" t="n">
        <v>46317</v>
      </c>
      <c r="M26" s="1" t="inlineStr">
        <is>
          <t>Reclassified from cost of revenue after the audit review</t>
        </is>
      </c>
    </row>
    <row r="27">
      <c r="A27" s="1" t="inlineStr">
        <is>
          <t>CC-600-5030-026</t>
        </is>
      </c>
      <c r="B27" s="1" t="inlineStr">
        <is>
          <t>CC-600 Finance</t>
        </is>
      </c>
      <c r="C27" s="1" t="inlineStr">
        <is>
          <t>5030</t>
        </is>
      </c>
      <c r="D27" s="1" t="inlineStr">
        <is>
          <t>Cost of revenue - field services</t>
        </is>
      </c>
      <c r="E27" s="1" t="inlineStr">
        <is>
          <t>Elias Moreno</t>
        </is>
      </c>
      <c r="F27" s="1" t="n">
        <v>2972150.42</v>
      </c>
      <c r="G27" s="1" t="n">
        <v>2704656.88</v>
      </c>
      <c r="H27" s="1">
        <f>ROUND(G27-F27,2)</f>
        <v/>
      </c>
      <c r="I27" s="1" t="inlineStr">
        <is>
          <t>Insourcing work previously performed by a vendor</t>
        </is>
      </c>
      <c r="J27" s="1" t="inlineStr">
        <is>
          <t>No</t>
        </is>
      </c>
      <c r="K27" s="1" t="inlineStr">
        <is>
          <t>Returned to owner</t>
        </is>
      </c>
      <c r="L27" s="2" t="n">
        <v>46317</v>
      </c>
      <c r="M27" s="1" t="inlineStr">
        <is>
          <t>Reclassified from cost of revenue after the audit review</t>
        </is>
      </c>
    </row>
    <row r="28">
      <c r="A28" s="1" t="inlineStr">
        <is>
          <t>CC-300-7020-027</t>
        </is>
      </c>
      <c r="B28" s="1" t="inlineStr">
        <is>
          <t>CC-300 Sales</t>
        </is>
      </c>
      <c r="C28" s="1" t="inlineStr">
        <is>
          <t>7020</t>
        </is>
      </c>
      <c r="D28" s="1" t="inlineStr">
        <is>
          <t>Other income and expense</t>
        </is>
      </c>
      <c r="E28" s="1" t="inlineStr">
        <is>
          <t>Junia Alvarez</t>
        </is>
      </c>
      <c r="F28" s="1" t="n">
        <v>1321316.07</v>
      </c>
      <c r="G28" s="1" t="n">
        <v>1704497.73</v>
      </c>
      <c r="H28" s="1">
        <f>ROUND(G28-F28,2)</f>
        <v/>
      </c>
      <c r="I28" s="1" t="inlineStr">
        <is>
          <t>Inflation and renewal uplift on a multi-year contract</t>
        </is>
      </c>
      <c r="J28" s="1" t="inlineStr">
        <is>
          <t>No</t>
        </is>
      </c>
      <c r="K28" s="1" t="inlineStr">
        <is>
          <t>Approved with condition</t>
        </is>
      </c>
      <c r="L28" s="2" t="n">
        <v>46282</v>
      </c>
      <c r="M28" s="1" t="inlineStr">
        <is>
          <t>Line consolidated with two smaller requests</t>
        </is>
      </c>
    </row>
    <row r="29">
      <c r="A29" s="1" t="inlineStr">
        <is>
          <t>CC-210-6110-028</t>
        </is>
      </c>
      <c r="B29" s="1" t="inlineStr">
        <is>
          <t>CC-210 Engineering Test</t>
        </is>
      </c>
      <c r="C29" s="1" t="inlineStr">
        <is>
          <t>6110</t>
        </is>
      </c>
      <c r="D29" s="1" t="inlineStr">
        <is>
          <t>Sales and marketing compensation</t>
        </is>
      </c>
      <c r="E29" s="1" t="inlineStr">
        <is>
          <t>Marcus Oyelaran</t>
        </is>
      </c>
      <c r="F29" s="1" t="n">
        <v>751686.9399999999</v>
      </c>
      <c r="G29" s="1" t="n">
        <v>1052361.72</v>
      </c>
      <c r="H29" s="1">
        <f>ROUND(G29-F29,2)</f>
        <v/>
      </c>
      <c r="I29" s="1" t="inlineStr">
        <is>
          <t>One-time programme not repeating</t>
        </is>
      </c>
      <c r="J29" s="1" t="inlineStr">
        <is>
          <t>Yes</t>
        </is>
      </c>
      <c r="K29" s="1" t="inlineStr">
        <is>
          <t>Approved</t>
        </is>
      </c>
      <c r="L29" s="2" t="n">
        <v>46345</v>
      </c>
      <c r="M29" s="1" t="inlineStr">
        <is>
          <t>Depends on the financing outcome and may be re-cut</t>
        </is>
      </c>
    </row>
    <row r="30">
      <c r="A30" s="1" t="inlineStr">
        <is>
          <t>CC-610-6020-029</t>
        </is>
      </c>
      <c r="B30" s="1" t="inlineStr">
        <is>
          <t>CC-610 Legal</t>
        </is>
      </c>
      <c r="C30" s="1" t="inlineStr">
        <is>
          <t>6020</t>
        </is>
      </c>
      <c r="D30" s="1" t="inlineStr">
        <is>
          <t>Research and development materials</t>
        </is>
      </c>
      <c r="E30" s="1" t="inlineStr">
        <is>
          <t>Winifred Achebe</t>
        </is>
      </c>
      <c r="F30" s="1" t="n">
        <v>1627724.85</v>
      </c>
      <c r="G30" s="1" t="n">
        <v>1578893.1</v>
      </c>
      <c r="H30" s="1">
        <f>ROUND(G30-F30,2)</f>
        <v/>
      </c>
      <c r="I30" s="1" t="inlineStr">
        <is>
          <t>Volume growth in deployments</t>
        </is>
      </c>
      <c r="J30" s="1" t="inlineStr">
        <is>
          <t>No</t>
        </is>
      </c>
      <c r="K30" s="1" t="inlineStr">
        <is>
          <t>Under review</t>
        </is>
      </c>
      <c r="L30" s="2" t="n">
        <v>46317</v>
      </c>
      <c r="M30" s="1" t="inlineStr">
        <is>
          <t>Owner to confirm the vendor quote before release</t>
        </is>
      </c>
    </row>
    <row r="31">
      <c r="A31" s="1" t="inlineStr">
        <is>
          <t>CC-800-6250-030</t>
        </is>
      </c>
      <c r="B31" s="1" t="inlineStr">
        <is>
          <t>CC-800 People</t>
        </is>
      </c>
      <c r="C31" s="1" t="inlineStr">
        <is>
          <t>6250</t>
        </is>
      </c>
      <c r="D31" s="1" t="inlineStr">
        <is>
          <t>Insurance</t>
        </is>
      </c>
      <c r="E31" s="1" t="inlineStr">
        <is>
          <t>Junia Alvarez</t>
        </is>
      </c>
      <c r="F31" s="1" t="n">
        <v>525309.29</v>
      </c>
      <c r="G31" s="1" t="n">
        <v>425500.52</v>
      </c>
      <c r="H31" s="1">
        <f>ROUND(G31-F31,2)</f>
        <v/>
      </c>
      <c r="I31" s="1" t="inlineStr">
        <is>
          <t>Volume growth in deployments</t>
        </is>
      </c>
      <c r="J31" s="1" t="inlineStr">
        <is>
          <t>No</t>
        </is>
      </c>
      <c r="K31" s="1" t="inlineStr">
        <is>
          <t>Deferred</t>
        </is>
      </c>
      <c r="L31" s="2" t="n">
        <v>46345</v>
      </c>
      <c r="M31" s="1" t="inlineStr">
        <is>
          <t>Line consolidated with two smaller requests</t>
        </is>
      </c>
    </row>
    <row r="32">
      <c r="A32" s="1" t="inlineStr">
        <is>
          <t>CC-700-6240-031</t>
        </is>
      </c>
      <c r="B32" s="1" t="inlineStr">
        <is>
          <t>CC-700 Marketing</t>
        </is>
      </c>
      <c r="C32" s="1" t="inlineStr">
        <is>
          <t>6240</t>
        </is>
      </c>
      <c r="D32" s="1" t="inlineStr">
        <is>
          <t>Facilities and occupancy</t>
        </is>
      </c>
      <c r="E32" s="1" t="inlineStr">
        <is>
          <t>Winifred Achebe</t>
        </is>
      </c>
      <c r="F32" s="1" t="n">
        <v>4162683.07</v>
      </c>
      <c r="G32" s="1" t="n">
        <v>3788041.59</v>
      </c>
      <c r="H32" s="1">
        <f>ROUND(G32-F32,2)</f>
        <v/>
      </c>
      <c r="I32" s="1" t="inlineStr">
        <is>
          <t>One-time programme not repeating</t>
        </is>
      </c>
      <c r="J32" s="1" t="inlineStr">
        <is>
          <t>No</t>
        </is>
      </c>
      <c r="K32" s="1" t="inlineStr">
        <is>
          <t>Approved with condition</t>
        </is>
      </c>
      <c r="L32" s="2" t="n">
        <v>46282</v>
      </c>
      <c r="M32" s="1" t="inlineStr">
        <is>
          <t>Depends on the financing outcome and may be re-cut</t>
        </is>
      </c>
    </row>
    <row r="33">
      <c r="A33" s="1" t="inlineStr">
        <is>
          <t>CC-100-6110-032</t>
        </is>
      </c>
      <c r="B33" s="1" t="inlineStr">
        <is>
          <t>CC-100 Executive</t>
        </is>
      </c>
      <c r="C33" s="1" t="inlineStr">
        <is>
          <t>6110</t>
        </is>
      </c>
      <c r="D33" s="1" t="inlineStr">
        <is>
          <t>Sales and marketing compensation</t>
        </is>
      </c>
      <c r="E33" s="1" t="inlineStr">
        <is>
          <t>Bartholomew Ng</t>
        </is>
      </c>
      <c r="F33" s="1" t="n">
        <v>2529728.11</v>
      </c>
      <c r="G33" s="1" t="n">
        <v>3516322.07</v>
      </c>
      <c r="H33" s="1">
        <f>ROUND(G33-F33,2)</f>
        <v/>
      </c>
      <c r="I33" s="1" t="inlineStr">
        <is>
          <t>Contract renegotiated at a lower unit rate</t>
        </is>
      </c>
      <c r="J33" s="1" t="inlineStr">
        <is>
          <t>Yes</t>
        </is>
      </c>
      <c r="K33" s="1" t="inlineStr">
        <is>
          <t>Approved with condition</t>
        </is>
      </c>
      <c r="L33" s="2" t="n">
        <v>46282</v>
      </c>
      <c r="M33" s="1" t="inlineStr">
        <is>
          <t>Reclassified from cost of revenue after the audit review</t>
        </is>
      </c>
    </row>
    <row r="34">
      <c r="A34" s="1" t="inlineStr">
        <is>
          <t>CC-100-6240-033</t>
        </is>
      </c>
      <c r="B34" s="1" t="inlineStr">
        <is>
          <t>CC-100 Executive</t>
        </is>
      </c>
      <c r="C34" s="1" t="inlineStr">
        <is>
          <t>6240</t>
        </is>
      </c>
      <c r="D34" s="1" t="inlineStr">
        <is>
          <t>Facilities and occupancy</t>
        </is>
      </c>
      <c r="E34" s="1" t="inlineStr">
        <is>
          <t>Fabien Roux</t>
        </is>
      </c>
      <c r="F34" s="1" t="n">
        <v>3976933.99</v>
      </c>
      <c r="G34" s="1" t="n">
        <v>5488168.91</v>
      </c>
      <c r="H34" s="1">
        <f>ROUND(G34-F34,2)</f>
        <v/>
      </c>
      <c r="I34" s="1" t="inlineStr">
        <is>
          <t>Headcount additions approved in the plan</t>
        </is>
      </c>
      <c r="J34" s="1" t="inlineStr">
        <is>
          <t>No</t>
        </is>
      </c>
      <c r="K34" s="1" t="inlineStr">
        <is>
          <t>Approved</t>
        </is>
      </c>
      <c r="L34" s="2" t="n">
        <v>46317</v>
      </c>
      <c r="M34" s="1" t="inlineStr">
        <is>
          <t>Owner to confirm the vendor quote before release</t>
        </is>
      </c>
    </row>
    <row r="35">
      <c r="A35" s="1" t="inlineStr">
        <is>
          <t>CC-510-6010-034</t>
        </is>
      </c>
      <c r="B35" s="1" t="inlineStr">
        <is>
          <t>CC-510 Supply Chain</t>
        </is>
      </c>
      <c r="C35" s="1" t="inlineStr">
        <is>
          <t>6010</t>
        </is>
      </c>
      <c r="D35" s="1" t="inlineStr">
        <is>
          <t>Research and development compensation</t>
        </is>
      </c>
      <c r="E35" s="1" t="inlineStr">
        <is>
          <t>Idris Chaudhry</t>
        </is>
      </c>
      <c r="F35" s="1" t="n">
        <v>3456025.4</v>
      </c>
      <c r="G35" s="1" t="n">
        <v>4078109.97</v>
      </c>
      <c r="H35" s="1">
        <f>ROUND(G35-F35,2)</f>
        <v/>
      </c>
      <c r="I35" s="1" t="inlineStr">
        <is>
          <t>Cost moved to a different cost centre</t>
        </is>
      </c>
      <c r="J35" s="1" t="inlineStr">
        <is>
          <t>Yes</t>
        </is>
      </c>
      <c r="K35" s="1" t="inlineStr">
        <is>
          <t>Deferred</t>
        </is>
      </c>
      <c r="L35" s="2" t="n">
        <v>46317</v>
      </c>
      <c r="M35" s="1" t="inlineStr">
        <is>
          <t>Reclassified from cost of revenue after the audit review</t>
        </is>
      </c>
    </row>
    <row r="36">
      <c r="A36" s="1" t="inlineStr">
        <is>
          <t>CC-410-6210-035</t>
        </is>
      </c>
      <c r="B36" s="1" t="inlineStr">
        <is>
          <t>CC-410 Remote Operations</t>
        </is>
      </c>
      <c r="C36" s="1" t="inlineStr">
        <is>
          <t>6210</t>
        </is>
      </c>
      <c r="D36" s="1" t="inlineStr">
        <is>
          <t>General and administrative compensation</t>
        </is>
      </c>
      <c r="E36" s="1" t="inlineStr">
        <is>
          <t>Marta Kubiak</t>
        </is>
      </c>
      <c r="F36" s="1" t="n">
        <v>229384.84</v>
      </c>
      <c r="G36" s="1" t="n">
        <v>217915.6</v>
      </c>
      <c r="H36" s="1">
        <f>ROUND(G36-F36,2)</f>
        <v/>
      </c>
      <c r="I36" s="1" t="inlineStr">
        <is>
          <t>Contract renegotiated at a lower unit rate</t>
        </is>
      </c>
      <c r="J36" s="1" t="inlineStr">
        <is>
          <t>Yes</t>
        </is>
      </c>
      <c r="K36" s="1" t="inlineStr">
        <is>
          <t>Deferred</t>
        </is>
      </c>
      <c r="L36" s="2" t="n">
        <v>46345</v>
      </c>
      <c r="M36" s="1" t="inlineStr">
        <is>
          <t>Reclassified from cost of revenue after the audit review</t>
        </is>
      </c>
    </row>
    <row r="37">
      <c r="A37" s="1" t="inlineStr">
        <is>
          <t>CC-310-7020-036</t>
        </is>
      </c>
      <c r="B37" s="1" t="inlineStr">
        <is>
          <t>CC-310 Sales Engineering</t>
        </is>
      </c>
      <c r="C37" s="1" t="inlineStr">
        <is>
          <t>7020</t>
        </is>
      </c>
      <c r="D37" s="1" t="inlineStr">
        <is>
          <t>Other income and expense</t>
        </is>
      </c>
      <c r="E37" s="1" t="inlineStr">
        <is>
          <t>Delia Mwangi</t>
        </is>
      </c>
      <c r="F37" s="1" t="n">
        <v>3836290.24</v>
      </c>
      <c r="G37" s="1" t="n">
        <v>5178991.82</v>
      </c>
      <c r="H37" s="1">
        <f>ROUND(G37-F37,2)</f>
        <v/>
      </c>
      <c r="I37" s="1" t="inlineStr">
        <is>
          <t>Headcount additions approved in the plan</t>
        </is>
      </c>
      <c r="J37" s="1" t="inlineStr">
        <is>
          <t>No</t>
        </is>
      </c>
      <c r="K37" s="1" t="inlineStr">
        <is>
          <t>Approved</t>
        </is>
      </c>
      <c r="L37" s="2" t="n">
        <v>46317</v>
      </c>
      <c r="M37" s="1" t="inlineStr">
        <is>
          <t>Line consolidated with two smaller requests</t>
        </is>
      </c>
    </row>
    <row r="38">
      <c r="A38" s="1" t="inlineStr">
        <is>
          <t>CC-210-7020-037</t>
        </is>
      </c>
      <c r="B38" s="1" t="inlineStr">
        <is>
          <t>CC-210 Engineering Test</t>
        </is>
      </c>
      <c r="C38" s="1" t="inlineStr">
        <is>
          <t>7020</t>
        </is>
      </c>
      <c r="D38" s="1" t="inlineStr">
        <is>
          <t>Other income and expense</t>
        </is>
      </c>
      <c r="E38" s="1" t="inlineStr">
        <is>
          <t>Gordon Pike</t>
        </is>
      </c>
      <c r="F38" s="1" t="n">
        <v>2590888.42</v>
      </c>
      <c r="G38" s="1" t="n">
        <v>2875886.15</v>
      </c>
      <c r="H38" s="1">
        <f>ROUND(G38-F38,2)</f>
        <v/>
      </c>
      <c r="I38" s="1" t="inlineStr">
        <is>
          <t>Contract renegotiated at a lower unit rate</t>
        </is>
      </c>
      <c r="J38" s="1" t="inlineStr">
        <is>
          <t>No</t>
        </is>
      </c>
      <c r="K38" s="1" t="inlineStr">
        <is>
          <t>Returned to owner</t>
        </is>
      </c>
      <c r="L38" s="2" t="n">
        <v>46282</v>
      </c>
      <c r="M38" s="1" t="inlineStr">
        <is>
          <t>Owner to confirm the vendor quote before release</t>
        </is>
      </c>
    </row>
    <row r="39">
      <c r="A39" s="1" t="inlineStr">
        <is>
          <t>CC-510-6020-038</t>
        </is>
      </c>
      <c r="B39" s="1" t="inlineStr">
        <is>
          <t>CC-510 Supply Chain</t>
        </is>
      </c>
      <c r="C39" s="1" t="inlineStr">
        <is>
          <t>6020</t>
        </is>
      </c>
      <c r="D39" s="1" t="inlineStr">
        <is>
          <t>Research and development materials</t>
        </is>
      </c>
      <c r="E39" s="1" t="inlineStr">
        <is>
          <t>Hector Salcedo</t>
        </is>
      </c>
      <c r="F39" s="1" t="n">
        <v>506565.99</v>
      </c>
      <c r="G39" s="1" t="n">
        <v>445778.07</v>
      </c>
      <c r="H39" s="1">
        <f>ROUND(G39-F39,2)</f>
        <v/>
      </c>
      <c r="I39" s="1" t="inlineStr">
        <is>
          <t>Inflation and renewal uplift on a multi-year contract</t>
        </is>
      </c>
      <c r="J39" s="1" t="inlineStr">
        <is>
          <t>No</t>
        </is>
      </c>
      <c r="K39" s="1" t="inlineStr">
        <is>
          <t>Approved</t>
        </is>
      </c>
      <c r="L39" s="2" t="n">
        <v>46317</v>
      </c>
      <c r="M39" s="1" t="inlineStr">
        <is>
          <t>Depends on the financing outcome and may be re-cut</t>
        </is>
      </c>
    </row>
    <row r="40">
      <c r="A40" s="1" t="inlineStr">
        <is>
          <t>CC-700-5010-039</t>
        </is>
      </c>
      <c r="B40" s="1" t="inlineStr">
        <is>
          <t>CC-700 Marketing</t>
        </is>
      </c>
      <c r="C40" s="1" t="inlineStr">
        <is>
          <t>5010</t>
        </is>
      </c>
      <c r="D40" s="1" t="inlineStr">
        <is>
          <t>Cost of revenue - hardware</t>
        </is>
      </c>
      <c r="E40" s="1" t="inlineStr">
        <is>
          <t>Sasha Lindqvist</t>
        </is>
      </c>
      <c r="F40" s="1" t="n">
        <v>1217022.46</v>
      </c>
      <c r="G40" s="1" t="n">
        <v>949277.52</v>
      </c>
      <c r="H40" s="1">
        <f>ROUND(G40-F40,2)</f>
        <v/>
      </c>
      <c r="I40" s="1" t="inlineStr">
        <is>
          <t>Inflation and renewal uplift on a multi-year contract</t>
        </is>
      </c>
      <c r="J40" s="1" t="inlineStr">
        <is>
          <t>No</t>
        </is>
      </c>
      <c r="K40" s="1" t="inlineStr">
        <is>
          <t>Approved</t>
        </is>
      </c>
      <c r="L40" s="2" t="n">
        <v>46282</v>
      </c>
      <c r="M40" s="1" t="inlineStr">
        <is>
          <t>Condition: release the second half only after the mid-year review</t>
        </is>
      </c>
    </row>
    <row r="41">
      <c r="A41" s="1" t="inlineStr">
        <is>
          <t>CC-310-6230-040</t>
        </is>
      </c>
      <c r="B41" s="1" t="inlineStr">
        <is>
          <t>CC-310 Sales Engineering</t>
        </is>
      </c>
      <c r="C41" s="1" t="inlineStr">
        <is>
          <t>6230</t>
        </is>
      </c>
      <c r="D41" s="1" t="inlineStr">
        <is>
          <t>Professional fees - accounting</t>
        </is>
      </c>
      <c r="E41" s="1" t="inlineStr">
        <is>
          <t>Cassian Boyle</t>
        </is>
      </c>
      <c r="F41" s="1" t="n">
        <v>2304904.01</v>
      </c>
      <c r="G41" s="1" t="n">
        <v>2028315.53</v>
      </c>
      <c r="H41" s="1">
        <f>ROUND(G41-F41,2)</f>
        <v/>
      </c>
      <c r="I41" s="1" t="inlineStr">
        <is>
          <t>Cost moved to a different cost centre</t>
        </is>
      </c>
      <c r="J41" s="1" t="inlineStr">
        <is>
          <t>No</t>
        </is>
      </c>
      <c r="K41" s="1" t="inlineStr">
        <is>
          <t>Under review</t>
        </is>
      </c>
      <c r="L41" s="2" t="n">
        <v>46317</v>
      </c>
      <c r="M41" s="1" t="inlineStr">
        <is>
          <t>Depends on the financing outcome and may be re-cut</t>
        </is>
      </c>
    </row>
    <row r="42">
      <c r="A42" s="1" t="inlineStr">
        <is>
          <t>CC-800-7020-041</t>
        </is>
      </c>
      <c r="B42" s="1" t="inlineStr">
        <is>
          <t>CC-800 People</t>
        </is>
      </c>
      <c r="C42" s="1" t="inlineStr">
        <is>
          <t>7020</t>
        </is>
      </c>
      <c r="D42" s="1" t="inlineStr">
        <is>
          <t>Other income and expense</t>
        </is>
      </c>
      <c r="E42" s="1" t="inlineStr">
        <is>
          <t>Leandra Ossipova</t>
        </is>
      </c>
      <c r="F42" s="1" t="n">
        <v>1742456.83</v>
      </c>
      <c r="G42" s="1" t="n">
        <v>1393965.46</v>
      </c>
      <c r="H42" s="1">
        <f>ROUND(G42-F42,2)</f>
        <v/>
      </c>
      <c r="I42" s="1" t="inlineStr">
        <is>
          <t>Volume growth in deployments</t>
        </is>
      </c>
      <c r="J42" s="1" t="inlineStr">
        <is>
          <t>No</t>
        </is>
      </c>
      <c r="K42" s="1" t="inlineStr">
        <is>
          <t>Approved with condition</t>
        </is>
      </c>
      <c r="L42" s="2" t="n">
        <v>46317</v>
      </c>
      <c r="M42" s="1" t="inlineStr">
        <is>
          <t>Flat to forecast; no change requested</t>
        </is>
      </c>
    </row>
    <row r="43">
      <c r="A43" s="1" t="inlineStr">
        <is>
          <t>CC-410-5030-042</t>
        </is>
      </c>
      <c r="B43" s="1" t="inlineStr">
        <is>
          <t>CC-410 Remote Operations</t>
        </is>
      </c>
      <c r="C43" s="1" t="inlineStr">
        <is>
          <t>5030</t>
        </is>
      </c>
      <c r="D43" s="1" t="inlineStr">
        <is>
          <t>Cost of revenue - field services</t>
        </is>
      </c>
      <c r="E43" s="1" t="inlineStr">
        <is>
          <t>Bartholomew Ng</t>
        </is>
      </c>
      <c r="F43" s="1" t="n">
        <v>3737591.12</v>
      </c>
      <c r="G43" s="1" t="n">
        <v>3550711.56</v>
      </c>
      <c r="H43" s="1">
        <f>ROUND(G43-F43,2)</f>
        <v/>
      </c>
      <c r="I43" s="1" t="inlineStr">
        <is>
          <t>Volume growth in deployments</t>
        </is>
      </c>
      <c r="J43" s="1" t="inlineStr">
        <is>
          <t>No</t>
        </is>
      </c>
      <c r="K43" s="1" t="inlineStr">
        <is>
          <t>Under review</t>
        </is>
      </c>
      <c r="L43" s="2" t="n">
        <v>46345</v>
      </c>
      <c r="M43" s="1" t="inlineStr">
        <is>
          <t>Line consolidated with two smaller requests</t>
        </is>
      </c>
    </row>
    <row r="44">
      <c r="A44" s="1" t="inlineStr">
        <is>
          <t>CC-410-6230-043</t>
        </is>
      </c>
      <c r="B44" s="1" t="inlineStr">
        <is>
          <t>CC-410 Remote Operations</t>
        </is>
      </c>
      <c r="C44" s="1" t="inlineStr">
        <is>
          <t>6230</t>
        </is>
      </c>
      <c r="D44" s="1" t="inlineStr">
        <is>
          <t>Professional fees - accounting</t>
        </is>
      </c>
      <c r="E44" s="1" t="inlineStr">
        <is>
          <t>Hollis Ferrand</t>
        </is>
      </c>
      <c r="F44" s="1" t="n">
        <v>1717748.92</v>
      </c>
      <c r="G44" s="1" t="n">
        <v>1460086.58</v>
      </c>
      <c r="H44" s="1">
        <f>ROUND(G44-F44,2)</f>
        <v/>
      </c>
      <c r="I44" s="1" t="inlineStr">
        <is>
          <t>Inflation and renewal uplift on a multi-year contract</t>
        </is>
      </c>
      <c r="J44" s="1" t="inlineStr">
        <is>
          <t>No</t>
        </is>
      </c>
      <c r="K44" s="1" t="inlineStr">
        <is>
          <t>Under review</t>
        </is>
      </c>
      <c r="L44" s="2" t="n">
        <v>46317</v>
      </c>
      <c r="M44" s="1" t="inlineStr">
        <is>
          <t>Reclassified from cost of revenue after the audit review</t>
        </is>
      </c>
    </row>
    <row r="45">
      <c r="A45" s="1" t="inlineStr">
        <is>
          <t>CC-410-5010-044</t>
        </is>
      </c>
      <c r="B45" s="1" t="inlineStr">
        <is>
          <t>CC-410 Remote Operations</t>
        </is>
      </c>
      <c r="C45" s="1" t="inlineStr">
        <is>
          <t>5010</t>
        </is>
      </c>
      <c r="D45" s="1" t="inlineStr">
        <is>
          <t>Cost of revenue - hardware</t>
        </is>
      </c>
      <c r="E45" s="1" t="inlineStr">
        <is>
          <t>Sunniva Aalto</t>
        </is>
      </c>
      <c r="F45" s="1" t="n">
        <v>2161789.86</v>
      </c>
      <c r="G45" s="1" t="n">
        <v>2075318.27</v>
      </c>
      <c r="H45" s="1">
        <f>ROUND(G45-F45,2)</f>
        <v/>
      </c>
      <c r="I45" s="1" t="inlineStr">
        <is>
          <t>Programme deferred to the following year</t>
        </is>
      </c>
      <c r="J45" s="1" t="inlineStr">
        <is>
          <t>No</t>
        </is>
      </c>
      <c r="K45" s="1" t="inlineStr">
        <is>
          <t>Approved</t>
        </is>
      </c>
      <c r="L45" s="2" t="n">
        <v>46317</v>
      </c>
      <c r="M45" s="1" t="inlineStr">
        <is>
          <t>Depends on the financing outcome and may be re-cut</t>
        </is>
      </c>
    </row>
    <row r="46">
      <c r="A46" s="1" t="inlineStr">
        <is>
          <t>CC-800-6230-045</t>
        </is>
      </c>
      <c r="B46" s="1" t="inlineStr">
        <is>
          <t>CC-800 People</t>
        </is>
      </c>
      <c r="C46" s="1" t="inlineStr">
        <is>
          <t>6230</t>
        </is>
      </c>
      <c r="D46" s="1" t="inlineStr">
        <is>
          <t>Professional fees - accounting</t>
        </is>
      </c>
      <c r="E46" s="1" t="inlineStr">
        <is>
          <t>Dara Whitfield</t>
        </is>
      </c>
      <c r="F46" s="1" t="n">
        <v>435178.64</v>
      </c>
      <c r="G46" s="1" t="n">
        <v>352494.7</v>
      </c>
      <c r="H46" s="1">
        <f>ROUND(G46-F46,2)</f>
        <v/>
      </c>
      <c r="I46" s="1" t="inlineStr">
        <is>
          <t>Insourcing work previously performed by a vendor</t>
        </is>
      </c>
      <c r="J46" s="1" t="inlineStr">
        <is>
          <t>No</t>
        </is>
      </c>
      <c r="K46" s="1" t="inlineStr">
        <is>
          <t>Approved</t>
        </is>
      </c>
      <c r="L46" s="2" t="n">
        <v>46345</v>
      </c>
      <c r="M46" s="1" t="inlineStr">
        <is>
          <t>Reclassified from cost of revenue after the audit review</t>
        </is>
      </c>
    </row>
    <row r="47">
      <c r="A47" s="1" t="inlineStr">
        <is>
          <t>CC-610-6010-046</t>
        </is>
      </c>
      <c r="B47" s="1" t="inlineStr">
        <is>
          <t>CC-610 Legal</t>
        </is>
      </c>
      <c r="C47" s="1" t="inlineStr">
        <is>
          <t>6010</t>
        </is>
      </c>
      <c r="D47" s="1" t="inlineStr">
        <is>
          <t>Research and development compensation</t>
        </is>
      </c>
      <c r="E47" s="1" t="inlineStr">
        <is>
          <t>Cassian Boyle</t>
        </is>
      </c>
      <c r="F47" s="1" t="n">
        <v>2540339.06</v>
      </c>
      <c r="G47" s="1" t="n">
        <v>3378650.95</v>
      </c>
      <c r="H47" s="1">
        <f>ROUND(G47-F47,2)</f>
        <v/>
      </c>
      <c r="I47" s="1" t="inlineStr">
        <is>
          <t>Cost moved to a different cost centre</t>
        </is>
      </c>
      <c r="J47" s="1" t="inlineStr">
        <is>
          <t>Yes</t>
        </is>
      </c>
      <c r="K47" s="1" t="inlineStr">
        <is>
          <t>Approved with condition</t>
        </is>
      </c>
      <c r="L47" s="2" t="n">
        <v>46282</v>
      </c>
      <c r="M47" s="1" t="inlineStr">
        <is>
          <t>Flat to forecast; no change requested</t>
        </is>
      </c>
    </row>
    <row r="48">
      <c r="A48" s="1" t="inlineStr">
        <is>
          <t>CC-800-5030-047</t>
        </is>
      </c>
      <c r="B48" s="1" t="inlineStr">
        <is>
          <t>CC-800 People</t>
        </is>
      </c>
      <c r="C48" s="1" t="inlineStr">
        <is>
          <t>5030</t>
        </is>
      </c>
      <c r="D48" s="1" t="inlineStr">
        <is>
          <t>Cost of revenue - field services</t>
        </is>
      </c>
      <c r="E48" s="1" t="inlineStr">
        <is>
          <t>Odile Bergstrom</t>
        </is>
      </c>
      <c r="F48" s="1" t="n">
        <v>3696491.63</v>
      </c>
      <c r="G48" s="1" t="n">
        <v>4472754.87</v>
      </c>
      <c r="H48" s="1">
        <f>ROUND(G48-F48,2)</f>
        <v/>
      </c>
      <c r="I48" s="1" t="inlineStr">
        <is>
          <t>Cost moved to a different cost centre</t>
        </is>
      </c>
      <c r="J48" s="1" t="inlineStr">
        <is>
          <t>No</t>
        </is>
      </c>
      <c r="K48" s="1" t="inlineStr">
        <is>
          <t>Approved with condition</t>
        </is>
      </c>
      <c r="L48" s="2" t="n">
        <v>46317</v>
      </c>
      <c r="M48" s="1" t="inlineStr">
        <is>
          <t>Line consolidated with two smaller requests</t>
        </is>
      </c>
    </row>
    <row r="49">
      <c r="A49" s="1" t="inlineStr">
        <is>
          <t>CC-410-6310-048</t>
        </is>
      </c>
      <c r="B49" s="1" t="inlineStr">
        <is>
          <t>CC-410 Remote Operations</t>
        </is>
      </c>
      <c r="C49" s="1" t="inlineStr">
        <is>
          <t>6310</t>
        </is>
      </c>
      <c r="D49" s="1" t="inlineStr">
        <is>
          <t>Depreciation and amortization</t>
        </is>
      </c>
      <c r="E49" s="1" t="inlineStr">
        <is>
          <t>Rune Halvorsen</t>
        </is>
      </c>
      <c r="F49" s="1" t="n">
        <v>2320724.12</v>
      </c>
      <c r="G49" s="1" t="n">
        <v>2924112.39</v>
      </c>
      <c r="H49" s="1">
        <f>ROUND(G49-F49,2)</f>
        <v/>
      </c>
      <c r="I49" s="1" t="inlineStr">
        <is>
          <t>Contract renegotiated at a lower unit rate</t>
        </is>
      </c>
      <c r="J49" s="1" t="inlineStr">
        <is>
          <t>No</t>
        </is>
      </c>
      <c r="K49" s="1" t="inlineStr">
        <is>
          <t>Approved</t>
        </is>
      </c>
      <c r="L49" s="2" t="n">
        <v>46345</v>
      </c>
      <c r="M49" s="1" t="inlineStr">
        <is>
          <t>Reclassified from cost of revenue after the audit review</t>
        </is>
      </c>
    </row>
    <row r="50">
      <c r="A50" s="1" t="inlineStr">
        <is>
          <t>CC-400-5020-049</t>
        </is>
      </c>
      <c r="B50" s="1" t="inlineStr">
        <is>
          <t>CC-400 Customer Operations</t>
        </is>
      </c>
      <c r="C50" s="1" t="inlineStr">
        <is>
          <t>5020</t>
        </is>
      </c>
      <c r="D50" s="1" t="inlineStr">
        <is>
          <t>Cost of revenue - hosting</t>
        </is>
      </c>
      <c r="E50" s="1" t="inlineStr">
        <is>
          <t>Odile Bergstrom</t>
        </is>
      </c>
      <c r="F50" s="1" t="n">
        <v>3971313.24</v>
      </c>
      <c r="G50" s="1" t="n">
        <v>3494755.65</v>
      </c>
      <c r="H50" s="1">
        <f>ROUND(G50-F50,2)</f>
        <v/>
      </c>
      <c r="I50" s="1" t="inlineStr">
        <is>
          <t>Volume growth in deployments</t>
        </is>
      </c>
      <c r="J50" s="1" t="inlineStr">
        <is>
          <t>No</t>
        </is>
      </c>
      <c r="K50" s="1" t="inlineStr">
        <is>
          <t>Under review</t>
        </is>
      </c>
      <c r="L50" s="2" t="n">
        <v>46282</v>
      </c>
      <c r="M50" s="1" t="inlineStr">
        <is>
          <t>Reclassified from cost of revenue after the audit review</t>
        </is>
      </c>
    </row>
    <row r="51">
      <c r="A51" s="1" t="inlineStr">
        <is>
          <t>CC-310-6120-050</t>
        </is>
      </c>
      <c r="B51" s="1" t="inlineStr">
        <is>
          <t>CC-310 Sales Engineering</t>
        </is>
      </c>
      <c r="C51" s="1" t="inlineStr">
        <is>
          <t>6120</t>
        </is>
      </c>
      <c r="D51" s="1" t="inlineStr">
        <is>
          <t>Marketing programmes</t>
        </is>
      </c>
      <c r="E51" s="1" t="inlineStr">
        <is>
          <t>Yuki Sandoval</t>
        </is>
      </c>
      <c r="F51" s="1" t="n">
        <v>4167359.43</v>
      </c>
      <c r="G51" s="1" t="n">
        <v>3292213.95</v>
      </c>
      <c r="H51" s="1">
        <f>ROUND(G51-F51,2)</f>
        <v/>
      </c>
      <c r="I51" s="1" t="inlineStr">
        <is>
          <t>Volume growth in deployments</t>
        </is>
      </c>
      <c r="J51" s="1" t="inlineStr">
        <is>
          <t>No</t>
        </is>
      </c>
      <c r="K51" s="1" t="inlineStr">
        <is>
          <t>Deferred</t>
        </is>
      </c>
      <c r="L51" s="2" t="n">
        <v>46317</v>
      </c>
      <c r="M51" s="1" t="inlineStr">
        <is>
          <t>Reclassified from cost of revenue after the audit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