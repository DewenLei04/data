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urchase Orders" sheetId="1" state="visible" r:id="rId1"/>
    <sheet xmlns:r="http://schemas.openxmlformats.org/officeDocument/2006/relationships" name="Backlog by Contract" sheetId="2" state="visible" r:id="rId2"/>
    <sheet xmlns:r="http://schemas.openxmlformats.org/officeDocument/2006/relationships" name="Shipped Not Invoiced" sheetId="3" state="visible" r:id="rId3"/>
    <sheet xmlns:r="http://schemas.openxmlformats.org/officeDocument/2006/relationships" name="Supplier Lead Ti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customer</t>
        </is>
      </c>
      <c r="C1" s="1" t="inlineStr">
        <is>
          <t>customer_po_date</t>
        </is>
      </c>
      <c r="D1" s="1" t="inlineStr">
        <is>
          <t>requested_ship_date</t>
        </is>
      </c>
      <c r="E1" s="1" t="inlineStr">
        <is>
          <t>product_sku</t>
        </is>
      </c>
      <c r="F1" s="1" t="inlineStr">
        <is>
          <t>product_description</t>
        </is>
      </c>
      <c r="G1" s="1" t="inlineStr">
        <is>
          <t>ordered_quantity</t>
        </is>
      </c>
      <c r="H1" s="1" t="inlineStr">
        <is>
          <t>shipped_quantity</t>
        </is>
      </c>
      <c r="I1" s="1" t="inlineStr">
        <is>
          <t>open_quantity</t>
        </is>
      </c>
      <c r="J1" s="1" t="inlineStr">
        <is>
          <t>unit_price</t>
        </is>
      </c>
      <c r="K1" s="1" t="inlineStr">
        <is>
          <t>open_value</t>
        </is>
      </c>
      <c r="L1" s="1" t="inlineStr">
        <is>
          <t>fulfilment_site</t>
        </is>
      </c>
      <c r="M1" s="1" t="inlineStr">
        <is>
          <t>po_status</t>
        </is>
      </c>
    </row>
    <row r="2">
      <c r="A2" s="1" t="inlineStr">
        <is>
          <t>PO-HLS-7391</t>
        </is>
      </c>
      <c r="B2" s="1" t="inlineStr">
        <is>
          <t>Harborline Systems</t>
        </is>
      </c>
      <c r="C2" s="2" t="n">
        <v>45968</v>
      </c>
      <c r="D2" s="2" t="n">
        <v>46393</v>
      </c>
      <c r="E2" s="1" t="inlineStr">
        <is>
          <t>HR-AMR-220</t>
        </is>
      </c>
      <c r="F2" s="1" t="inlineStr">
        <is>
          <t>Autonomous mobile robot, 220 kg payload</t>
        </is>
      </c>
      <c r="G2" s="1" t="n">
        <v>56</v>
      </c>
      <c r="H2" s="1" t="n">
        <v>17</v>
      </c>
      <c r="I2" s="1">
        <f>G2-H2</f>
        <v/>
      </c>
      <c r="J2" s="1" t="n">
        <v>35275</v>
      </c>
      <c r="K2" s="1">
        <f>ROUND(I2*J2,2)</f>
        <v/>
      </c>
      <c r="L2" s="1" t="inlineStr">
        <is>
          <t>Reno assembly</t>
        </is>
      </c>
      <c r="M2" s="1" t="inlineStr">
        <is>
          <t>Open</t>
        </is>
      </c>
    </row>
    <row r="3">
      <c r="A3" s="1" t="inlineStr">
        <is>
          <t>PO-PFU-7255</t>
        </is>
      </c>
      <c r="B3" s="1" t="inlineStr">
        <is>
          <t>Pioneer Freight Union</t>
        </is>
      </c>
      <c r="C3" s="2" t="n">
        <v>46080</v>
      </c>
      <c r="D3" s="2" t="n">
        <v>46279</v>
      </c>
      <c r="E3" s="1" t="inlineStr">
        <is>
          <t>HR-AMR-450</t>
        </is>
      </c>
      <c r="F3" s="1" t="inlineStr">
        <is>
          <t>Autonomous mobile robot, 450 kg payload</t>
        </is>
      </c>
      <c r="G3" s="1" t="n">
        <v>16</v>
      </c>
      <c r="H3" s="1" t="n">
        <v>5</v>
      </c>
      <c r="I3" s="1">
        <f>G3-H3</f>
        <v/>
      </c>
      <c r="J3" s="1" t="n">
        <v>61560</v>
      </c>
      <c r="K3" s="1">
        <f>ROUND(I3*J3,2)</f>
        <v/>
      </c>
      <c r="L3" s="1" t="inlineStr">
        <is>
          <t>Reno assembly</t>
        </is>
      </c>
      <c r="M3" s="1" t="inlineStr">
        <is>
          <t>On credit hold</t>
        </is>
      </c>
    </row>
    <row r="4">
      <c r="A4" s="1" t="inlineStr">
        <is>
          <t>PO-YHG-2955</t>
        </is>
      </c>
      <c r="B4" s="1" t="inlineStr">
        <is>
          <t>Yarrow Home Goods</t>
        </is>
      </c>
      <c r="C4" s="2" t="n">
        <v>46170</v>
      </c>
      <c r="D4" s="2" t="n">
        <v>46309</v>
      </c>
      <c r="E4" s="1" t="inlineStr">
        <is>
          <t>HR-INT-WMS</t>
        </is>
      </c>
      <c r="F4" s="1" t="inlineStr">
        <is>
          <t>Warehouse management system connector</t>
        </is>
      </c>
      <c r="G4" s="1" t="n">
        <v>8</v>
      </c>
      <c r="H4" s="1" t="n">
        <v>2</v>
      </c>
      <c r="I4" s="1">
        <f>G4-H4</f>
        <v/>
      </c>
      <c r="J4" s="1" t="n">
        <v>31120</v>
      </c>
      <c r="K4" s="1">
        <f>ROUND(I4*J4,2)</f>
        <v/>
      </c>
      <c r="L4" s="1" t="inlineStr">
        <is>
          <t>Columbus staging</t>
        </is>
      </c>
      <c r="M4" s="1" t="inlineStr">
        <is>
          <t>Partially shipped</t>
        </is>
      </c>
    </row>
    <row r="5">
      <c r="A5" s="1" t="inlineStr">
        <is>
          <t>PO-MDY-6643</t>
        </is>
      </c>
      <c r="B5" s="1" t="inlineStr">
        <is>
          <t>Meridian Dynamics</t>
        </is>
      </c>
      <c r="C5" s="2" t="n">
        <v>45975</v>
      </c>
      <c r="D5" s="2" t="n">
        <v>46262</v>
      </c>
      <c r="E5" s="1" t="inlineStr">
        <is>
          <t>HR-SAFE-SCAN</t>
        </is>
      </c>
      <c r="F5" s="1" t="inlineStr">
        <is>
          <t>Safety scanner retrofit kit</t>
        </is>
      </c>
      <c r="G5" s="1" t="n">
        <v>12</v>
      </c>
      <c r="H5" s="1" t="n">
        <v>5</v>
      </c>
      <c r="I5" s="1">
        <f>G5-H5</f>
        <v/>
      </c>
      <c r="J5" s="1" t="n">
        <v>6525</v>
      </c>
      <c r="K5" s="1">
        <f>ROUND(I5*J5,2)</f>
        <v/>
      </c>
      <c r="L5" s="1" t="inlineStr">
        <is>
          <t>Reno assembly</t>
        </is>
      </c>
      <c r="M5" s="1" t="inlineStr">
        <is>
          <t>Awaiting customer date</t>
        </is>
      </c>
    </row>
    <row r="6">
      <c r="A6" s="1" t="inlineStr">
        <is>
          <t>PO-MDY-3107</t>
        </is>
      </c>
      <c r="B6" s="1" t="inlineStr">
        <is>
          <t>Meridian Dynamics</t>
        </is>
      </c>
      <c r="C6" s="2" t="n">
        <v>45961</v>
      </c>
      <c r="D6" s="2" t="n">
        <v>46412</v>
      </c>
      <c r="E6" s="1" t="inlineStr">
        <is>
          <t>HR-AMR-450</t>
        </is>
      </c>
      <c r="F6" s="1" t="inlineStr">
        <is>
          <t>Autonomous mobile robot, 450 kg payload</t>
        </is>
      </c>
      <c r="G6" s="1" t="n">
        <v>24</v>
      </c>
      <c r="H6" s="1" t="n">
        <v>8</v>
      </c>
      <c r="I6" s="1">
        <f>G6-H6</f>
        <v/>
      </c>
      <c r="J6" s="1" t="n">
        <v>61560</v>
      </c>
      <c r="K6" s="1">
        <f>ROUND(I6*J6,2)</f>
        <v/>
      </c>
      <c r="L6" s="1" t="inlineStr">
        <is>
          <t>Columbus staging</t>
        </is>
      </c>
      <c r="M6" s="1" t="inlineStr">
        <is>
          <t>Awaiting customer date</t>
        </is>
      </c>
    </row>
    <row r="7">
      <c r="A7" s="1" t="inlineStr">
        <is>
          <t>PO-YHG-8876</t>
        </is>
      </c>
      <c r="B7" s="1" t="inlineStr">
        <is>
          <t>Yarrow Home Goods</t>
        </is>
      </c>
      <c r="C7" s="2" t="n">
        <v>45944</v>
      </c>
      <c r="D7" s="2" t="n">
        <v>46450</v>
      </c>
      <c r="E7" s="1" t="inlineStr">
        <is>
          <t>HR-CHG-DOCK</t>
        </is>
      </c>
      <c r="F7" s="1" t="inlineStr">
        <is>
          <t>Opportunity charging dock</t>
        </is>
      </c>
      <c r="G7" s="1" t="n">
        <v>7</v>
      </c>
      <c r="H7" s="1" t="n">
        <v>5</v>
      </c>
      <c r="I7" s="1">
        <f>G7-H7</f>
        <v/>
      </c>
      <c r="J7" s="1" t="n">
        <v>10266</v>
      </c>
      <c r="K7" s="1">
        <f>ROUND(I7*J7,2)</f>
        <v/>
      </c>
      <c r="L7" s="1" t="inlineStr">
        <is>
          <t>Reno assembly</t>
        </is>
      </c>
      <c r="M7" s="1" t="inlineStr">
        <is>
          <t>Open</t>
        </is>
      </c>
    </row>
    <row r="8">
      <c r="A8" s="1" t="inlineStr">
        <is>
          <t>PO-RWO-7247</t>
        </is>
      </c>
      <c r="B8" s="1" t="inlineStr">
        <is>
          <t>Redwood Optics</t>
        </is>
      </c>
      <c r="C8" s="2" t="n">
        <v>46014</v>
      </c>
      <c r="D8" s="2" t="n">
        <v>46328</v>
      </c>
      <c r="E8" s="1" t="inlineStr">
        <is>
          <t>HR-AMR-220</t>
        </is>
      </c>
      <c r="F8" s="1" t="inlineStr">
        <is>
          <t>Autonomous mobile robot, 220 kg payload</t>
        </is>
      </c>
      <c r="G8" s="1" t="n">
        <v>49</v>
      </c>
      <c r="H8" s="1" t="n">
        <v>0</v>
      </c>
      <c r="I8" s="1">
        <f>G8-H8</f>
        <v/>
      </c>
      <c r="J8" s="1" t="n">
        <v>35275</v>
      </c>
      <c r="K8" s="1">
        <f>ROUND(I8*J8,2)</f>
        <v/>
      </c>
      <c r="L8" s="1" t="inlineStr">
        <is>
          <t>Columbus staging</t>
        </is>
      </c>
      <c r="M8" s="1" t="inlineStr">
        <is>
          <t>Open</t>
        </is>
      </c>
    </row>
    <row r="9">
      <c r="A9" s="1" t="inlineStr">
        <is>
          <t>PO-VRS-5154</t>
        </is>
      </c>
      <c r="B9" s="1" t="inlineStr">
        <is>
          <t>Vantage Robotics Supply</t>
        </is>
      </c>
      <c r="C9" s="2" t="n">
        <v>46162</v>
      </c>
      <c r="D9" s="2" t="n">
        <v>46234</v>
      </c>
      <c r="E9" s="1" t="inlineStr">
        <is>
          <t>HR-FLEET-EXP</t>
        </is>
      </c>
      <c r="F9" s="1" t="inlineStr">
        <is>
          <t>Fleet orchestration expansion pack, per robot</t>
        </is>
      </c>
      <c r="G9" s="1" t="n">
        <v>32</v>
      </c>
      <c r="H9" s="1" t="n">
        <v>22</v>
      </c>
      <c r="I9" s="1">
        <f>G9-H9</f>
        <v/>
      </c>
      <c r="J9" s="1" t="n">
        <v>2646</v>
      </c>
      <c r="K9" s="1">
        <f>ROUND(I9*J9,2)</f>
        <v/>
      </c>
      <c r="L9" s="1" t="inlineStr">
        <is>
          <t>Reno assembly</t>
        </is>
      </c>
      <c r="M9" s="1" t="inlineStr">
        <is>
          <t>Awaiting customer date</t>
        </is>
      </c>
    </row>
    <row r="10">
      <c r="A10" s="1" t="inlineStr">
        <is>
          <t>PO-TCE-2239</t>
        </is>
      </c>
      <c r="B10" s="1" t="inlineStr">
        <is>
          <t>Tamarack Electronics</t>
        </is>
      </c>
      <c r="C10" s="2" t="n">
        <v>45926</v>
      </c>
      <c r="D10" s="2" t="n">
        <v>46311</v>
      </c>
      <c r="E10" s="1" t="inlineStr">
        <is>
          <t>HR-REMOTE-OPS</t>
        </is>
      </c>
      <c r="F10" s="1" t="inlineStr">
        <is>
          <t>Remote operations desk coverage</t>
        </is>
      </c>
      <c r="G10" s="1" t="n">
        <v>56</v>
      </c>
      <c r="H10" s="1" t="n">
        <v>8</v>
      </c>
      <c r="I10" s="1">
        <f>G10-H10</f>
        <v/>
      </c>
      <c r="J10" s="1" t="n">
        <v>11592</v>
      </c>
      <c r="K10" s="1">
        <f>ROUND(I10*J10,2)</f>
        <v/>
      </c>
      <c r="L10" s="1" t="inlineStr">
        <is>
          <t>Reno assembly</t>
        </is>
      </c>
      <c r="M10" s="1" t="inlineStr">
        <is>
          <t>Awaiting customer date</t>
        </is>
      </c>
    </row>
    <row r="11">
      <c r="A11" s="1" t="inlineStr">
        <is>
          <t>PO-BMC-2521</t>
        </is>
      </c>
      <c r="B11" s="1" t="inlineStr">
        <is>
          <t>Blue Mesa Components</t>
        </is>
      </c>
      <c r="C11" s="2" t="n">
        <v>46115</v>
      </c>
      <c r="D11" s="2" t="n">
        <v>46275</v>
      </c>
      <c r="E11" s="1" t="inlineStr">
        <is>
          <t>HR-INT-WMS</t>
        </is>
      </c>
      <c r="F11" s="1" t="inlineStr">
        <is>
          <t>Warehouse management system connector</t>
        </is>
      </c>
      <c r="G11" s="1" t="n">
        <v>16</v>
      </c>
      <c r="H11" s="1" t="n">
        <v>1</v>
      </c>
      <c r="I11" s="1">
        <f>G11-H11</f>
        <v/>
      </c>
      <c r="J11" s="1" t="n">
        <v>31509</v>
      </c>
      <c r="K11" s="1">
        <f>ROUND(I11*J11,2)</f>
        <v/>
      </c>
      <c r="L11" s="1" t="inlineStr">
        <is>
          <t>Contract manufacturer</t>
        </is>
      </c>
      <c r="M11" s="1" t="inlineStr">
        <is>
          <t>Partially shipped</t>
        </is>
      </c>
    </row>
    <row r="12">
      <c r="A12" s="1" t="inlineStr">
        <is>
          <t>PO-SRR-9835</t>
        </is>
      </c>
      <c r="B12" s="1" t="inlineStr">
        <is>
          <t>Summit Ridge Retail</t>
        </is>
      </c>
      <c r="C12" s="2" t="n">
        <v>46217</v>
      </c>
      <c r="D12" s="2" t="n">
        <v>46231</v>
      </c>
      <c r="E12" s="1" t="inlineStr">
        <is>
          <t>HR-AMR-220</t>
        </is>
      </c>
      <c r="F12" s="1" t="inlineStr">
        <is>
          <t>Autonomous mobile robot, 220 kg payload</t>
        </is>
      </c>
      <c r="G12" s="1" t="n">
        <v>27</v>
      </c>
      <c r="H12" s="1" t="n">
        <v>14</v>
      </c>
      <c r="I12" s="1">
        <f>G12-H12</f>
        <v/>
      </c>
      <c r="J12" s="1" t="n">
        <v>35275</v>
      </c>
      <c r="K12" s="1">
        <f>ROUND(I12*J12,2)</f>
        <v/>
      </c>
      <c r="L12" s="1" t="inlineStr">
        <is>
          <t>Contract manufacturer</t>
        </is>
      </c>
      <c r="M12" s="1" t="inlineStr">
        <is>
          <t>On credit hold</t>
        </is>
      </c>
    </row>
    <row r="13">
      <c r="A13" s="1" t="inlineStr">
        <is>
          <t>PO-LKA-3357</t>
        </is>
      </c>
      <c r="B13" s="1" t="inlineStr">
        <is>
          <t>Larkspur Apparel</t>
        </is>
      </c>
      <c r="C13" s="2" t="n">
        <v>46157</v>
      </c>
      <c r="D13" s="2" t="n">
        <v>46265</v>
      </c>
      <c r="E13" s="1" t="inlineStr">
        <is>
          <t>HR-TELE-RET</t>
        </is>
      </c>
      <c r="F13" s="1" t="inlineStr">
        <is>
          <t>Telemetry retention tier, extended</t>
        </is>
      </c>
      <c r="G13" s="1" t="n">
        <v>23</v>
      </c>
      <c r="H13" s="1" t="n">
        <v>21</v>
      </c>
      <c r="I13" s="1">
        <f>G13-H13</f>
        <v/>
      </c>
      <c r="J13" s="1" t="n">
        <v>21805</v>
      </c>
      <c r="K13" s="1">
        <f>ROUND(I13*J13,2)</f>
        <v/>
      </c>
      <c r="L13" s="1" t="inlineStr">
        <is>
          <t>Reno assembly</t>
        </is>
      </c>
      <c r="M13" s="1" t="inlineStr">
        <is>
          <t>Awaiting customer date</t>
        </is>
      </c>
    </row>
    <row r="14">
      <c r="A14" s="1" t="inlineStr">
        <is>
          <t>PO-DBI-1393</t>
        </is>
      </c>
      <c r="B14" s="1" t="inlineStr">
        <is>
          <t>Dunbar Industrial</t>
        </is>
      </c>
      <c r="C14" s="2" t="n">
        <v>46101</v>
      </c>
      <c r="D14" s="2" t="n">
        <v>46413</v>
      </c>
      <c r="E14" s="1" t="inlineStr">
        <is>
          <t>HR-REMOTE-OPS</t>
        </is>
      </c>
      <c r="F14" s="1" t="inlineStr">
        <is>
          <t>Remote operations desk coverage</t>
        </is>
      </c>
      <c r="G14" s="1" t="n">
        <v>24</v>
      </c>
      <c r="H14" s="1" t="n">
        <v>23</v>
      </c>
      <c r="I14" s="1">
        <f>G14-H14</f>
        <v/>
      </c>
      <c r="J14" s="1" t="n">
        <v>11844</v>
      </c>
      <c r="K14" s="1">
        <f>ROUND(I14*J14,2)</f>
        <v/>
      </c>
      <c r="L14" s="1" t="inlineStr">
        <is>
          <t>Reno assembly</t>
        </is>
      </c>
      <c r="M14" s="1" t="inlineStr">
        <is>
          <t>Partially shipped</t>
        </is>
      </c>
    </row>
    <row r="15">
      <c r="A15" s="1" t="inlineStr">
        <is>
          <t>PO-UVP-4772</t>
        </is>
      </c>
      <c r="B15" s="1" t="inlineStr">
        <is>
          <t>Union Vale Pharma</t>
        </is>
      </c>
      <c r="C15" s="2" t="n">
        <v>45933</v>
      </c>
      <c r="D15" s="2" t="n">
        <v>46183</v>
      </c>
      <c r="E15" s="1" t="inlineStr">
        <is>
          <t>HR-TELE-RET</t>
        </is>
      </c>
      <c r="F15" s="1" t="inlineStr">
        <is>
          <t>Telemetry retention tier, extended</t>
        </is>
      </c>
      <c r="G15" s="1" t="n">
        <v>20</v>
      </c>
      <c r="H15" s="1" t="n">
        <v>7</v>
      </c>
      <c r="I15" s="1">
        <f>G15-H15</f>
        <v/>
      </c>
      <c r="J15" s="1" t="n">
        <v>21560</v>
      </c>
      <c r="K15" s="1">
        <f>ROUND(I15*J15,2)</f>
        <v/>
      </c>
      <c r="L15" s="1" t="inlineStr">
        <is>
          <t>Columbus staging</t>
        </is>
      </c>
      <c r="M15" s="1" t="inlineStr">
        <is>
          <t>On credit hold</t>
        </is>
      </c>
    </row>
    <row r="16">
      <c r="A16" s="1" t="inlineStr">
        <is>
          <t>PO-ZAC-3016</t>
        </is>
      </c>
      <c r="B16" s="1" t="inlineStr">
        <is>
          <t>Zephyr Air Cargo</t>
        </is>
      </c>
      <c r="C16" s="2" t="n">
        <v>45947</v>
      </c>
      <c r="D16" s="2" t="n">
        <v>46178</v>
      </c>
      <c r="E16" s="1" t="inlineStr">
        <is>
          <t>HR-INT-WMS</t>
        </is>
      </c>
      <c r="F16" s="1" t="inlineStr">
        <is>
          <t>Warehouse management system connector</t>
        </is>
      </c>
      <c r="G16" s="1" t="n">
        <v>29</v>
      </c>
      <c r="H16" s="1" t="n">
        <v>11</v>
      </c>
      <c r="I16" s="1">
        <f>G16-H16</f>
        <v/>
      </c>
      <c r="J16" s="1" t="n">
        <v>31509</v>
      </c>
      <c r="K16" s="1">
        <f>ROUND(I16*J16,2)</f>
        <v/>
      </c>
      <c r="L16" s="1" t="inlineStr">
        <is>
          <t>Columbus staging</t>
        </is>
      </c>
      <c r="M16" s="1" t="inlineStr">
        <is>
          <t>Closed</t>
        </is>
      </c>
    </row>
    <row r="17">
      <c r="A17" s="1" t="inlineStr">
        <is>
          <t>PO-JHS-9798</t>
        </is>
      </c>
      <c r="B17" s="1" t="inlineStr">
        <is>
          <t>Juniper Health Supply</t>
        </is>
      </c>
      <c r="C17" s="2" t="n">
        <v>46171</v>
      </c>
      <c r="D17" s="2" t="n">
        <v>46379</v>
      </c>
      <c r="E17" s="1" t="inlineStr">
        <is>
          <t>HR-SAFE-SCAN</t>
        </is>
      </c>
      <c r="F17" s="1" t="inlineStr">
        <is>
          <t>Safety scanner retrofit kit</t>
        </is>
      </c>
      <c r="G17" s="1" t="n">
        <v>53</v>
      </c>
      <c r="H17" s="1" t="n">
        <v>20</v>
      </c>
      <c r="I17" s="1">
        <f>G17-H17</f>
        <v/>
      </c>
      <c r="J17" s="1" t="n">
        <v>6235</v>
      </c>
      <c r="K17" s="1">
        <f>ROUND(I17*J17,2)</f>
        <v/>
      </c>
      <c r="L17" s="1" t="inlineStr">
        <is>
          <t>Reno assembly</t>
        </is>
      </c>
      <c r="M17" s="1" t="inlineStr">
        <is>
          <t>Open</t>
        </is>
      </c>
    </row>
    <row r="18">
      <c r="A18" s="1" t="inlineStr">
        <is>
          <t>PO-RWO-5788</t>
        </is>
      </c>
      <c r="B18" s="1" t="inlineStr">
        <is>
          <t>Redwood Optics</t>
        </is>
      </c>
      <c r="C18" s="2" t="n">
        <v>46052</v>
      </c>
      <c r="D18" s="2" t="n">
        <v>46318</v>
      </c>
      <c r="E18" s="1" t="inlineStr">
        <is>
          <t>HR-AMR-220</t>
        </is>
      </c>
      <c r="F18" s="1" t="inlineStr">
        <is>
          <t>Autonomous mobile robot, 220 kg payload</t>
        </is>
      </c>
      <c r="G18" s="1" t="n">
        <v>5</v>
      </c>
      <c r="H18" s="1" t="n">
        <v>3</v>
      </c>
      <c r="I18" s="1">
        <f>G18-H18</f>
        <v/>
      </c>
      <c r="J18" s="1" t="n">
        <v>34030</v>
      </c>
      <c r="K18" s="1">
        <f>ROUND(I18*J18,2)</f>
        <v/>
      </c>
      <c r="L18" s="1" t="inlineStr">
        <is>
          <t>Columbus staging</t>
        </is>
      </c>
      <c r="M18" s="1" t="inlineStr">
        <is>
          <t>Awaiting customer date</t>
        </is>
      </c>
    </row>
    <row r="19">
      <c r="A19" s="1" t="inlineStr">
        <is>
          <t>PO-LKA-8651</t>
        </is>
      </c>
      <c r="B19" s="1" t="inlineStr">
        <is>
          <t>Larkspur Apparel</t>
        </is>
      </c>
      <c r="C19" s="2" t="n">
        <v>46072</v>
      </c>
      <c r="D19" s="2" t="n">
        <v>46350</v>
      </c>
      <c r="E19" s="1" t="inlineStr">
        <is>
          <t>HR-AMR-220</t>
        </is>
      </c>
      <c r="F19" s="1" t="inlineStr">
        <is>
          <t>Autonomous mobile robot, 220 kg payload</t>
        </is>
      </c>
      <c r="G19" s="1" t="n">
        <v>34</v>
      </c>
      <c r="H19" s="1" t="n">
        <v>28</v>
      </c>
      <c r="I19" s="1">
        <f>G19-H19</f>
        <v/>
      </c>
      <c r="J19" s="1" t="n">
        <v>37765</v>
      </c>
      <c r="K19" s="1">
        <f>ROUND(I19*J19,2)</f>
        <v/>
      </c>
      <c r="L19" s="1" t="inlineStr">
        <is>
          <t>Reno assembly</t>
        </is>
      </c>
      <c r="M19" s="1" t="inlineStr">
        <is>
          <t>On credit hold</t>
        </is>
      </c>
    </row>
    <row r="20">
      <c r="A20" s="1" t="inlineStr">
        <is>
          <t>PO-BMC-2969</t>
        </is>
      </c>
      <c r="B20" s="1" t="inlineStr">
        <is>
          <t>Blue Mesa Components</t>
        </is>
      </c>
      <c r="C20" s="2" t="n">
        <v>46150</v>
      </c>
      <c r="D20" s="2" t="n">
        <v>46456</v>
      </c>
      <c r="E20" s="1" t="inlineStr">
        <is>
          <t>HR-TELE-RET</t>
        </is>
      </c>
      <c r="F20" s="1" t="inlineStr">
        <is>
          <t>Telemetry retention tier, extended</t>
        </is>
      </c>
      <c r="G20" s="1" t="n">
        <v>3</v>
      </c>
      <c r="H20" s="1" t="n">
        <v>3</v>
      </c>
      <c r="I20" s="1">
        <f>G20-H20</f>
        <v/>
      </c>
      <c r="J20" s="1" t="n">
        <v>23765</v>
      </c>
      <c r="K20" s="1">
        <f>ROUND(I20*J20,2)</f>
        <v/>
      </c>
      <c r="L20" s="1" t="inlineStr">
        <is>
          <t>Contract manufacturer</t>
        </is>
      </c>
      <c r="M20" s="1" t="inlineStr">
        <is>
          <t>Open</t>
        </is>
      </c>
    </row>
    <row r="21">
      <c r="A21" s="1" t="inlineStr">
        <is>
          <t>PO-CFF-1271</t>
        </is>
      </c>
      <c r="B21" s="1" t="inlineStr">
        <is>
          <t>Crestline Fulfillment</t>
        </is>
      </c>
      <c r="C21" s="2" t="n">
        <v>46219</v>
      </c>
      <c r="D21" s="2" t="n">
        <v>46420</v>
      </c>
      <c r="E21" s="1" t="inlineStr">
        <is>
          <t>HR-FLEET-EXP</t>
        </is>
      </c>
      <c r="F21" s="1" t="inlineStr">
        <is>
          <t>Fleet orchestration expansion pack, per robot</t>
        </is>
      </c>
      <c r="G21" s="1" t="n">
        <v>6</v>
      </c>
      <c r="H21" s="1" t="n">
        <v>2</v>
      </c>
      <c r="I21" s="1">
        <f>G21-H21</f>
        <v/>
      </c>
      <c r="J21" s="1" t="n">
        <v>2677.5</v>
      </c>
      <c r="K21" s="1">
        <f>ROUND(I21*J21,2)</f>
        <v/>
      </c>
      <c r="L21" s="1" t="inlineStr">
        <is>
          <t>Reno assembly</t>
        </is>
      </c>
      <c r="M21" s="1" t="inlineStr">
        <is>
          <t>Closed</t>
        </is>
      </c>
    </row>
    <row r="22">
      <c r="A22" s="1" t="inlineStr">
        <is>
          <t>PO-ZAC-5067</t>
        </is>
      </c>
      <c r="B22" s="1" t="inlineStr">
        <is>
          <t>Zephyr Air Cargo</t>
        </is>
      </c>
      <c r="C22" s="2" t="n">
        <v>46192</v>
      </c>
      <c r="D22" s="2" t="n">
        <v>46293</v>
      </c>
      <c r="E22" s="1" t="inlineStr">
        <is>
          <t>HR-SAFE-SCAN</t>
        </is>
      </c>
      <c r="F22" s="1" t="inlineStr">
        <is>
          <t>Safety scanner retrofit kit</t>
        </is>
      </c>
      <c r="G22" s="1" t="n">
        <v>3</v>
      </c>
      <c r="H22" s="1" t="n">
        <v>3</v>
      </c>
      <c r="I22" s="1">
        <f>G22-H22</f>
        <v/>
      </c>
      <c r="J22" s="1" t="n">
        <v>5727.5</v>
      </c>
      <c r="K22" s="1">
        <f>ROUND(I22*J22,2)</f>
        <v/>
      </c>
      <c r="L22" s="1" t="inlineStr">
        <is>
          <t>Reno assembly</t>
        </is>
      </c>
      <c r="M22" s="1" t="inlineStr">
        <is>
          <t>Awaiting customer date</t>
        </is>
      </c>
    </row>
    <row r="23">
      <c r="A23" s="1" t="inlineStr">
        <is>
          <t>PO-BWA-5855</t>
        </is>
      </c>
      <c r="B23" s="1" t="inlineStr">
        <is>
          <t>Bellweather Auto Group</t>
        </is>
      </c>
      <c r="C23" s="2" t="n">
        <v>46185</v>
      </c>
      <c r="D23" s="2" t="n">
        <v>46412</v>
      </c>
      <c r="E23" s="1" t="inlineStr">
        <is>
          <t>HR-AMR-450</t>
        </is>
      </c>
      <c r="F23" s="1" t="inlineStr">
        <is>
          <t>Autonomous mobile robot, 450 kg payload</t>
        </is>
      </c>
      <c r="G23" s="1" t="n">
        <v>19</v>
      </c>
      <c r="H23" s="1" t="n">
        <v>12</v>
      </c>
      <c r="I23" s="1">
        <f>G23-H23</f>
        <v/>
      </c>
      <c r="J23" s="1" t="n">
        <v>53352</v>
      </c>
      <c r="K23" s="1">
        <f>ROUND(I23*J23,2)</f>
        <v/>
      </c>
      <c r="L23" s="1" t="inlineStr">
        <is>
          <t>Reno assembly</t>
        </is>
      </c>
      <c r="M23" s="1" t="inlineStr">
        <is>
          <t>Open</t>
        </is>
      </c>
    </row>
    <row r="24">
      <c r="A24" s="1" t="inlineStr">
        <is>
          <t>PO-QBM-5659</t>
        </is>
      </c>
      <c r="B24" s="1" t="inlineStr">
        <is>
          <t>Quarrybridge Materials</t>
        </is>
      </c>
      <c r="C24" s="2" t="n">
        <v>46045</v>
      </c>
      <c r="D24" s="2" t="n">
        <v>46469</v>
      </c>
      <c r="E24" s="1" t="inlineStr">
        <is>
          <t>HR-TRAIN-OPS</t>
        </is>
      </c>
      <c r="F24" s="1" t="inlineStr">
        <is>
          <t>Operator training programme</t>
        </is>
      </c>
      <c r="G24" s="1" t="n">
        <v>18</v>
      </c>
      <c r="H24" s="1" t="n">
        <v>10</v>
      </c>
      <c r="I24" s="1">
        <f>G24-H24</f>
        <v/>
      </c>
      <c r="J24" s="1" t="n">
        <v>3276</v>
      </c>
      <c r="K24" s="1">
        <f>ROUND(I24*J24,2)</f>
        <v/>
      </c>
      <c r="L24" s="1" t="inlineStr">
        <is>
          <t>Reno assembly</t>
        </is>
      </c>
      <c r="M24" s="1" t="inlineStr">
        <is>
          <t>On credit hold</t>
        </is>
      </c>
    </row>
    <row r="25">
      <c r="A25" s="1" t="inlineStr">
        <is>
          <t>PO-PFU-4041</t>
        </is>
      </c>
      <c r="B25" s="1" t="inlineStr">
        <is>
          <t>Pioneer Freight Union</t>
        </is>
      </c>
      <c r="C25" s="2" t="n">
        <v>46114</v>
      </c>
      <c r="D25" s="2" t="n">
        <v>46332</v>
      </c>
      <c r="E25" s="1" t="inlineStr">
        <is>
          <t>HR-TRAIN-OPS</t>
        </is>
      </c>
      <c r="F25" s="1" t="inlineStr">
        <is>
          <t>Operator training programme</t>
        </is>
      </c>
      <c r="G25" s="1" t="n">
        <v>32</v>
      </c>
      <c r="H25" s="1" t="n">
        <v>4</v>
      </c>
      <c r="I25" s="1">
        <f>G25-H25</f>
        <v/>
      </c>
      <c r="J25" s="1" t="n">
        <v>3738</v>
      </c>
      <c r="K25" s="1">
        <f>ROUND(I25*J25,2)</f>
        <v/>
      </c>
      <c r="L25" s="1" t="inlineStr">
        <is>
          <t>Reno assembly</t>
        </is>
      </c>
      <c r="M25" s="1" t="inlineStr">
        <is>
          <t>Closed</t>
        </is>
      </c>
    </row>
    <row r="26">
      <c r="A26" s="1" t="inlineStr">
        <is>
          <t>PO-BWA-8118</t>
        </is>
      </c>
      <c r="B26" s="1" t="inlineStr">
        <is>
          <t>Bellweather Auto Group</t>
        </is>
      </c>
      <c r="C26" s="2" t="n">
        <v>46146</v>
      </c>
      <c r="D26" s="2" t="n">
        <v>46269</v>
      </c>
      <c r="E26" s="1" t="inlineStr">
        <is>
          <t>HR-FLEET-EXP</t>
        </is>
      </c>
      <c r="F26" s="1" t="inlineStr">
        <is>
          <t>Fleet orchestration expansion pack, per robot</t>
        </is>
      </c>
      <c r="G26" s="1" t="n">
        <v>59</v>
      </c>
      <c r="H26" s="1" t="n">
        <v>40</v>
      </c>
      <c r="I26" s="1">
        <f>G26-H26</f>
        <v/>
      </c>
      <c r="J26" s="1" t="n">
        <v>2803.5</v>
      </c>
      <c r="K26" s="1">
        <f>ROUND(I26*J26,2)</f>
        <v/>
      </c>
      <c r="L26" s="1" t="inlineStr">
        <is>
          <t>Columbus staging</t>
        </is>
      </c>
      <c r="M26" s="1" t="inlineStr">
        <is>
          <t>Open</t>
        </is>
      </c>
    </row>
    <row r="27">
      <c r="A27" s="1" t="inlineStr">
        <is>
          <t>PO-HLS-6537</t>
        </is>
      </c>
      <c r="B27" s="1" t="inlineStr">
        <is>
          <t>Harborline Systems</t>
        </is>
      </c>
      <c r="C27" s="2" t="n">
        <v>45978</v>
      </c>
      <c r="D27" s="2" t="n">
        <v>46325</v>
      </c>
      <c r="E27" s="1" t="inlineStr">
        <is>
          <t>HR-INT-WMS</t>
        </is>
      </c>
      <c r="F27" s="1" t="inlineStr">
        <is>
          <t>Warehouse management system connector</t>
        </is>
      </c>
      <c r="G27" s="1" t="n">
        <v>34</v>
      </c>
      <c r="H27" s="1" t="n">
        <v>27</v>
      </c>
      <c r="I27" s="1">
        <f>G27-H27</f>
        <v/>
      </c>
      <c r="J27" s="1" t="n">
        <v>33454</v>
      </c>
      <c r="K27" s="1">
        <f>ROUND(I27*J27,2)</f>
        <v/>
      </c>
      <c r="L27" s="1" t="inlineStr">
        <is>
          <t>Reno assembly</t>
        </is>
      </c>
      <c r="M27" s="1" t="inlineStr">
        <is>
          <t>On credit hold</t>
        </is>
      </c>
    </row>
    <row r="28">
      <c r="A28" s="1" t="inlineStr">
        <is>
          <t>PO-FTM-1222</t>
        </is>
      </c>
      <c r="B28" s="1" t="inlineStr">
        <is>
          <t>Fathom Mobility</t>
        </is>
      </c>
      <c r="C28" s="2" t="n">
        <v>46113</v>
      </c>
      <c r="D28" s="2" t="n">
        <v>46367</v>
      </c>
      <c r="E28" s="1" t="inlineStr">
        <is>
          <t>HR-AMR-450</t>
        </is>
      </c>
      <c r="F28" s="1" t="inlineStr">
        <is>
          <t>Autonomous mobile robot, 450 kg payload</t>
        </is>
      </c>
      <c r="G28" s="1" t="n">
        <v>19</v>
      </c>
      <c r="H28" s="1" t="n">
        <v>0</v>
      </c>
      <c r="I28" s="1">
        <f>G28-H28</f>
        <v/>
      </c>
      <c r="J28" s="1" t="n">
        <v>62928</v>
      </c>
      <c r="K28" s="1">
        <f>ROUND(I28*J28,2)</f>
        <v/>
      </c>
      <c r="L28" s="1" t="inlineStr">
        <is>
          <t>Columbus staging</t>
        </is>
      </c>
      <c r="M28" s="1" t="inlineStr">
        <is>
          <t>Open</t>
        </is>
      </c>
    </row>
    <row r="29">
      <c r="A29" s="1" t="inlineStr">
        <is>
          <t>PO-TCE-1097</t>
        </is>
      </c>
      <c r="B29" s="1" t="inlineStr">
        <is>
          <t>Tamarack Electronics</t>
        </is>
      </c>
      <c r="C29" s="2" t="n">
        <v>46029</v>
      </c>
      <c r="D29" s="2" t="n">
        <v>46238</v>
      </c>
      <c r="E29" s="1" t="inlineStr">
        <is>
          <t>HR-FLEET-EXP</t>
        </is>
      </c>
      <c r="F29" s="1" t="inlineStr">
        <is>
          <t>Fleet orchestration expansion pack, per robot</t>
        </is>
      </c>
      <c r="G29" s="1" t="n">
        <v>10</v>
      </c>
      <c r="H29" s="1" t="n">
        <v>9</v>
      </c>
      <c r="I29" s="1">
        <f>G29-H29</f>
        <v/>
      </c>
      <c r="J29" s="1" t="n">
        <v>2614.5</v>
      </c>
      <c r="K29" s="1">
        <f>ROUND(I29*J29,2)</f>
        <v/>
      </c>
      <c r="L29" s="1" t="inlineStr">
        <is>
          <t>Reno assembly</t>
        </is>
      </c>
      <c r="M29" s="1" t="inlineStr">
        <is>
          <t>Awaiting customer date</t>
        </is>
      </c>
    </row>
    <row r="30">
      <c r="A30" s="1" t="inlineStr">
        <is>
          <t>PO-DBI-5855</t>
        </is>
      </c>
      <c r="B30" s="1" t="inlineStr">
        <is>
          <t>Dunbar Industrial</t>
        </is>
      </c>
      <c r="C30" s="2" t="n">
        <v>45909</v>
      </c>
      <c r="D30" s="2" t="n">
        <v>46252</v>
      </c>
      <c r="E30" s="1" t="inlineStr">
        <is>
          <t>HR-SUP-PREM</t>
        </is>
      </c>
      <c r="F30" s="1" t="inlineStr">
        <is>
          <t>Premium support and spares pool</t>
        </is>
      </c>
      <c r="G30" s="1" t="n">
        <v>5</v>
      </c>
      <c r="H30" s="1" t="n">
        <v>4</v>
      </c>
      <c r="I30" s="1">
        <f>G30-H30</f>
        <v/>
      </c>
      <c r="J30" s="1" t="n">
        <v>50997</v>
      </c>
      <c r="K30" s="1">
        <f>ROUND(I30*J30,2)</f>
        <v/>
      </c>
      <c r="L30" s="1" t="inlineStr">
        <is>
          <t>Columbus staging</t>
        </is>
      </c>
      <c r="M30" s="1" t="inlineStr">
        <is>
          <t>Open</t>
        </is>
      </c>
    </row>
    <row r="31">
      <c r="A31" s="1" t="inlineStr">
        <is>
          <t>PO-OGF-7318</t>
        </is>
      </c>
      <c r="B31" s="1" t="inlineStr">
        <is>
          <t>Orchard Grove Foods</t>
        </is>
      </c>
      <c r="C31" s="2" t="n">
        <v>46010</v>
      </c>
      <c r="D31" s="2" t="n">
        <v>46385</v>
      </c>
      <c r="E31" s="1" t="inlineStr">
        <is>
          <t>HR-SUP-PREM</t>
        </is>
      </c>
      <c r="F31" s="1" t="inlineStr">
        <is>
          <t>Premium support and spares pool</t>
        </is>
      </c>
      <c r="G31" s="1" t="n">
        <v>42</v>
      </c>
      <c r="H31" s="1" t="n">
        <v>20</v>
      </c>
      <c r="I31" s="1">
        <f>G31-H31</f>
        <v/>
      </c>
      <c r="J31" s="1" t="n">
        <v>53289</v>
      </c>
      <c r="K31" s="1">
        <f>ROUND(I31*J31,2)</f>
        <v/>
      </c>
      <c r="L31" s="1" t="inlineStr">
        <is>
          <t>Contract manufacturer</t>
        </is>
      </c>
      <c r="M31" s="1" t="inlineStr">
        <is>
          <t>Open</t>
        </is>
      </c>
    </row>
    <row r="32">
      <c r="A32" s="1" t="inlineStr">
        <is>
          <t>PO-FTM-4166</t>
        </is>
      </c>
      <c r="B32" s="1" t="inlineStr">
        <is>
          <t>Fathom Mobility</t>
        </is>
      </c>
      <c r="C32" s="2" t="n">
        <v>46108</v>
      </c>
      <c r="D32" s="2" t="n">
        <v>46231</v>
      </c>
      <c r="E32" s="1" t="inlineStr">
        <is>
          <t>HR-FLEET-CORE</t>
        </is>
      </c>
      <c r="F32" s="1" t="inlineStr">
        <is>
          <t>Fleet orchestration platform, annual site licence</t>
        </is>
      </c>
      <c r="G32" s="1" t="n">
        <v>38</v>
      </c>
      <c r="H32" s="1" t="n">
        <v>22</v>
      </c>
      <c r="I32" s="1">
        <f>G32-H32</f>
        <v/>
      </c>
      <c r="J32" s="1" t="n">
        <v>76800</v>
      </c>
      <c r="K32" s="1">
        <f>ROUND(I32*J32,2)</f>
        <v/>
      </c>
      <c r="L32" s="1" t="inlineStr">
        <is>
          <t>Contract manufacturer</t>
        </is>
      </c>
      <c r="M32" s="1" t="inlineStr">
        <is>
          <t>Closed</t>
        </is>
      </c>
    </row>
    <row r="33">
      <c r="A33" s="1" t="inlineStr">
        <is>
          <t>PO-DGC-8324</t>
        </is>
      </c>
      <c r="B33" s="1" t="inlineStr">
        <is>
          <t>Dorsey Grain Cooperative</t>
        </is>
      </c>
      <c r="C33" s="2" t="n">
        <v>46133</v>
      </c>
      <c r="D33" s="2" t="n">
        <v>46253</v>
      </c>
      <c r="E33" s="1" t="inlineStr">
        <is>
          <t>HR-SUP-PREM</t>
        </is>
      </c>
      <c r="F33" s="1" t="inlineStr">
        <is>
          <t>Premium support and spares pool</t>
        </is>
      </c>
      <c r="G33" s="1" t="n">
        <v>26</v>
      </c>
      <c r="H33" s="1" t="n">
        <v>12</v>
      </c>
      <c r="I33" s="1">
        <f>G33-H33</f>
        <v/>
      </c>
      <c r="J33" s="1" t="n">
        <v>45840</v>
      </c>
      <c r="K33" s="1">
        <f>ROUND(I33*J33,2)</f>
        <v/>
      </c>
      <c r="L33" s="1" t="inlineStr">
        <is>
          <t>Reno assembly</t>
        </is>
      </c>
      <c r="M33" s="1" t="inlineStr">
        <is>
          <t>Open</t>
        </is>
      </c>
    </row>
    <row r="34">
      <c r="A34" s="1" t="inlineStr">
        <is>
          <t>PO-EVW-3308</t>
        </is>
      </c>
      <c r="B34" s="1" t="inlineStr">
        <is>
          <t>Evergreen Warehousing</t>
        </is>
      </c>
      <c r="C34" s="2" t="n">
        <v>46106</v>
      </c>
      <c r="D34" s="2" t="n">
        <v>46344</v>
      </c>
      <c r="E34" s="1" t="inlineStr">
        <is>
          <t>HR-AMR-450</t>
        </is>
      </c>
      <c r="F34" s="1" t="inlineStr">
        <is>
          <t>Autonomous mobile robot, 450 kg payload</t>
        </is>
      </c>
      <c r="G34" s="1" t="n">
        <v>50</v>
      </c>
      <c r="H34" s="1" t="n">
        <v>38</v>
      </c>
      <c r="I34" s="1">
        <f>G34-H34</f>
        <v/>
      </c>
      <c r="J34" s="1" t="n">
        <v>58824</v>
      </c>
      <c r="K34" s="1">
        <f>ROUND(I34*J34,2)</f>
        <v/>
      </c>
      <c r="L34" s="1" t="inlineStr">
        <is>
          <t>Contract manufacturer</t>
        </is>
      </c>
      <c r="M34" s="1" t="inlineStr">
        <is>
          <t>Closed</t>
        </is>
      </c>
    </row>
    <row r="35">
      <c r="A35" s="1" t="inlineStr">
        <is>
          <t>PO-SRR-1006</t>
        </is>
      </c>
      <c r="B35" s="1" t="inlineStr">
        <is>
          <t>Summit Ridge Retail</t>
        </is>
      </c>
      <c r="C35" s="2" t="n">
        <v>46063</v>
      </c>
      <c r="D35" s="2" t="n">
        <v>46384</v>
      </c>
      <c r="E35" s="1" t="inlineStr">
        <is>
          <t>HR-FLEET-EXP</t>
        </is>
      </c>
      <c r="F35" s="1" t="inlineStr">
        <is>
          <t>Fleet orchestration expansion pack, per robot</t>
        </is>
      </c>
      <c r="G35" s="1" t="n">
        <v>22</v>
      </c>
      <c r="H35" s="1" t="n">
        <v>15</v>
      </c>
      <c r="I35" s="1">
        <f>G35-H35</f>
        <v/>
      </c>
      <c r="J35" s="1" t="n">
        <v>2457</v>
      </c>
      <c r="K35" s="1">
        <f>ROUND(I35*J35,2)</f>
        <v/>
      </c>
      <c r="L35" s="1" t="inlineStr">
        <is>
          <t>Contract manufacturer</t>
        </is>
      </c>
      <c r="M35" s="1" t="inlineStr">
        <is>
          <t>Partially shipped</t>
        </is>
      </c>
    </row>
    <row r="36">
      <c r="A36" s="1" t="inlineStr">
        <is>
          <t>PO-ZAC-9071</t>
        </is>
      </c>
      <c r="B36" s="1" t="inlineStr">
        <is>
          <t>Zephyr Air Cargo</t>
        </is>
      </c>
      <c r="C36" s="2" t="n">
        <v>45989</v>
      </c>
      <c r="D36" s="2" t="n">
        <v>46330</v>
      </c>
      <c r="E36" s="1" t="inlineStr">
        <is>
          <t>HR-AMR-220</t>
        </is>
      </c>
      <c r="F36" s="1" t="inlineStr">
        <is>
          <t>Autonomous mobile robot, 220 kg payload</t>
        </is>
      </c>
      <c r="G36" s="1" t="n">
        <v>28</v>
      </c>
      <c r="H36" s="1" t="n">
        <v>12</v>
      </c>
      <c r="I36" s="1">
        <f>G36-H36</f>
        <v/>
      </c>
      <c r="J36" s="1" t="n">
        <v>32785</v>
      </c>
      <c r="K36" s="1">
        <f>ROUND(I36*J36,2)</f>
        <v/>
      </c>
      <c r="L36" s="1" t="inlineStr">
        <is>
          <t>Columbus staging</t>
        </is>
      </c>
      <c r="M36" s="1" t="inlineStr">
        <is>
          <t>Awaiting customer date</t>
        </is>
      </c>
    </row>
    <row r="37">
      <c r="A37" s="1" t="inlineStr">
        <is>
          <t>PO-CFF-7182</t>
        </is>
      </c>
      <c r="B37" s="1" t="inlineStr">
        <is>
          <t>Crestline Fulfillment</t>
        </is>
      </c>
      <c r="C37" s="2" t="n">
        <v>45974</v>
      </c>
      <c r="D37" s="2" t="n">
        <v>46365</v>
      </c>
      <c r="E37" s="1" t="inlineStr">
        <is>
          <t>HR-REMOTE-OPS</t>
        </is>
      </c>
      <c r="F37" s="1" t="inlineStr">
        <is>
          <t>Remote operations desk coverage</t>
        </is>
      </c>
      <c r="G37" s="1" t="n">
        <v>50</v>
      </c>
      <c r="H37" s="1" t="n">
        <v>23</v>
      </c>
      <c r="I37" s="1">
        <f>G37-H37</f>
        <v/>
      </c>
      <c r="J37" s="1" t="n">
        <v>10206</v>
      </c>
      <c r="K37" s="1">
        <f>ROUND(I37*J37,2)</f>
        <v/>
      </c>
      <c r="L37" s="1" t="inlineStr">
        <is>
          <t>Reno assembly</t>
        </is>
      </c>
      <c r="M37" s="1" t="inlineStr">
        <is>
          <t>On credit hold</t>
        </is>
      </c>
    </row>
    <row r="38">
      <c r="A38" s="1" t="inlineStr">
        <is>
          <t>PO-VRS-4601</t>
        </is>
      </c>
      <c r="B38" s="1" t="inlineStr">
        <is>
          <t>Vantage Robotics Supply</t>
        </is>
      </c>
      <c r="C38" s="2" t="n">
        <v>45916</v>
      </c>
      <c r="D38" s="2" t="n">
        <v>46367</v>
      </c>
      <c r="E38" s="1" t="inlineStr">
        <is>
          <t>HR-SAFE-SCAN</t>
        </is>
      </c>
      <c r="F38" s="1" t="inlineStr">
        <is>
          <t>Safety scanner retrofit kit</t>
        </is>
      </c>
      <c r="G38" s="1" t="n">
        <v>48</v>
      </c>
      <c r="H38" s="1" t="n">
        <v>31</v>
      </c>
      <c r="I38" s="1">
        <f>G38-H38</f>
        <v/>
      </c>
      <c r="J38" s="1" t="n">
        <v>6017.5</v>
      </c>
      <c r="K38" s="1">
        <f>ROUND(I38*J38,2)</f>
        <v/>
      </c>
      <c r="L38" s="1" t="inlineStr">
        <is>
          <t>Columbus staging</t>
        </is>
      </c>
      <c r="M38" s="1" t="inlineStr">
        <is>
          <t>On credit hold</t>
        </is>
      </c>
    </row>
    <row r="39">
      <c r="A39" s="1" t="inlineStr">
        <is>
          <t>PO-YHG-4813</t>
        </is>
      </c>
      <c r="B39" s="1" t="inlineStr">
        <is>
          <t>Yarrow Home Goods</t>
        </is>
      </c>
      <c r="C39" s="2" t="n">
        <v>46107</v>
      </c>
      <c r="D39" s="2" t="n">
        <v>46353</v>
      </c>
      <c r="E39" s="1" t="inlineStr">
        <is>
          <t>HR-CHG-DOCK</t>
        </is>
      </c>
      <c r="F39" s="1" t="inlineStr">
        <is>
          <t>Opportunity charging dock</t>
        </is>
      </c>
      <c r="G39" s="1" t="n">
        <v>49</v>
      </c>
      <c r="H39" s="1" t="n">
        <v>22</v>
      </c>
      <c r="I39" s="1">
        <f>G39-H39</f>
        <v/>
      </c>
      <c r="J39" s="1" t="n">
        <v>9440</v>
      </c>
      <c r="K39" s="1">
        <f>ROUND(I39*J39,2)</f>
        <v/>
      </c>
      <c r="L39" s="1" t="inlineStr">
        <is>
          <t>Contract manufacturer</t>
        </is>
      </c>
      <c r="M39" s="1" t="inlineStr">
        <is>
          <t>Open</t>
        </is>
      </c>
    </row>
    <row r="40">
      <c r="A40" s="1" t="inlineStr">
        <is>
          <t>PO-EVW-1651</t>
        </is>
      </c>
      <c r="B40" s="1" t="inlineStr">
        <is>
          <t>Evergreen Warehousing</t>
        </is>
      </c>
      <c r="C40" s="2" t="n">
        <v>45902</v>
      </c>
      <c r="D40" s="2" t="n">
        <v>46465</v>
      </c>
      <c r="E40" s="1" t="inlineStr">
        <is>
          <t>HR-FLEET-EXP</t>
        </is>
      </c>
      <c r="F40" s="1" t="inlineStr">
        <is>
          <t>Fleet orchestration expansion pack, per robot</t>
        </is>
      </c>
      <c r="G40" s="1" t="n">
        <v>41</v>
      </c>
      <c r="H40" s="1" t="n">
        <v>17</v>
      </c>
      <c r="I40" s="1">
        <f>G40-H40</f>
        <v/>
      </c>
      <c r="J40" s="1" t="n">
        <v>2677.5</v>
      </c>
      <c r="K40" s="1">
        <f>ROUND(I40*J40,2)</f>
        <v/>
      </c>
      <c r="L40" s="1" t="inlineStr">
        <is>
          <t>Columbus staging</t>
        </is>
      </c>
      <c r="M40" s="1" t="inlineStr">
        <is>
          <t>Open</t>
        </is>
      </c>
    </row>
    <row r="41">
      <c r="A41" s="1" t="inlineStr">
        <is>
          <t>PO-HLS-4262</t>
        </is>
      </c>
      <c r="B41" s="1" t="inlineStr">
        <is>
          <t>Harborline Systems</t>
        </is>
      </c>
      <c r="C41" s="2" t="n">
        <v>46143</v>
      </c>
      <c r="D41" s="2" t="n">
        <v>46220</v>
      </c>
      <c r="E41" s="1" t="inlineStr">
        <is>
          <t>HR-FLEET-CORE</t>
        </is>
      </c>
      <c r="F41" s="1" t="inlineStr">
        <is>
          <t>Fleet orchestration platform, annual site licence</t>
        </is>
      </c>
      <c r="G41" s="1" t="n">
        <v>40</v>
      </c>
      <c r="H41" s="1" t="n">
        <v>30</v>
      </c>
      <c r="I41" s="1">
        <f>G41-H41</f>
        <v/>
      </c>
      <c r="J41" s="1" t="n">
        <v>84480</v>
      </c>
      <c r="K41" s="1">
        <f>ROUND(I41*J41,2)</f>
        <v/>
      </c>
      <c r="L41" s="1" t="inlineStr">
        <is>
          <t>Reno assembly</t>
        </is>
      </c>
      <c r="M41" s="1" t="inlineStr">
        <is>
          <t>Open</t>
        </is>
      </c>
    </row>
    <row r="42">
      <c r="A42" s="1" t="inlineStr">
        <is>
          <t>PO-WCD-5653</t>
        </is>
      </c>
      <c r="B42" s="1" t="inlineStr">
        <is>
          <t>Westlake Chemical Depot</t>
        </is>
      </c>
      <c r="C42" s="2" t="n">
        <v>46210</v>
      </c>
      <c r="D42" s="2" t="n">
        <v>46444</v>
      </c>
      <c r="E42" s="1" t="inlineStr">
        <is>
          <t>HR-FLEET-EXP</t>
        </is>
      </c>
      <c r="F42" s="1" t="inlineStr">
        <is>
          <t>Fleet orchestration expansion pack, per robot</t>
        </is>
      </c>
      <c r="G42" s="1" t="n">
        <v>29</v>
      </c>
      <c r="H42" s="1" t="n">
        <v>22</v>
      </c>
      <c r="I42" s="1">
        <f>G42-H42</f>
        <v/>
      </c>
      <c r="J42" s="1" t="n">
        <v>2457</v>
      </c>
      <c r="K42" s="1">
        <f>ROUND(I42*J42,2)</f>
        <v/>
      </c>
      <c r="L42" s="1" t="inlineStr">
        <is>
          <t>Reno assembly</t>
        </is>
      </c>
      <c r="M42" s="1" t="inlineStr">
        <is>
          <t>Open</t>
        </is>
      </c>
    </row>
    <row r="43">
      <c r="A43" s="1" t="inlineStr">
        <is>
          <t>PO-TCE-3713</t>
        </is>
      </c>
      <c r="B43" s="1" t="inlineStr">
        <is>
          <t>Tamarack Electronics</t>
        </is>
      </c>
      <c r="C43" s="2" t="n">
        <v>46024</v>
      </c>
      <c r="D43" s="2" t="n">
        <v>46227</v>
      </c>
      <c r="E43" s="1" t="inlineStr">
        <is>
          <t>HR-CHG-DOCK</t>
        </is>
      </c>
      <c r="F43" s="1" t="inlineStr">
        <is>
          <t>Opportunity charging dock</t>
        </is>
      </c>
      <c r="G43" s="1" t="n">
        <v>55</v>
      </c>
      <c r="H43" s="1" t="n">
        <v>21</v>
      </c>
      <c r="I43" s="1">
        <f>G43-H43</f>
        <v/>
      </c>
      <c r="J43" s="1" t="n">
        <v>10266</v>
      </c>
      <c r="K43" s="1">
        <f>ROUND(I43*J43,2)</f>
        <v/>
      </c>
      <c r="L43" s="1" t="inlineStr">
        <is>
          <t>Reno assembly</t>
        </is>
      </c>
      <c r="M43" s="1" t="inlineStr">
        <is>
          <t>Open</t>
        </is>
      </c>
    </row>
    <row r="44">
      <c r="A44" s="1" t="inlineStr">
        <is>
          <t>PO-PFU-4228</t>
        </is>
      </c>
      <c r="B44" s="1" t="inlineStr">
        <is>
          <t>Pioneer Freight Union</t>
        </is>
      </c>
      <c r="C44" s="2" t="n">
        <v>46007</v>
      </c>
      <c r="D44" s="2" t="n">
        <v>46447</v>
      </c>
      <c r="E44" s="1" t="inlineStr">
        <is>
          <t>HR-TELE-RET</t>
        </is>
      </c>
      <c r="F44" s="1" t="inlineStr">
        <is>
          <t>Telemetry retention tier, extended</t>
        </is>
      </c>
      <c r="G44" s="1" t="n">
        <v>14</v>
      </c>
      <c r="H44" s="1" t="n">
        <v>12</v>
      </c>
      <c r="I44" s="1">
        <f>G44-H44</f>
        <v/>
      </c>
      <c r="J44" s="1" t="n">
        <v>20090</v>
      </c>
      <c r="K44" s="1">
        <f>ROUND(I44*J44,2)</f>
        <v/>
      </c>
      <c r="L44" s="1" t="inlineStr">
        <is>
          <t>Columbus staging</t>
        </is>
      </c>
      <c r="M44" s="1" t="inlineStr">
        <is>
          <t>On credit hold</t>
        </is>
      </c>
    </row>
    <row r="45">
      <c r="A45" s="1" t="inlineStr">
        <is>
          <t>PO-VRS-3659</t>
        </is>
      </c>
      <c r="B45" s="1" t="inlineStr">
        <is>
          <t>Vantage Robotics Supply</t>
        </is>
      </c>
      <c r="C45" s="2" t="n">
        <v>46129</v>
      </c>
      <c r="D45" s="2" t="n">
        <v>46311</v>
      </c>
      <c r="E45" s="1" t="inlineStr">
        <is>
          <t>HR-TRAIN-OPS</t>
        </is>
      </c>
      <c r="F45" s="1" t="inlineStr">
        <is>
          <t>Operator training programme</t>
        </is>
      </c>
      <c r="G45" s="1" t="n">
        <v>8</v>
      </c>
      <c r="H45" s="1" t="n">
        <v>4</v>
      </c>
      <c r="I45" s="1">
        <f>G45-H45</f>
        <v/>
      </c>
      <c r="J45" s="1" t="n">
        <v>3864</v>
      </c>
      <c r="K45" s="1">
        <f>ROUND(I45*J45,2)</f>
        <v/>
      </c>
      <c r="L45" s="1" t="inlineStr">
        <is>
          <t>Columbus staging</t>
        </is>
      </c>
      <c r="M45" s="1" t="inlineStr">
        <is>
          <t>Awaiting customer date</t>
        </is>
      </c>
    </row>
    <row r="46">
      <c r="A46" s="1" t="inlineStr">
        <is>
          <t>PO-YHG-3588</t>
        </is>
      </c>
      <c r="B46" s="1" t="inlineStr">
        <is>
          <t>Yarrow Home Goods</t>
        </is>
      </c>
      <c r="C46" s="2" t="n">
        <v>46192</v>
      </c>
      <c r="D46" s="2" t="n">
        <v>46395</v>
      </c>
      <c r="E46" s="1" t="inlineStr">
        <is>
          <t>HR-FLEET-EXP</t>
        </is>
      </c>
      <c r="F46" s="1" t="inlineStr">
        <is>
          <t>Fleet orchestration expansion pack, per robot</t>
        </is>
      </c>
      <c r="G46" s="1" t="n">
        <v>50</v>
      </c>
      <c r="H46" s="1" t="n">
        <v>39</v>
      </c>
      <c r="I46" s="1">
        <f>G46-H46</f>
        <v/>
      </c>
      <c r="J46" s="1" t="n">
        <v>3024</v>
      </c>
      <c r="K46" s="1">
        <f>ROUND(I46*J46,2)</f>
        <v/>
      </c>
      <c r="L46" s="1" t="inlineStr">
        <is>
          <t>Reno assembly</t>
        </is>
      </c>
      <c r="M46" s="1" t="inlineStr">
        <is>
          <t>Partially shipped</t>
        </is>
      </c>
    </row>
    <row r="47">
      <c r="A47" s="1" t="inlineStr">
        <is>
          <t>PO-ABT-1994</t>
        </is>
      </c>
      <c r="B47" s="1" t="inlineStr">
        <is>
          <t>Alderbrook Textiles</t>
        </is>
      </c>
      <c r="C47" s="2" t="n">
        <v>46007</v>
      </c>
      <c r="D47" s="2" t="n">
        <v>46189</v>
      </c>
      <c r="E47" s="1" t="inlineStr">
        <is>
          <t>HR-AMR-220</t>
        </is>
      </c>
      <c r="F47" s="1" t="inlineStr">
        <is>
          <t>Autonomous mobile robot, 220 kg payload</t>
        </is>
      </c>
      <c r="G47" s="1" t="n">
        <v>41</v>
      </c>
      <c r="H47" s="1" t="n">
        <v>31</v>
      </c>
      <c r="I47" s="1">
        <f>G47-H47</f>
        <v/>
      </c>
      <c r="J47" s="1" t="n">
        <v>32785</v>
      </c>
      <c r="K47" s="1">
        <f>ROUND(I47*J47,2)</f>
        <v/>
      </c>
      <c r="L47" s="1" t="inlineStr">
        <is>
          <t>Reno assembly</t>
        </is>
      </c>
      <c r="M47" s="1" t="inlineStr">
        <is>
          <t>Closed</t>
        </is>
      </c>
    </row>
    <row r="48">
      <c r="A48" s="1" t="inlineStr">
        <is>
          <t>PO-MDY-9433</t>
        </is>
      </c>
      <c r="B48" s="1" t="inlineStr">
        <is>
          <t>Meridian Dynamics</t>
        </is>
      </c>
      <c r="C48" s="2" t="n">
        <v>45979</v>
      </c>
      <c r="D48" s="2" t="n">
        <v>46423</v>
      </c>
      <c r="E48" s="1" t="inlineStr">
        <is>
          <t>HR-AMR-450</t>
        </is>
      </c>
      <c r="F48" s="1" t="inlineStr">
        <is>
          <t>Autonomous mobile robot, 450 kg payload</t>
        </is>
      </c>
      <c r="G48" s="1" t="n">
        <v>42</v>
      </c>
      <c r="H48" s="1" t="n">
        <v>5</v>
      </c>
      <c r="I48" s="1">
        <f>G48-H48</f>
        <v/>
      </c>
      <c r="J48" s="1" t="n">
        <v>62244</v>
      </c>
      <c r="K48" s="1">
        <f>ROUND(I48*J48,2)</f>
        <v/>
      </c>
      <c r="L48" s="1" t="inlineStr">
        <is>
          <t>Reno assembly</t>
        </is>
      </c>
      <c r="M48" s="1" t="inlineStr">
        <is>
          <t>Open</t>
        </is>
      </c>
    </row>
    <row r="49">
      <c r="A49" s="1" t="inlineStr">
        <is>
          <t>PO-RWO-2733</t>
        </is>
      </c>
      <c r="B49" s="1" t="inlineStr">
        <is>
          <t>Redwood Optics</t>
        </is>
      </c>
      <c r="C49" s="2" t="n">
        <v>46160</v>
      </c>
      <c r="D49" s="2" t="n">
        <v>46458</v>
      </c>
      <c r="E49" s="1" t="inlineStr">
        <is>
          <t>HR-TELE-RET</t>
        </is>
      </c>
      <c r="F49" s="1" t="inlineStr">
        <is>
          <t>Telemetry retention tier, extended</t>
        </is>
      </c>
      <c r="G49" s="1" t="n">
        <v>10</v>
      </c>
      <c r="H49" s="1" t="n">
        <v>6</v>
      </c>
      <c r="I49" s="1">
        <f>G49-H49</f>
        <v/>
      </c>
      <c r="J49" s="1" t="n">
        <v>22785</v>
      </c>
      <c r="K49" s="1">
        <f>ROUND(I49*J49,2)</f>
        <v/>
      </c>
      <c r="L49" s="1" t="inlineStr">
        <is>
          <t>Reno assembly</t>
        </is>
      </c>
      <c r="M49" s="1" t="inlineStr">
        <is>
          <t>Open</t>
        </is>
      </c>
    </row>
    <row r="50">
      <c r="A50" s="1" t="inlineStr">
        <is>
          <t>PO-FTM-3515</t>
        </is>
      </c>
      <c r="B50" s="1" t="inlineStr">
        <is>
          <t>Fathom Mobility</t>
        </is>
      </c>
      <c r="C50" s="2" t="n">
        <v>46031</v>
      </c>
      <c r="D50" s="2" t="n">
        <v>46402</v>
      </c>
      <c r="E50" s="1" t="inlineStr">
        <is>
          <t>HR-AMR-450</t>
        </is>
      </c>
      <c r="F50" s="1" t="inlineStr">
        <is>
          <t>Autonomous mobile robot, 450 kg payload</t>
        </is>
      </c>
      <c r="G50" s="1" t="n">
        <v>30</v>
      </c>
      <c r="H50" s="1" t="n">
        <v>11</v>
      </c>
      <c r="I50" s="1">
        <f>G50-H50</f>
        <v/>
      </c>
      <c r="J50" s="1" t="n">
        <v>54036</v>
      </c>
      <c r="K50" s="1">
        <f>ROUND(I50*J50,2)</f>
        <v/>
      </c>
      <c r="L50" s="1" t="inlineStr">
        <is>
          <t>Reno assembly</t>
        </is>
      </c>
      <c r="M50" s="1" t="inlineStr">
        <is>
          <t>Open</t>
        </is>
      </c>
    </row>
    <row r="51">
      <c r="A51" s="1" t="inlineStr">
        <is>
          <t>PO-LKA-6655</t>
        </is>
      </c>
      <c r="B51" s="1" t="inlineStr">
        <is>
          <t>Larkspur Apparel</t>
        </is>
      </c>
      <c r="C51" s="2" t="n">
        <v>46077</v>
      </c>
      <c r="D51" s="2" t="n">
        <v>46220</v>
      </c>
      <c r="E51" s="1" t="inlineStr">
        <is>
          <t>HR-INT-WMS</t>
        </is>
      </c>
      <c r="F51" s="1" t="inlineStr">
        <is>
          <t>Warehouse management system connector</t>
        </is>
      </c>
      <c r="G51" s="1" t="n">
        <v>29</v>
      </c>
      <c r="H51" s="1" t="n">
        <v>26</v>
      </c>
      <c r="I51" s="1">
        <f>G51-H51</f>
        <v/>
      </c>
      <c r="J51" s="1" t="n">
        <v>34232</v>
      </c>
      <c r="K51" s="1">
        <f>ROUND(I51*J51,2)</f>
        <v/>
      </c>
      <c r="L51" s="1" t="inlineStr">
        <is>
          <t>Reno assembly</t>
        </is>
      </c>
      <c r="M51" s="1" t="inlineStr">
        <is>
          <t>Closed</t>
        </is>
      </c>
    </row>
    <row r="52">
      <c r="A52" s="1" t="inlineStr">
        <is>
          <t>PO-BMC-4653</t>
        </is>
      </c>
      <c r="B52" s="1" t="inlineStr">
        <is>
          <t>Blue Mesa Components</t>
        </is>
      </c>
      <c r="C52" s="2" t="n">
        <v>46143</v>
      </c>
      <c r="D52" s="2" t="n">
        <v>46198</v>
      </c>
      <c r="E52" s="1" t="inlineStr">
        <is>
          <t>HR-FLEET-EXP</t>
        </is>
      </c>
      <c r="F52" s="1" t="inlineStr">
        <is>
          <t>Fleet orchestration expansion pack, per robot</t>
        </is>
      </c>
      <c r="G52" s="1" t="n">
        <v>60</v>
      </c>
      <c r="H52" s="1" t="n">
        <v>58</v>
      </c>
      <c r="I52" s="1">
        <f>G52-H52</f>
        <v/>
      </c>
      <c r="J52" s="1" t="n">
        <v>2740.5</v>
      </c>
      <c r="K52" s="1">
        <f>ROUND(I52*J52,2)</f>
        <v/>
      </c>
      <c r="L52" s="1" t="inlineStr">
        <is>
          <t>Columbus staging</t>
        </is>
      </c>
      <c r="M52" s="1" t="inlineStr">
        <is>
          <t>Partially shipped</t>
        </is>
      </c>
    </row>
    <row r="53">
      <c r="A53" s="1" t="inlineStr">
        <is>
          <t>PO-GPD-7269</t>
        </is>
      </c>
      <c r="B53" s="1" t="inlineStr">
        <is>
          <t>Granite Peak Distribution</t>
        </is>
      </c>
      <c r="C53" s="2" t="n">
        <v>46127</v>
      </c>
      <c r="D53" s="2" t="n">
        <v>46246</v>
      </c>
      <c r="E53" s="1" t="inlineStr">
        <is>
          <t>HR-TRAIN-OPS</t>
        </is>
      </c>
      <c r="F53" s="1" t="inlineStr">
        <is>
          <t>Operator training programme</t>
        </is>
      </c>
      <c r="G53" s="1" t="n">
        <v>20</v>
      </c>
      <c r="H53" s="1" t="n">
        <v>15</v>
      </c>
      <c r="I53" s="1">
        <f>G53-H53</f>
        <v/>
      </c>
      <c r="J53" s="1" t="n">
        <v>3444</v>
      </c>
      <c r="K53" s="1">
        <f>ROUND(I53*J53,2)</f>
        <v/>
      </c>
      <c r="L53" s="1" t="inlineStr">
        <is>
          <t>Columbus staging</t>
        </is>
      </c>
      <c r="M53" s="1" t="inlineStr">
        <is>
          <t>Partially shipped</t>
        </is>
      </c>
    </row>
    <row r="54">
      <c r="A54" s="1" t="inlineStr">
        <is>
          <t>PO-TCE-5526</t>
        </is>
      </c>
      <c r="B54" s="1" t="inlineStr">
        <is>
          <t>Tamarack Electronics</t>
        </is>
      </c>
      <c r="C54" s="2" t="n">
        <v>45947</v>
      </c>
      <c r="D54" s="2" t="n">
        <v>46287</v>
      </c>
      <c r="E54" s="1" t="inlineStr">
        <is>
          <t>HR-FLEET-CORE</t>
        </is>
      </c>
      <c r="F54" s="1" t="inlineStr">
        <is>
          <t>Fleet orchestration platform, annual site licence</t>
        </is>
      </c>
      <c r="G54" s="1" t="n">
        <v>29</v>
      </c>
      <c r="H54" s="1" t="n">
        <v>1</v>
      </c>
      <c r="I54" s="1">
        <f>G54-H54</f>
        <v/>
      </c>
      <c r="J54" s="1" t="n">
        <v>93120</v>
      </c>
      <c r="K54" s="1">
        <f>ROUND(I54*J54,2)</f>
        <v/>
      </c>
      <c r="L54" s="1" t="inlineStr">
        <is>
          <t>Columbus staging</t>
        </is>
      </c>
      <c r="M54" s="1" t="inlineStr">
        <is>
          <t>Open</t>
        </is>
      </c>
    </row>
    <row r="55">
      <c r="A55" s="1" t="inlineStr">
        <is>
          <t>PO-LKA-1586</t>
        </is>
      </c>
      <c r="B55" s="1" t="inlineStr">
        <is>
          <t>Larkspur Apparel</t>
        </is>
      </c>
      <c r="C55" s="2" t="n">
        <v>46157</v>
      </c>
      <c r="D55" s="2" t="n">
        <v>46378</v>
      </c>
      <c r="E55" s="1" t="inlineStr">
        <is>
          <t>HR-FLEET-EXP</t>
        </is>
      </c>
      <c r="F55" s="1" t="inlineStr">
        <is>
          <t>Fleet orchestration expansion pack, per robot</t>
        </is>
      </c>
      <c r="G55" s="1" t="n">
        <v>50</v>
      </c>
      <c r="H55" s="1" t="n">
        <v>20</v>
      </c>
      <c r="I55" s="1">
        <f>G55-H55</f>
        <v/>
      </c>
      <c r="J55" s="1" t="n">
        <v>2646</v>
      </c>
      <c r="K55" s="1">
        <f>ROUND(I55*J55,2)</f>
        <v/>
      </c>
      <c r="L55" s="1" t="inlineStr">
        <is>
          <t>Contract manufacturer</t>
        </is>
      </c>
      <c r="M55" s="1" t="inlineStr">
        <is>
          <t>On credit hold</t>
        </is>
      </c>
    </row>
    <row r="56">
      <c r="A56" s="1" t="inlineStr">
        <is>
          <t>PO-LKA-2774</t>
        </is>
      </c>
      <c r="B56" s="1" t="inlineStr">
        <is>
          <t>Larkspur Apparel</t>
        </is>
      </c>
      <c r="C56" s="2" t="n">
        <v>46090</v>
      </c>
      <c r="D56" s="2" t="n">
        <v>46199</v>
      </c>
      <c r="E56" s="1" t="inlineStr">
        <is>
          <t>HR-TELE-RET</t>
        </is>
      </c>
      <c r="F56" s="1" t="inlineStr">
        <is>
          <t>Telemetry retention tier, extended</t>
        </is>
      </c>
      <c r="G56" s="1" t="n">
        <v>21</v>
      </c>
      <c r="H56" s="1" t="n">
        <v>0</v>
      </c>
      <c r="I56" s="1">
        <f>G56-H56</f>
        <v/>
      </c>
      <c r="J56" s="1" t="n">
        <v>22785</v>
      </c>
      <c r="K56" s="1">
        <f>ROUND(I56*J56,2)</f>
        <v/>
      </c>
      <c r="L56" s="1" t="inlineStr">
        <is>
          <t>Contract manufacturer</t>
        </is>
      </c>
      <c r="M56" s="1" t="inlineStr">
        <is>
          <t>Partially shipped</t>
        </is>
      </c>
    </row>
    <row r="57">
      <c r="A57" s="1" t="inlineStr">
        <is>
          <t>PO-DBI-1448</t>
        </is>
      </c>
      <c r="B57" s="1" t="inlineStr">
        <is>
          <t>Dunbar Industrial</t>
        </is>
      </c>
      <c r="C57" s="2" t="n">
        <v>45950</v>
      </c>
      <c r="D57" s="2" t="n">
        <v>46248</v>
      </c>
      <c r="E57" s="1" t="inlineStr">
        <is>
          <t>HR-TRAIN-OPS</t>
        </is>
      </c>
      <c r="F57" s="1" t="inlineStr">
        <is>
          <t>Operator training programme</t>
        </is>
      </c>
      <c r="G57" s="1" t="n">
        <v>53</v>
      </c>
      <c r="H57" s="1" t="n">
        <v>37</v>
      </c>
      <c r="I57" s="1">
        <f>G57-H57</f>
        <v/>
      </c>
      <c r="J57" s="1" t="n">
        <v>3486</v>
      </c>
      <c r="K57" s="1">
        <f>ROUND(I57*J57,2)</f>
        <v/>
      </c>
      <c r="L57" s="1" t="inlineStr">
        <is>
          <t>Reno assembly</t>
        </is>
      </c>
      <c r="M57" s="1" t="inlineStr">
        <is>
          <t>Open</t>
        </is>
      </c>
    </row>
    <row r="58">
      <c r="A58" s="1" t="inlineStr">
        <is>
          <t>PO-BWA-9411</t>
        </is>
      </c>
      <c r="B58" s="1" t="inlineStr">
        <is>
          <t>Bellweather Auto Group</t>
        </is>
      </c>
      <c r="C58" s="2" t="n">
        <v>46028</v>
      </c>
      <c r="D58" s="2" t="n">
        <v>46220</v>
      </c>
      <c r="E58" s="1" t="inlineStr">
        <is>
          <t>HR-INT-WMS</t>
        </is>
      </c>
      <c r="F58" s="1" t="inlineStr">
        <is>
          <t>Warehouse management system connector</t>
        </is>
      </c>
      <c r="G58" s="1" t="n">
        <v>4</v>
      </c>
      <c r="H58" s="1" t="n">
        <v>4</v>
      </c>
      <c r="I58" s="1">
        <f>G58-H58</f>
        <v/>
      </c>
      <c r="J58" s="1" t="n">
        <v>37344</v>
      </c>
      <c r="K58" s="1">
        <f>ROUND(I58*J58,2)</f>
        <v/>
      </c>
      <c r="L58" s="1" t="inlineStr">
        <is>
          <t>Reno assembly</t>
        </is>
      </c>
      <c r="M58" s="1" t="inlineStr">
        <is>
          <t>Awaiting customer date</t>
        </is>
      </c>
    </row>
    <row r="59">
      <c r="A59" s="1" t="inlineStr">
        <is>
          <t>PO-VRS-4357</t>
        </is>
      </c>
      <c r="B59" s="1" t="inlineStr">
        <is>
          <t>Vantage Robotics Supply</t>
        </is>
      </c>
      <c r="C59" s="2" t="n">
        <v>45936</v>
      </c>
      <c r="D59" s="2" t="n">
        <v>46260</v>
      </c>
      <c r="E59" s="1" t="inlineStr">
        <is>
          <t>HR-DEPLOY-SVC</t>
        </is>
      </c>
      <c r="F59" s="1" t="inlineStr">
        <is>
          <t>Deployment and commissioning services</t>
        </is>
      </c>
      <c r="G59" s="1" t="n">
        <v>55</v>
      </c>
      <c r="H59" s="1" t="n">
        <v>2</v>
      </c>
      <c r="I59" s="1">
        <f>G59-H59</f>
        <v/>
      </c>
      <c r="J59" s="1" t="n">
        <v>1776</v>
      </c>
      <c r="K59" s="1">
        <f>ROUND(I59*J59,2)</f>
        <v/>
      </c>
      <c r="L59" s="1" t="inlineStr">
        <is>
          <t>Reno assembly</t>
        </is>
      </c>
      <c r="M59" s="1" t="inlineStr">
        <is>
          <t>On credit hold</t>
        </is>
      </c>
    </row>
    <row r="60">
      <c r="A60" s="1" t="inlineStr">
        <is>
          <t>PO-DGC-4014</t>
        </is>
      </c>
      <c r="B60" s="1" t="inlineStr">
        <is>
          <t>Dorsey Grain Cooperative</t>
        </is>
      </c>
      <c r="C60" s="2" t="n">
        <v>45966</v>
      </c>
      <c r="D60" s="2" t="n">
        <v>46346</v>
      </c>
      <c r="E60" s="1" t="inlineStr">
        <is>
          <t>HR-FLEET-EXP</t>
        </is>
      </c>
      <c r="F60" s="1" t="inlineStr">
        <is>
          <t>Fleet orchestration expansion pack, per robot</t>
        </is>
      </c>
      <c r="G60" s="1" t="n">
        <v>26</v>
      </c>
      <c r="H60" s="1" t="n">
        <v>10</v>
      </c>
      <c r="I60" s="1">
        <f>G60-H60</f>
        <v/>
      </c>
      <c r="J60" s="1" t="n">
        <v>2992.5</v>
      </c>
      <c r="K60" s="1">
        <f>ROUND(I60*J60,2)</f>
        <v/>
      </c>
      <c r="L60" s="1" t="inlineStr">
        <is>
          <t>Columbus staging</t>
        </is>
      </c>
      <c r="M60" s="1" t="inlineStr">
        <is>
          <t>Awaiting customer date</t>
        </is>
      </c>
    </row>
    <row r="61">
      <c r="A61" s="1" t="inlineStr">
        <is>
          <t>PO-BMC-3030</t>
        </is>
      </c>
      <c r="B61" s="1" t="inlineStr">
        <is>
          <t>Blue Mesa Components</t>
        </is>
      </c>
      <c r="C61" s="2" t="n">
        <v>46051</v>
      </c>
      <c r="D61" s="2" t="n">
        <v>46262</v>
      </c>
      <c r="E61" s="1" t="inlineStr">
        <is>
          <t>HR-AMR-450</t>
        </is>
      </c>
      <c r="F61" s="1" t="inlineStr">
        <is>
          <t>Autonomous mobile robot, 450 kg payload</t>
        </is>
      </c>
      <c r="G61" s="1" t="n">
        <v>8</v>
      </c>
      <c r="H61" s="1" t="n">
        <v>8</v>
      </c>
      <c r="I61" s="1">
        <f>G61-H61</f>
        <v/>
      </c>
      <c r="J61" s="1" t="n">
        <v>65664</v>
      </c>
      <c r="K61" s="1">
        <f>ROUND(I61*J61,2)</f>
        <v/>
      </c>
      <c r="L61" s="1" t="inlineStr">
        <is>
          <t>Contract manufacturer</t>
        </is>
      </c>
      <c r="M61" s="1" t="inlineStr">
        <is>
          <t>Partially shipped</t>
        </is>
      </c>
    </row>
    <row r="62">
      <c r="A62" s="1" t="inlineStr">
        <is>
          <t>PO-CMS-6560</t>
        </is>
      </c>
      <c r="B62" s="1" t="inlineStr">
        <is>
          <t>Calder Marine Supply</t>
        </is>
      </c>
      <c r="C62" s="2" t="n">
        <v>46132</v>
      </c>
      <c r="D62" s="2" t="n">
        <v>46366</v>
      </c>
      <c r="E62" s="1" t="inlineStr">
        <is>
          <t>HR-INT-WMS</t>
        </is>
      </c>
      <c r="F62" s="1" t="inlineStr">
        <is>
          <t>Warehouse management system connector</t>
        </is>
      </c>
      <c r="G62" s="1" t="n">
        <v>5</v>
      </c>
      <c r="H62" s="1" t="n">
        <v>0</v>
      </c>
      <c r="I62" s="1">
        <f>G62-H62</f>
        <v/>
      </c>
      <c r="J62" s="1" t="n">
        <v>32287</v>
      </c>
      <c r="K62" s="1">
        <f>ROUND(I62*J62,2)</f>
        <v/>
      </c>
      <c r="L62" s="1" t="inlineStr">
        <is>
          <t>Reno assembly</t>
        </is>
      </c>
      <c r="M62" s="1" t="inlineStr">
        <is>
          <t>Open</t>
        </is>
      </c>
    </row>
    <row r="63">
      <c r="A63" s="1" t="inlineStr">
        <is>
          <t>PO-EVW-6377</t>
        </is>
      </c>
      <c r="B63" s="1" t="inlineStr">
        <is>
          <t>Evergreen Warehousing</t>
        </is>
      </c>
      <c r="C63" s="2" t="n">
        <v>46132</v>
      </c>
      <c r="D63" s="2" t="n">
        <v>46174</v>
      </c>
      <c r="E63" s="1" t="inlineStr">
        <is>
          <t>HR-DEPLOY-SVC</t>
        </is>
      </c>
      <c r="F63" s="1" t="inlineStr">
        <is>
          <t>Deployment and commissioning services</t>
        </is>
      </c>
      <c r="G63" s="1" t="n">
        <v>50</v>
      </c>
      <c r="H63" s="1" t="n">
        <v>34</v>
      </c>
      <c r="I63" s="1">
        <f>G63-H63</f>
        <v/>
      </c>
      <c r="J63" s="1" t="n">
        <v>1517</v>
      </c>
      <c r="K63" s="1">
        <f>ROUND(I63*J63,2)</f>
        <v/>
      </c>
      <c r="L63" s="1" t="inlineStr">
        <is>
          <t>Columbus staging</t>
        </is>
      </c>
      <c r="M63" s="1" t="inlineStr">
        <is>
          <t>Closed</t>
        </is>
      </c>
    </row>
    <row r="64">
      <c r="A64" s="1" t="inlineStr">
        <is>
          <t>PO-ZAC-9013</t>
        </is>
      </c>
      <c r="B64" s="1" t="inlineStr">
        <is>
          <t>Zephyr Air Cargo</t>
        </is>
      </c>
      <c r="C64" s="2" t="n">
        <v>46091</v>
      </c>
      <c r="D64" s="2" t="n">
        <v>46437</v>
      </c>
      <c r="E64" s="1" t="inlineStr">
        <is>
          <t>HR-INT-WMS</t>
        </is>
      </c>
      <c r="F64" s="1" t="inlineStr">
        <is>
          <t>Warehouse management system connector</t>
        </is>
      </c>
      <c r="G64" s="1" t="n">
        <v>17</v>
      </c>
      <c r="H64" s="1" t="n">
        <v>9</v>
      </c>
      <c r="I64" s="1">
        <f>G64-H64</f>
        <v/>
      </c>
      <c r="J64" s="1" t="n">
        <v>33065</v>
      </c>
      <c r="K64" s="1">
        <f>ROUND(I64*J64,2)</f>
        <v/>
      </c>
      <c r="L64" s="1" t="inlineStr">
        <is>
          <t>Columbus staging</t>
        </is>
      </c>
      <c r="M64" s="1" t="inlineStr">
        <is>
          <t>Open</t>
        </is>
      </c>
    </row>
    <row r="65">
      <c r="A65" s="1" t="inlineStr">
        <is>
          <t>PO-BWA-3612</t>
        </is>
      </c>
      <c r="B65" s="1" t="inlineStr">
        <is>
          <t>Bellweather Auto Group</t>
        </is>
      </c>
      <c r="C65" s="2" t="n">
        <v>46181</v>
      </c>
      <c r="D65" s="2" t="n">
        <v>46182</v>
      </c>
      <c r="E65" s="1" t="inlineStr">
        <is>
          <t>HR-AMR-220</t>
        </is>
      </c>
      <c r="F65" s="1" t="inlineStr">
        <is>
          <t>Autonomous mobile robot, 220 kg payload</t>
        </is>
      </c>
      <c r="G65" s="1" t="n">
        <v>34</v>
      </c>
      <c r="H65" s="1" t="n">
        <v>0</v>
      </c>
      <c r="I65" s="1">
        <f>G65-H65</f>
        <v/>
      </c>
      <c r="J65" s="1" t="n">
        <v>39840</v>
      </c>
      <c r="K65" s="1">
        <f>ROUND(I65*J65,2)</f>
        <v/>
      </c>
      <c r="L65" s="1" t="inlineStr">
        <is>
          <t>Columbus staging</t>
        </is>
      </c>
      <c r="M65" s="1" t="inlineStr">
        <is>
          <t>On credit hold</t>
        </is>
      </c>
    </row>
    <row r="66">
      <c r="A66" s="1" t="inlineStr">
        <is>
          <t>PO-HLS-4224</t>
        </is>
      </c>
      <c r="B66" s="1" t="inlineStr">
        <is>
          <t>Harborline Systems</t>
        </is>
      </c>
      <c r="C66" s="2" t="n">
        <v>46199</v>
      </c>
      <c r="D66" s="2" t="n">
        <v>46195</v>
      </c>
      <c r="E66" s="1" t="inlineStr">
        <is>
          <t>HR-INT-WMS</t>
        </is>
      </c>
      <c r="F66" s="1" t="inlineStr">
        <is>
          <t>Warehouse management system connector</t>
        </is>
      </c>
      <c r="G66" s="1" t="n">
        <v>52</v>
      </c>
      <c r="H66" s="1" t="n">
        <v>28</v>
      </c>
      <c r="I66" s="1">
        <f>G66-H66</f>
        <v/>
      </c>
      <c r="J66" s="1" t="n">
        <v>31509</v>
      </c>
      <c r="K66" s="1">
        <f>ROUND(I66*J66,2)</f>
        <v/>
      </c>
      <c r="L66" s="1" t="inlineStr">
        <is>
          <t>Reno assembly</t>
        </is>
      </c>
      <c r="M66" s="1" t="inlineStr">
        <is>
          <t>Awaiting customer date</t>
        </is>
      </c>
    </row>
    <row r="67">
      <c r="A67" s="1" t="inlineStr">
        <is>
          <t>PO-EVW-1981</t>
        </is>
      </c>
      <c r="B67" s="1" t="inlineStr">
        <is>
          <t>Evergreen Warehousing</t>
        </is>
      </c>
      <c r="C67" s="2" t="n">
        <v>45957</v>
      </c>
      <c r="D67" s="2" t="n">
        <v>46234</v>
      </c>
      <c r="E67" s="1" t="inlineStr">
        <is>
          <t>HR-AMR-220</t>
        </is>
      </c>
      <c r="F67" s="1" t="inlineStr">
        <is>
          <t>Autonomous mobile robot, 220 kg payload</t>
        </is>
      </c>
      <c r="G67" s="1" t="n">
        <v>59</v>
      </c>
      <c r="H67" s="1" t="n">
        <v>20</v>
      </c>
      <c r="I67" s="1">
        <f>G67-H67</f>
        <v/>
      </c>
      <c r="J67" s="1" t="n">
        <v>35690</v>
      </c>
      <c r="K67" s="1">
        <f>ROUND(I67*J67,2)</f>
        <v/>
      </c>
      <c r="L67" s="1" t="inlineStr">
        <is>
          <t>Contract manufacturer</t>
        </is>
      </c>
      <c r="M67" s="1" t="inlineStr">
        <is>
          <t>Open</t>
        </is>
      </c>
    </row>
    <row r="68">
      <c r="A68" s="1" t="inlineStr">
        <is>
          <t>PO-FTM-6748</t>
        </is>
      </c>
      <c r="B68" s="1" t="inlineStr">
        <is>
          <t>Fathom Mobility</t>
        </is>
      </c>
      <c r="C68" s="2" t="n">
        <v>45933</v>
      </c>
      <c r="D68" s="2" t="n">
        <v>46276</v>
      </c>
      <c r="E68" s="1" t="inlineStr">
        <is>
          <t>HR-CHG-DOCK</t>
        </is>
      </c>
      <c r="F68" s="1" t="inlineStr">
        <is>
          <t>Opportunity charging dock</t>
        </is>
      </c>
      <c r="G68" s="1" t="n">
        <v>38</v>
      </c>
      <c r="H68" s="1" t="n">
        <v>10</v>
      </c>
      <c r="I68" s="1">
        <f>G68-H68</f>
        <v/>
      </c>
      <c r="J68" s="1" t="n">
        <v>9558</v>
      </c>
      <c r="K68" s="1">
        <f>ROUND(I68*J68,2)</f>
        <v/>
      </c>
      <c r="L68" s="1" t="inlineStr">
        <is>
          <t>Reno assembly</t>
        </is>
      </c>
      <c r="M68" s="1" t="inlineStr">
        <is>
          <t>Awaiting customer date</t>
        </is>
      </c>
    </row>
    <row r="69">
      <c r="A69" s="1" t="inlineStr">
        <is>
          <t>PO-FTM-2342</t>
        </is>
      </c>
      <c r="B69" s="1" t="inlineStr">
        <is>
          <t>Fathom Mobility</t>
        </is>
      </c>
      <c r="C69" s="2" t="n">
        <v>46211</v>
      </c>
      <c r="D69" s="2" t="n">
        <v>46227</v>
      </c>
      <c r="E69" s="1" t="inlineStr">
        <is>
          <t>HR-FLEET-CORE</t>
        </is>
      </c>
      <c r="F69" s="1" t="inlineStr">
        <is>
          <t>Fleet orchestration platform, annual site licence</t>
        </is>
      </c>
      <c r="G69" s="1" t="n">
        <v>22</v>
      </c>
      <c r="H69" s="1" t="n">
        <v>0</v>
      </c>
      <c r="I69" s="1">
        <f>G69-H69</f>
        <v/>
      </c>
      <c r="J69" s="1" t="n">
        <v>84480</v>
      </c>
      <c r="K69" s="1">
        <f>ROUND(I69*J69,2)</f>
        <v/>
      </c>
      <c r="L69" s="1" t="inlineStr">
        <is>
          <t>Contract manufacturer</t>
        </is>
      </c>
      <c r="M69" s="1" t="inlineStr">
        <is>
          <t>Open</t>
        </is>
      </c>
    </row>
    <row r="70">
      <c r="A70" s="1" t="inlineStr">
        <is>
          <t>PO-PFU-5611</t>
        </is>
      </c>
      <c r="B70" s="1" t="inlineStr">
        <is>
          <t>Pioneer Freight Union</t>
        </is>
      </c>
      <c r="C70" s="2" t="n">
        <v>46213</v>
      </c>
      <c r="D70" s="2" t="n">
        <v>46427</v>
      </c>
      <c r="E70" s="1" t="inlineStr">
        <is>
          <t>HR-REMOTE-OPS</t>
        </is>
      </c>
      <c r="F70" s="1" t="inlineStr">
        <is>
          <t>Remote operations desk coverage</t>
        </is>
      </c>
      <c r="G70" s="1" t="n">
        <v>55</v>
      </c>
      <c r="H70" s="1" t="n">
        <v>44</v>
      </c>
      <c r="I70" s="1">
        <f>G70-H70</f>
        <v/>
      </c>
      <c r="J70" s="1" t="n">
        <v>11718</v>
      </c>
      <c r="K70" s="1">
        <f>ROUND(I70*J70,2)</f>
        <v/>
      </c>
      <c r="L70" s="1" t="inlineStr">
        <is>
          <t>Reno assembly</t>
        </is>
      </c>
      <c r="M70" s="1" t="inlineStr">
        <is>
          <t>Partially shipped</t>
        </is>
      </c>
    </row>
    <row r="71">
      <c r="A71" s="1" t="inlineStr">
        <is>
          <t>PO-QBM-6324</t>
        </is>
      </c>
      <c r="B71" s="1" t="inlineStr">
        <is>
          <t>Quarrybridge Materials</t>
        </is>
      </c>
      <c r="C71" s="2" t="n">
        <v>46094</v>
      </c>
      <c r="D71" s="2" t="n">
        <v>46178</v>
      </c>
      <c r="E71" s="1" t="inlineStr">
        <is>
          <t>HR-AMR-220</t>
        </is>
      </c>
      <c r="F71" s="1" t="inlineStr">
        <is>
          <t>Autonomous mobile robot, 220 kg payload</t>
        </is>
      </c>
      <c r="G71" s="1" t="n">
        <v>28</v>
      </c>
      <c r="H71" s="1" t="n">
        <v>22</v>
      </c>
      <c r="I71" s="1">
        <f>G71-H71</f>
        <v/>
      </c>
      <c r="J71" s="1" t="n">
        <v>38180</v>
      </c>
      <c r="K71" s="1">
        <f>ROUND(I71*J71,2)</f>
        <v/>
      </c>
      <c r="L71" s="1" t="inlineStr">
        <is>
          <t>Reno assembly</t>
        </is>
      </c>
      <c r="M71" s="1" t="inlineStr">
        <is>
          <t>Open</t>
        </is>
      </c>
    </row>
    <row r="72">
      <c r="A72" s="1" t="inlineStr">
        <is>
          <t>PO-DGC-8953</t>
        </is>
      </c>
      <c r="B72" s="1" t="inlineStr">
        <is>
          <t>Dorsey Grain Cooperative</t>
        </is>
      </c>
      <c r="C72" s="2" t="n">
        <v>46080</v>
      </c>
      <c r="D72" s="2" t="n">
        <v>46283</v>
      </c>
      <c r="E72" s="1" t="inlineStr">
        <is>
          <t>HR-INT-WMS</t>
        </is>
      </c>
      <c r="F72" s="1" t="inlineStr">
        <is>
          <t>Warehouse management system connector</t>
        </is>
      </c>
      <c r="G72" s="1" t="n">
        <v>31</v>
      </c>
      <c r="H72" s="1" t="n">
        <v>18</v>
      </c>
      <c r="I72" s="1">
        <f>G72-H72</f>
        <v/>
      </c>
      <c r="J72" s="1" t="n">
        <v>30342</v>
      </c>
      <c r="K72" s="1">
        <f>ROUND(I72*J72,2)</f>
        <v/>
      </c>
      <c r="L72" s="1" t="inlineStr">
        <is>
          <t>Contract manufacturer</t>
        </is>
      </c>
      <c r="M72" s="1" t="inlineStr">
        <is>
          <t>Awaiting customer date</t>
        </is>
      </c>
    </row>
    <row r="73">
      <c r="A73" s="1" t="inlineStr">
        <is>
          <t>PO-EVW-6442</t>
        </is>
      </c>
      <c r="B73" s="1" t="inlineStr">
        <is>
          <t>Evergreen Warehousing</t>
        </is>
      </c>
      <c r="C73" s="2" t="n">
        <v>46136</v>
      </c>
      <c r="D73" s="2" t="n">
        <v>46437</v>
      </c>
      <c r="E73" s="1" t="inlineStr">
        <is>
          <t>HR-SAFE-SCAN</t>
        </is>
      </c>
      <c r="F73" s="1" t="inlineStr">
        <is>
          <t>Safety scanner retrofit kit</t>
        </is>
      </c>
      <c r="G73" s="1" t="n">
        <v>45</v>
      </c>
      <c r="H73" s="1" t="n">
        <v>10</v>
      </c>
      <c r="I73" s="1">
        <f>G73-H73</f>
        <v/>
      </c>
      <c r="J73" s="1" t="n">
        <v>5872.5</v>
      </c>
      <c r="K73" s="1">
        <f>ROUND(I73*J73,2)</f>
        <v/>
      </c>
      <c r="L73" s="1" t="inlineStr">
        <is>
          <t>Columbus staging</t>
        </is>
      </c>
      <c r="M73" s="1" t="inlineStr">
        <is>
          <t>Partially shipped</t>
        </is>
      </c>
    </row>
    <row r="74">
      <c r="A74" s="1" t="inlineStr">
        <is>
          <t>PO-KPP-2359</t>
        </is>
      </c>
      <c r="B74" s="1" t="inlineStr">
        <is>
          <t>Keystone Paper &amp; Pack</t>
        </is>
      </c>
      <c r="C74" s="2" t="n">
        <v>45903</v>
      </c>
      <c r="D74" s="2" t="n">
        <v>46380</v>
      </c>
      <c r="E74" s="1" t="inlineStr">
        <is>
          <t>HR-TRAIN-OPS</t>
        </is>
      </c>
      <c r="F74" s="1" t="inlineStr">
        <is>
          <t>Operator training programme</t>
        </is>
      </c>
      <c r="G74" s="1" t="n">
        <v>33</v>
      </c>
      <c r="H74" s="1" t="n">
        <v>7</v>
      </c>
      <c r="I74" s="1">
        <f>G74-H74</f>
        <v/>
      </c>
      <c r="J74" s="1" t="n">
        <v>3822</v>
      </c>
      <c r="K74" s="1">
        <f>ROUND(I74*J74,2)</f>
        <v/>
      </c>
      <c r="L74" s="1" t="inlineStr">
        <is>
          <t>Contract manufacturer</t>
        </is>
      </c>
      <c r="M74" s="1" t="inlineStr">
        <is>
          <t>Awaiting customer date</t>
        </is>
      </c>
    </row>
    <row r="75">
      <c r="A75" s="1" t="inlineStr">
        <is>
          <t>PO-IVG-7115</t>
        </is>
      </c>
      <c r="B75" s="1" t="inlineStr">
        <is>
          <t>Ironvale Grocery Group</t>
        </is>
      </c>
      <c r="C75" s="2" t="n">
        <v>46017</v>
      </c>
      <c r="D75" s="2" t="n">
        <v>46174</v>
      </c>
      <c r="E75" s="1" t="inlineStr">
        <is>
          <t>HR-AMR-220</t>
        </is>
      </c>
      <c r="F75" s="1" t="inlineStr">
        <is>
          <t>Autonomous mobile robot, 220 kg payload</t>
        </is>
      </c>
      <c r="G75" s="1" t="n">
        <v>56</v>
      </c>
      <c r="H75" s="1" t="n">
        <v>34</v>
      </c>
      <c r="I75" s="1">
        <f>G75-H75</f>
        <v/>
      </c>
      <c r="J75" s="1" t="n">
        <v>39840</v>
      </c>
      <c r="K75" s="1">
        <f>ROUND(I75*J75,2)</f>
        <v/>
      </c>
      <c r="L75" s="1" t="inlineStr">
        <is>
          <t>Contract manufacturer</t>
        </is>
      </c>
      <c r="M75" s="1" t="inlineStr">
        <is>
          <t>On credit hold</t>
        </is>
      </c>
    </row>
    <row r="76">
      <c r="A76" s="1" t="inlineStr">
        <is>
          <t>PO-CFF-7987</t>
        </is>
      </c>
      <c r="B76" s="1" t="inlineStr">
        <is>
          <t>Crestline Fulfillment</t>
        </is>
      </c>
      <c r="C76" s="2" t="n">
        <v>46157</v>
      </c>
      <c r="D76" s="2" t="n">
        <v>46405</v>
      </c>
      <c r="E76" s="1" t="inlineStr">
        <is>
          <t>HR-AMR-220</t>
        </is>
      </c>
      <c r="F76" s="1" t="inlineStr">
        <is>
          <t>Autonomous mobile robot, 220 kg payload</t>
        </is>
      </c>
      <c r="G76" s="1" t="n">
        <v>23</v>
      </c>
      <c r="H76" s="1" t="n">
        <v>21</v>
      </c>
      <c r="I76" s="1">
        <f>G76-H76</f>
        <v/>
      </c>
      <c r="J76" s="1" t="n">
        <v>36935</v>
      </c>
      <c r="K76" s="1">
        <f>ROUND(I76*J76,2)</f>
        <v/>
      </c>
      <c r="L76" s="1" t="inlineStr">
        <is>
          <t>Contract manufacturer</t>
        </is>
      </c>
      <c r="M76" s="1" t="inlineStr">
        <is>
          <t>Open</t>
        </is>
      </c>
    </row>
    <row r="77">
      <c r="A77" s="1" t="inlineStr">
        <is>
          <t>PO-HLS-1033</t>
        </is>
      </c>
      <c r="B77" s="1" t="inlineStr">
        <is>
          <t>Harborline Systems</t>
        </is>
      </c>
      <c r="C77" s="2" t="n">
        <v>45933</v>
      </c>
      <c r="D77" s="2" t="n">
        <v>46351</v>
      </c>
      <c r="E77" s="1" t="inlineStr">
        <is>
          <t>HR-CHG-DOCK</t>
        </is>
      </c>
      <c r="F77" s="1" t="inlineStr">
        <is>
          <t>Opportunity charging dock</t>
        </is>
      </c>
      <c r="G77" s="1" t="n">
        <v>37</v>
      </c>
      <c r="H77" s="1" t="n">
        <v>1</v>
      </c>
      <c r="I77" s="1">
        <f>G77-H77</f>
        <v/>
      </c>
      <c r="J77" s="1" t="n">
        <v>9558</v>
      </c>
      <c r="K77" s="1">
        <f>ROUND(I77*J77,2)</f>
        <v/>
      </c>
      <c r="L77" s="1" t="inlineStr">
        <is>
          <t>Columbus staging</t>
        </is>
      </c>
      <c r="M77" s="1" t="inlineStr">
        <is>
          <t>On credit hold</t>
        </is>
      </c>
    </row>
    <row r="78">
      <c r="A78" s="1" t="inlineStr">
        <is>
          <t>PO-BMC-8425</t>
        </is>
      </c>
      <c r="B78" s="1" t="inlineStr">
        <is>
          <t>Blue Mesa Components</t>
        </is>
      </c>
      <c r="C78" s="2" t="n">
        <v>46119</v>
      </c>
      <c r="D78" s="2" t="n">
        <v>46337</v>
      </c>
      <c r="E78" s="1" t="inlineStr">
        <is>
          <t>HR-TRAIN-OPS</t>
        </is>
      </c>
      <c r="F78" s="1" t="inlineStr">
        <is>
          <t>Operator training programme</t>
        </is>
      </c>
      <c r="G78" s="1" t="n">
        <v>31</v>
      </c>
      <c r="H78" s="1" t="n">
        <v>24</v>
      </c>
      <c r="I78" s="1">
        <f>G78-H78</f>
        <v/>
      </c>
      <c r="J78" s="1" t="n">
        <v>3570</v>
      </c>
      <c r="K78" s="1">
        <f>ROUND(I78*J78,2)</f>
        <v/>
      </c>
      <c r="L78" s="1" t="inlineStr">
        <is>
          <t>Columbus staging</t>
        </is>
      </c>
      <c r="M78" s="1" t="inlineStr">
        <is>
          <t>Awaiting customer date</t>
        </is>
      </c>
    </row>
    <row r="79">
      <c r="A79" s="1" t="inlineStr">
        <is>
          <t>PO-PFU-6814</t>
        </is>
      </c>
      <c r="B79" s="1" t="inlineStr">
        <is>
          <t>Pioneer Freight Union</t>
        </is>
      </c>
      <c r="C79" s="2" t="n">
        <v>46112</v>
      </c>
      <c r="D79" s="2" t="n">
        <v>46323</v>
      </c>
      <c r="E79" s="1" t="inlineStr">
        <is>
          <t>HR-INT-WMS</t>
        </is>
      </c>
      <c r="F79" s="1" t="inlineStr">
        <is>
          <t>Warehouse management system connector</t>
        </is>
      </c>
      <c r="G79" s="1" t="n">
        <v>25</v>
      </c>
      <c r="H79" s="1" t="n">
        <v>17</v>
      </c>
      <c r="I79" s="1">
        <f>G79-H79</f>
        <v/>
      </c>
      <c r="J79" s="1" t="n">
        <v>32676</v>
      </c>
      <c r="K79" s="1">
        <f>ROUND(I79*J79,2)</f>
        <v/>
      </c>
      <c r="L79" s="1" t="inlineStr">
        <is>
          <t>Reno assembly</t>
        </is>
      </c>
      <c r="M79" s="1" t="inlineStr">
        <is>
          <t>Partially shipped</t>
        </is>
      </c>
    </row>
    <row r="80">
      <c r="A80" s="1" t="inlineStr">
        <is>
          <t>PO-LKA-4147</t>
        </is>
      </c>
      <c r="B80" s="1" t="inlineStr">
        <is>
          <t>Larkspur Apparel</t>
        </is>
      </c>
      <c r="C80" s="2" t="n">
        <v>46161</v>
      </c>
      <c r="D80" s="2" t="n">
        <v>46416</v>
      </c>
      <c r="E80" s="1" t="inlineStr">
        <is>
          <t>HR-TELE-RET</t>
        </is>
      </c>
      <c r="F80" s="1" t="inlineStr">
        <is>
          <t>Telemetry retention tier, extended</t>
        </is>
      </c>
      <c r="G80" s="1" t="n">
        <v>27</v>
      </c>
      <c r="H80" s="1" t="n">
        <v>27</v>
      </c>
      <c r="I80" s="1">
        <f>G80-H80</f>
        <v/>
      </c>
      <c r="J80" s="1" t="n">
        <v>20090</v>
      </c>
      <c r="K80" s="1">
        <f>ROUND(I80*J80,2)</f>
        <v/>
      </c>
      <c r="L80" s="1" t="inlineStr">
        <is>
          <t>Columbus staging</t>
        </is>
      </c>
      <c r="M80" s="1" t="inlineStr">
        <is>
          <t>Partially shipped</t>
        </is>
      </c>
    </row>
    <row r="81">
      <c r="A81" s="1" t="inlineStr">
        <is>
          <t>PO-CMS-2700</t>
        </is>
      </c>
      <c r="B81" s="1" t="inlineStr">
        <is>
          <t>Calder Marine Supply</t>
        </is>
      </c>
      <c r="C81" s="2" t="n">
        <v>46056</v>
      </c>
      <c r="D81" s="2" t="n">
        <v>46388</v>
      </c>
      <c r="E81" s="1" t="inlineStr">
        <is>
          <t>HR-TRAIN-OPS</t>
        </is>
      </c>
      <c r="F81" s="1" t="inlineStr">
        <is>
          <t>Operator training programme</t>
        </is>
      </c>
      <c r="G81" s="1" t="n">
        <v>41</v>
      </c>
      <c r="H81" s="1" t="n">
        <v>34</v>
      </c>
      <c r="I81" s="1">
        <f>G81-H81</f>
        <v/>
      </c>
      <c r="J81" s="1" t="n">
        <v>3738</v>
      </c>
      <c r="K81" s="1">
        <f>ROUND(I81*J81,2)</f>
        <v/>
      </c>
      <c r="L81" s="1" t="inlineStr">
        <is>
          <t>Contract manufacturer</t>
        </is>
      </c>
      <c r="M81" s="1" t="inlineStr">
        <is>
          <t>Open</t>
        </is>
      </c>
    </row>
    <row r="82">
      <c r="A82" s="1" t="inlineStr">
        <is>
          <t>PO-YHG-1300</t>
        </is>
      </c>
      <c r="B82" s="1" t="inlineStr">
        <is>
          <t>Yarrow Home Goods</t>
        </is>
      </c>
      <c r="C82" s="2" t="n">
        <v>45975</v>
      </c>
      <c r="D82" s="2" t="n">
        <v>46338</v>
      </c>
      <c r="E82" s="1" t="inlineStr">
        <is>
          <t>HR-AMR-220</t>
        </is>
      </c>
      <c r="F82" s="1" t="inlineStr">
        <is>
          <t>Autonomous mobile robot, 220 kg payload</t>
        </is>
      </c>
      <c r="G82" s="1" t="n">
        <v>56</v>
      </c>
      <c r="H82" s="1" t="n">
        <v>19</v>
      </c>
      <c r="I82" s="1">
        <f>G82-H82</f>
        <v/>
      </c>
      <c r="J82" s="1" t="n">
        <v>35275</v>
      </c>
      <c r="K82" s="1">
        <f>ROUND(I82*J82,2)</f>
        <v/>
      </c>
      <c r="L82" s="1" t="inlineStr">
        <is>
          <t>Reno assembly</t>
        </is>
      </c>
      <c r="M82" s="1" t="inlineStr">
        <is>
          <t>Closed</t>
        </is>
      </c>
    </row>
    <row r="83">
      <c r="A83" s="1" t="inlineStr">
        <is>
          <t>PO-AST-3450</t>
        </is>
      </c>
      <c r="B83" s="1" t="inlineStr">
        <is>
          <t>Asterion Logistics</t>
        </is>
      </c>
      <c r="C83" s="2" t="n">
        <v>45937</v>
      </c>
      <c r="D83" s="2" t="n">
        <v>46185</v>
      </c>
      <c r="E83" s="1" t="inlineStr">
        <is>
          <t>HR-SAFE-SCAN</t>
        </is>
      </c>
      <c r="F83" s="1" t="inlineStr">
        <is>
          <t>Safety scanner retrofit kit</t>
        </is>
      </c>
      <c r="G83" s="1" t="n">
        <v>60</v>
      </c>
      <c r="H83" s="1" t="n">
        <v>30</v>
      </c>
      <c r="I83" s="1">
        <f>G83-H83</f>
        <v/>
      </c>
      <c r="J83" s="1" t="n">
        <v>6452.5</v>
      </c>
      <c r="K83" s="1">
        <f>ROUND(I83*J83,2)</f>
        <v/>
      </c>
      <c r="L83" s="1" t="inlineStr">
        <is>
          <t>Reno assembly</t>
        </is>
      </c>
      <c r="M83" s="1" t="inlineStr">
        <is>
          <t>Awaiting customer date</t>
        </is>
      </c>
    </row>
    <row r="84">
      <c r="A84" s="1" t="inlineStr">
        <is>
          <t>PO-RWO-5306</t>
        </is>
      </c>
      <c r="B84" s="1" t="inlineStr">
        <is>
          <t>Redwood Optics</t>
        </is>
      </c>
      <c r="C84" s="2" t="n">
        <v>45917</v>
      </c>
      <c r="D84" s="2" t="n">
        <v>46213</v>
      </c>
      <c r="E84" s="1" t="inlineStr">
        <is>
          <t>HR-AMR-450</t>
        </is>
      </c>
      <c r="F84" s="1" t="inlineStr">
        <is>
          <t>Autonomous mobile robot, 450 kg payload</t>
        </is>
      </c>
      <c r="G84" s="1" t="n">
        <v>32</v>
      </c>
      <c r="H84" s="1" t="n">
        <v>14</v>
      </c>
      <c r="I84" s="1">
        <f>G84-H84</f>
        <v/>
      </c>
      <c r="J84" s="1" t="n">
        <v>56088</v>
      </c>
      <c r="K84" s="1">
        <f>ROUND(I84*J84,2)</f>
        <v/>
      </c>
      <c r="L84" s="1" t="inlineStr">
        <is>
          <t>Columbus staging</t>
        </is>
      </c>
      <c r="M84" s="1" t="inlineStr">
        <is>
          <t>Open</t>
        </is>
      </c>
    </row>
    <row r="85">
      <c r="A85" s="1" t="inlineStr">
        <is>
          <t>PO-QBM-5304</t>
        </is>
      </c>
      <c r="B85" s="1" t="inlineStr">
        <is>
          <t>Quarrybridge Materials</t>
        </is>
      </c>
      <c r="C85" s="2" t="n">
        <v>46024</v>
      </c>
      <c r="D85" s="2" t="n">
        <v>46230</v>
      </c>
      <c r="E85" s="1" t="inlineStr">
        <is>
          <t>HR-INT-WMS</t>
        </is>
      </c>
      <c r="F85" s="1" t="inlineStr">
        <is>
          <t>Warehouse management system connector</t>
        </is>
      </c>
      <c r="G85" s="1" t="n">
        <v>50</v>
      </c>
      <c r="H85" s="1" t="n">
        <v>40</v>
      </c>
      <c r="I85" s="1">
        <f>G85-H85</f>
        <v/>
      </c>
      <c r="J85" s="1" t="n">
        <v>35399</v>
      </c>
      <c r="K85" s="1">
        <f>ROUND(I85*J85,2)</f>
        <v/>
      </c>
      <c r="L85" s="1" t="inlineStr">
        <is>
          <t>Columbus staging</t>
        </is>
      </c>
      <c r="M85" s="1" t="inlineStr">
        <is>
          <t>Closed</t>
        </is>
      </c>
    </row>
    <row r="86">
      <c r="A86" s="1" t="inlineStr">
        <is>
          <t>PO-MDY-8652</t>
        </is>
      </c>
      <c r="B86" s="1" t="inlineStr">
        <is>
          <t>Meridian Dynamics</t>
        </is>
      </c>
      <c r="C86" s="2" t="n">
        <v>46087</v>
      </c>
      <c r="D86" s="2" t="n">
        <v>46290</v>
      </c>
      <c r="E86" s="1" t="inlineStr">
        <is>
          <t>HR-CHG-DOCK</t>
        </is>
      </c>
      <c r="F86" s="1" t="inlineStr">
        <is>
          <t>Opportunity charging dock</t>
        </is>
      </c>
      <c r="G86" s="1" t="n">
        <v>7</v>
      </c>
      <c r="H86" s="1" t="n">
        <v>5</v>
      </c>
      <c r="I86" s="1">
        <f>G86-H86</f>
        <v/>
      </c>
      <c r="J86" s="1" t="n">
        <v>9676</v>
      </c>
      <c r="K86" s="1">
        <f>ROUND(I86*J86,2)</f>
        <v/>
      </c>
      <c r="L86" s="1" t="inlineStr">
        <is>
          <t>Reno assembly</t>
        </is>
      </c>
      <c r="M86" s="1" t="inlineStr">
        <is>
          <t>Awaiting customer date</t>
        </is>
      </c>
    </row>
    <row r="87">
      <c r="A87" s="1" t="inlineStr">
        <is>
          <t>PO-CMS-5595</t>
        </is>
      </c>
      <c r="B87" s="1" t="inlineStr">
        <is>
          <t>Calder Marine Supply</t>
        </is>
      </c>
      <c r="C87" s="2" t="n">
        <v>46135</v>
      </c>
      <c r="D87" s="2" t="n">
        <v>46350</v>
      </c>
      <c r="E87" s="1" t="inlineStr">
        <is>
          <t>HR-AMR-450</t>
        </is>
      </c>
      <c r="F87" s="1" t="inlineStr">
        <is>
          <t>Autonomous mobile robot, 450 kg payload</t>
        </is>
      </c>
      <c r="G87" s="1" t="n">
        <v>22</v>
      </c>
      <c r="H87" s="1" t="n">
        <v>19</v>
      </c>
      <c r="I87" s="1">
        <f>G87-H87</f>
        <v/>
      </c>
      <c r="J87" s="1" t="n">
        <v>62244</v>
      </c>
      <c r="K87" s="1">
        <f>ROUND(I87*J87,2)</f>
        <v/>
      </c>
      <c r="L87" s="1" t="inlineStr">
        <is>
          <t>Columbus staging</t>
        </is>
      </c>
      <c r="M87" s="1" t="inlineStr">
        <is>
          <t>Open</t>
        </is>
      </c>
    </row>
    <row r="88">
      <c r="A88" s="1" t="inlineStr">
        <is>
          <t>PO-CFF-1347</t>
        </is>
      </c>
      <c r="B88" s="1" t="inlineStr">
        <is>
          <t>Crestline Fulfillment</t>
        </is>
      </c>
      <c r="C88" s="2" t="n">
        <v>46122</v>
      </c>
      <c r="D88" s="2" t="n">
        <v>46324</v>
      </c>
      <c r="E88" s="1" t="inlineStr">
        <is>
          <t>HR-FLEET-EXP</t>
        </is>
      </c>
      <c r="F88" s="1" t="inlineStr">
        <is>
          <t>Fleet orchestration expansion pack, per robot</t>
        </is>
      </c>
      <c r="G88" s="1" t="n">
        <v>31</v>
      </c>
      <c r="H88" s="1" t="n">
        <v>13</v>
      </c>
      <c r="I88" s="1">
        <f>G88-H88</f>
        <v/>
      </c>
      <c r="J88" s="1" t="n">
        <v>3024</v>
      </c>
      <c r="K88" s="1">
        <f>ROUND(I88*J88,2)</f>
        <v/>
      </c>
      <c r="L88" s="1" t="inlineStr">
        <is>
          <t>Columbus staging</t>
        </is>
      </c>
      <c r="M88" s="1" t="inlineStr">
        <is>
          <t>Open</t>
        </is>
      </c>
    </row>
    <row r="89">
      <c r="A89" s="1" t="inlineStr">
        <is>
          <t>PO-HLS-5357</t>
        </is>
      </c>
      <c r="B89" s="1" t="inlineStr">
        <is>
          <t>Harborline Systems</t>
        </is>
      </c>
      <c r="C89" s="2" t="n">
        <v>46038</v>
      </c>
      <c r="D89" s="2" t="n">
        <v>46241</v>
      </c>
      <c r="E89" s="1" t="inlineStr">
        <is>
          <t>HR-FLEET-EXP</t>
        </is>
      </c>
      <c r="F89" s="1" t="inlineStr">
        <is>
          <t>Fleet orchestration expansion pack, per robot</t>
        </is>
      </c>
      <c r="G89" s="1" t="n">
        <v>22</v>
      </c>
      <c r="H89" s="1" t="n">
        <v>21</v>
      </c>
      <c r="I89" s="1">
        <f>G89-H89</f>
        <v/>
      </c>
      <c r="J89" s="1" t="n">
        <v>2614.5</v>
      </c>
      <c r="K89" s="1">
        <f>ROUND(I89*J89,2)</f>
        <v/>
      </c>
      <c r="L89" s="1" t="inlineStr">
        <is>
          <t>Reno assembly</t>
        </is>
      </c>
      <c r="M89" s="1" t="inlineStr">
        <is>
          <t>On credit hold</t>
        </is>
      </c>
    </row>
    <row r="90">
      <c r="A90" s="1" t="inlineStr">
        <is>
          <t>PO-RWO-2760</t>
        </is>
      </c>
      <c r="B90" s="1" t="inlineStr">
        <is>
          <t>Redwood Optics</t>
        </is>
      </c>
      <c r="C90" s="2" t="n">
        <v>46065</v>
      </c>
      <c r="D90" s="2" t="n">
        <v>46185</v>
      </c>
      <c r="E90" s="1" t="inlineStr">
        <is>
          <t>HR-FLEET-CORE</t>
        </is>
      </c>
      <c r="F90" s="1" t="inlineStr">
        <is>
          <t>Fleet orchestration platform, annual site licence</t>
        </is>
      </c>
      <c r="G90" s="1" t="n">
        <v>60</v>
      </c>
      <c r="H90" s="1" t="n">
        <v>34</v>
      </c>
      <c r="I90" s="1">
        <f>G90-H90</f>
        <v/>
      </c>
      <c r="J90" s="1" t="n">
        <v>79680</v>
      </c>
      <c r="K90" s="1">
        <f>ROUND(I90*J90,2)</f>
        <v/>
      </c>
      <c r="L90" s="1" t="inlineStr">
        <is>
          <t>Reno assembly</t>
        </is>
      </c>
      <c r="M90" s="1" t="inlineStr">
        <is>
          <t>On credit hold</t>
        </is>
      </c>
    </row>
    <row r="91">
      <c r="A91" s="1" t="inlineStr">
        <is>
          <t>PO-EWP-5344</t>
        </is>
      </c>
      <c r="B91" s="1" t="inlineStr">
        <is>
          <t>Elmsworth Publishing</t>
        </is>
      </c>
      <c r="C91" s="2" t="n">
        <v>46177</v>
      </c>
      <c r="D91" s="2" t="n">
        <v>46392</v>
      </c>
      <c r="E91" s="1" t="inlineStr">
        <is>
          <t>HR-INT-WMS</t>
        </is>
      </c>
      <c r="F91" s="1" t="inlineStr">
        <is>
          <t>Warehouse management system connector</t>
        </is>
      </c>
      <c r="G91" s="1" t="n">
        <v>12</v>
      </c>
      <c r="H91" s="1" t="n">
        <v>12</v>
      </c>
      <c r="I91" s="1">
        <f>G91-H91</f>
        <v/>
      </c>
      <c r="J91" s="1" t="n">
        <v>33843</v>
      </c>
      <c r="K91" s="1">
        <f>ROUND(I91*J91,2)</f>
        <v/>
      </c>
      <c r="L91" s="1" t="inlineStr">
        <is>
          <t>Contract manufacturer</t>
        </is>
      </c>
      <c r="M91" s="1" t="inlineStr">
        <is>
          <t>Open</t>
        </is>
      </c>
    </row>
    <row r="92">
      <c r="A92" s="1" t="inlineStr">
        <is>
          <t>PO-SRR-6013</t>
        </is>
      </c>
      <c r="B92" s="1" t="inlineStr">
        <is>
          <t>Summit Ridge Retail</t>
        </is>
      </c>
      <c r="C92" s="2" t="n">
        <v>45919</v>
      </c>
      <c r="D92" s="2" t="n">
        <v>46304</v>
      </c>
      <c r="E92" s="1" t="inlineStr">
        <is>
          <t>HR-DEPLOY-SVC</t>
        </is>
      </c>
      <c r="F92" s="1" t="inlineStr">
        <is>
          <t>Deployment and commissioning services</t>
        </is>
      </c>
      <c r="G92" s="1" t="n">
        <v>58</v>
      </c>
      <c r="H92" s="1" t="n">
        <v>51</v>
      </c>
      <c r="I92" s="1">
        <f>G92-H92</f>
        <v/>
      </c>
      <c r="J92" s="1" t="n">
        <v>1591</v>
      </c>
      <c r="K92" s="1">
        <f>ROUND(I92*J92,2)</f>
        <v/>
      </c>
      <c r="L92" s="1" t="inlineStr">
        <is>
          <t>Reno assembly</t>
        </is>
      </c>
      <c r="M92" s="1" t="inlineStr">
        <is>
          <t>Partially shipped</t>
        </is>
      </c>
    </row>
    <row r="93">
      <c r="A93" s="1" t="inlineStr">
        <is>
          <t>PO-QBM-3509</t>
        </is>
      </c>
      <c r="B93" s="1" t="inlineStr">
        <is>
          <t>Quarrybridge Materials</t>
        </is>
      </c>
      <c r="C93" s="2" t="n">
        <v>45982</v>
      </c>
      <c r="D93" s="2" t="n">
        <v>46350</v>
      </c>
      <c r="E93" s="1" t="inlineStr">
        <is>
          <t>HR-CHG-DOCK</t>
        </is>
      </c>
      <c r="F93" s="1" t="inlineStr">
        <is>
          <t>Opportunity charging dock</t>
        </is>
      </c>
      <c r="G93" s="1" t="n">
        <v>30</v>
      </c>
      <c r="H93" s="1" t="n">
        <v>2</v>
      </c>
      <c r="I93" s="1">
        <f>G93-H93</f>
        <v/>
      </c>
      <c r="J93" s="1" t="n">
        <v>9794</v>
      </c>
      <c r="K93" s="1">
        <f>ROUND(I93*J93,2)</f>
        <v/>
      </c>
      <c r="L93" s="1" t="inlineStr">
        <is>
          <t>Columbus staging</t>
        </is>
      </c>
      <c r="M93" s="1" t="inlineStr">
        <is>
          <t>Open</t>
        </is>
      </c>
    </row>
    <row r="94">
      <c r="A94" s="1" t="inlineStr">
        <is>
          <t>PO-FTM-6386</t>
        </is>
      </c>
      <c r="B94" s="1" t="inlineStr">
        <is>
          <t>Fathom Mobility</t>
        </is>
      </c>
      <c r="C94" s="2" t="n">
        <v>45952</v>
      </c>
      <c r="D94" s="2" t="n">
        <v>46441</v>
      </c>
      <c r="E94" s="1" t="inlineStr">
        <is>
          <t>HR-SAFE-SCAN</t>
        </is>
      </c>
      <c r="F94" s="1" t="inlineStr">
        <is>
          <t>Safety scanner retrofit kit</t>
        </is>
      </c>
      <c r="G94" s="1" t="n">
        <v>12</v>
      </c>
      <c r="H94" s="1" t="n">
        <v>12</v>
      </c>
      <c r="I94" s="1">
        <f>G94-H94</f>
        <v/>
      </c>
      <c r="J94" s="1" t="n">
        <v>6235</v>
      </c>
      <c r="K94" s="1">
        <f>ROUND(I94*J94,2)</f>
        <v/>
      </c>
      <c r="L94" s="1" t="inlineStr">
        <is>
          <t>Reno assembly</t>
        </is>
      </c>
      <c r="M94" s="1" t="inlineStr">
        <is>
          <t>On credit hold</t>
        </is>
      </c>
    </row>
    <row r="95">
      <c r="A95" s="1" t="inlineStr">
        <is>
          <t>PO-BWA-2628</t>
        </is>
      </c>
      <c r="B95" s="1" t="inlineStr">
        <is>
          <t>Bellweather Auto Group</t>
        </is>
      </c>
      <c r="C95" s="2" t="n">
        <v>46028</v>
      </c>
      <c r="D95" s="2" t="n">
        <v>46421</v>
      </c>
      <c r="E95" s="1" t="inlineStr">
        <is>
          <t>HR-AMR-450</t>
        </is>
      </c>
      <c r="F95" s="1" t="inlineStr">
        <is>
          <t>Autonomous mobile robot, 450 kg payload</t>
        </is>
      </c>
      <c r="G95" s="1" t="n">
        <v>25</v>
      </c>
      <c r="H95" s="1" t="n">
        <v>9</v>
      </c>
      <c r="I95" s="1">
        <f>G95-H95</f>
        <v/>
      </c>
      <c r="J95" s="1" t="n">
        <v>65664</v>
      </c>
      <c r="K95" s="1">
        <f>ROUND(I95*J95,2)</f>
        <v/>
      </c>
      <c r="L95" s="1" t="inlineStr">
        <is>
          <t>Contract manufacturer</t>
        </is>
      </c>
      <c r="M95" s="1" t="inlineStr">
        <is>
          <t>Partially shipped</t>
        </is>
      </c>
    </row>
    <row r="96">
      <c r="A96" s="1" t="inlineStr">
        <is>
          <t>PO-CFF-2748</t>
        </is>
      </c>
      <c r="B96" s="1" t="inlineStr">
        <is>
          <t>Crestline Fulfillment</t>
        </is>
      </c>
      <c r="C96" s="2" t="n">
        <v>46080</v>
      </c>
      <c r="D96" s="2" t="n">
        <v>46331</v>
      </c>
      <c r="E96" s="1" t="inlineStr">
        <is>
          <t>HR-SUP-PREM</t>
        </is>
      </c>
      <c r="F96" s="1" t="inlineStr">
        <is>
          <t>Premium support and spares pool</t>
        </is>
      </c>
      <c r="G96" s="1" t="n">
        <v>33</v>
      </c>
      <c r="H96" s="1" t="n">
        <v>14</v>
      </c>
      <c r="I96" s="1">
        <f>G96-H96</f>
        <v/>
      </c>
      <c r="J96" s="1" t="n">
        <v>45840</v>
      </c>
      <c r="K96" s="1">
        <f>ROUND(I96*J96,2)</f>
        <v/>
      </c>
      <c r="L96" s="1" t="inlineStr">
        <is>
          <t>Reno assembly</t>
        </is>
      </c>
      <c r="M96" s="1" t="inlineStr">
        <is>
          <t>Open</t>
        </is>
      </c>
    </row>
    <row r="97">
      <c r="A97" s="1" t="inlineStr">
        <is>
          <t>PO-FTM-7611</t>
        </is>
      </c>
      <c r="B97" s="1" t="inlineStr">
        <is>
          <t>Fathom Mobility</t>
        </is>
      </c>
      <c r="C97" s="2" t="n">
        <v>46122</v>
      </c>
      <c r="D97" s="2" t="n">
        <v>46426</v>
      </c>
      <c r="E97" s="1" t="inlineStr">
        <is>
          <t>HR-AMR-220</t>
        </is>
      </c>
      <c r="F97" s="1" t="inlineStr">
        <is>
          <t>Autonomous mobile robot, 220 kg payload</t>
        </is>
      </c>
      <c r="G97" s="1" t="n">
        <v>53</v>
      </c>
      <c r="H97" s="1" t="n">
        <v>19</v>
      </c>
      <c r="I97" s="1">
        <f>G97-H97</f>
        <v/>
      </c>
      <c r="J97" s="1" t="n">
        <v>37765</v>
      </c>
      <c r="K97" s="1">
        <f>ROUND(I97*J97,2)</f>
        <v/>
      </c>
      <c r="L97" s="1" t="inlineStr">
        <is>
          <t>Columbus staging</t>
        </is>
      </c>
      <c r="M97" s="1" t="inlineStr">
        <is>
          <t>Open</t>
        </is>
      </c>
    </row>
    <row r="98">
      <c r="A98" s="1" t="inlineStr">
        <is>
          <t>PO-SRR-9328</t>
        </is>
      </c>
      <c r="B98" s="1" t="inlineStr">
        <is>
          <t>Summit Ridge Retail</t>
        </is>
      </c>
      <c r="C98" s="2" t="n">
        <v>46085</v>
      </c>
      <c r="D98" s="2" t="n">
        <v>46301</v>
      </c>
      <c r="E98" s="1" t="inlineStr">
        <is>
          <t>HR-SUP-PREM</t>
        </is>
      </c>
      <c r="F98" s="1" t="inlineStr">
        <is>
          <t>Premium support and spares pool</t>
        </is>
      </c>
      <c r="G98" s="1" t="n">
        <v>20</v>
      </c>
      <c r="H98" s="1" t="n">
        <v>19</v>
      </c>
      <c r="I98" s="1">
        <f>G98-H98</f>
        <v/>
      </c>
      <c r="J98" s="1" t="n">
        <v>48705</v>
      </c>
      <c r="K98" s="1">
        <f>ROUND(I98*J98,2)</f>
        <v/>
      </c>
      <c r="L98" s="1" t="inlineStr">
        <is>
          <t>Reno assembly</t>
        </is>
      </c>
      <c r="M98" s="1" t="inlineStr">
        <is>
          <t>Closed</t>
        </is>
      </c>
    </row>
    <row r="99">
      <c r="A99" s="1" t="inlineStr">
        <is>
          <t>PO-ZAC-4882</t>
        </is>
      </c>
      <c r="B99" s="1" t="inlineStr">
        <is>
          <t>Zephyr Air Cargo</t>
        </is>
      </c>
      <c r="C99" s="2" t="n">
        <v>45975</v>
      </c>
      <c r="D99" s="2" t="n">
        <v>46255</v>
      </c>
      <c r="E99" s="1" t="inlineStr">
        <is>
          <t>HR-SAFE-SCAN</t>
        </is>
      </c>
      <c r="F99" s="1" t="inlineStr">
        <is>
          <t>Safety scanner retrofit kit</t>
        </is>
      </c>
      <c r="G99" s="1" t="n">
        <v>6</v>
      </c>
      <c r="H99" s="1" t="n">
        <v>2</v>
      </c>
      <c r="I99" s="1">
        <f>G99-H99</f>
        <v/>
      </c>
      <c r="J99" s="1" t="n">
        <v>6452.5</v>
      </c>
      <c r="K99" s="1">
        <f>ROUND(I99*J99,2)</f>
        <v/>
      </c>
      <c r="L99" s="1" t="inlineStr">
        <is>
          <t>Columbus staging</t>
        </is>
      </c>
      <c r="M99" s="1" t="inlineStr">
        <is>
          <t>On credit hold</t>
        </is>
      </c>
    </row>
    <row r="100">
      <c r="A100" s="1" t="inlineStr">
        <is>
          <t>PO-RWO-6199</t>
        </is>
      </c>
      <c r="B100" s="1" t="inlineStr">
        <is>
          <t>Redwood Optics</t>
        </is>
      </c>
      <c r="C100" s="2" t="n">
        <v>46049</v>
      </c>
      <c r="D100" s="2" t="n">
        <v>46339</v>
      </c>
      <c r="E100" s="1" t="inlineStr">
        <is>
          <t>HR-SUP-PREM</t>
        </is>
      </c>
      <c r="F100" s="1" t="inlineStr">
        <is>
          <t>Premium support and spares pool</t>
        </is>
      </c>
      <c r="G100" s="1" t="n">
        <v>6</v>
      </c>
      <c r="H100" s="1" t="n">
        <v>4</v>
      </c>
      <c r="I100" s="1">
        <f>G100-H100</f>
        <v/>
      </c>
      <c r="J100" s="1" t="n">
        <v>55008</v>
      </c>
      <c r="K100" s="1">
        <f>ROUND(I100*J100,2)</f>
        <v/>
      </c>
      <c r="L100" s="1" t="inlineStr">
        <is>
          <t>Contract manufacturer</t>
        </is>
      </c>
      <c r="M100" s="1" t="inlineStr">
        <is>
          <t>Open</t>
        </is>
      </c>
    </row>
    <row r="101">
      <c r="A101" s="1" t="inlineStr">
        <is>
          <t>PO-NFB-6927</t>
        </is>
      </c>
      <c r="B101" s="1" t="inlineStr">
        <is>
          <t>Northfield Beverage</t>
        </is>
      </c>
      <c r="C101" s="2" t="n">
        <v>46034</v>
      </c>
      <c r="D101" s="2" t="n">
        <v>46343</v>
      </c>
      <c r="E101" s="1" t="inlineStr">
        <is>
          <t>HR-TELE-RET</t>
        </is>
      </c>
      <c r="F101" s="1" t="inlineStr">
        <is>
          <t>Telemetry retention tier, extended</t>
        </is>
      </c>
      <c r="G101" s="1" t="n">
        <v>48</v>
      </c>
      <c r="H101" s="1" t="n">
        <v>15</v>
      </c>
      <c r="I101" s="1">
        <f>G101-H101</f>
        <v/>
      </c>
      <c r="J101" s="1" t="n">
        <v>20335</v>
      </c>
      <c r="K101" s="1">
        <f>ROUND(I101*J101,2)</f>
        <v/>
      </c>
      <c r="L101" s="1" t="inlineStr">
        <is>
          <t>Reno assembly</t>
        </is>
      </c>
      <c r="M101" s="1" t="inlineStr">
        <is>
          <t>On credit hold</t>
        </is>
      </c>
    </row>
    <row r="102">
      <c r="A102" s="1" t="inlineStr">
        <is>
          <t>PO-DGC-4108</t>
        </is>
      </c>
      <c r="B102" s="1" t="inlineStr">
        <is>
          <t>Dorsey Grain Cooperative</t>
        </is>
      </c>
      <c r="C102" s="2" t="n">
        <v>46066</v>
      </c>
      <c r="D102" s="2" t="n">
        <v>46339</v>
      </c>
      <c r="E102" s="1" t="inlineStr">
        <is>
          <t>HR-DEPLOY-SVC</t>
        </is>
      </c>
      <c r="F102" s="1" t="inlineStr">
        <is>
          <t>Deployment and commissioning services</t>
        </is>
      </c>
      <c r="G102" s="1" t="n">
        <v>35</v>
      </c>
      <c r="H102" s="1" t="n">
        <v>14</v>
      </c>
      <c r="I102" s="1">
        <f>G102-H102</f>
        <v/>
      </c>
      <c r="J102" s="1" t="n">
        <v>1554</v>
      </c>
      <c r="K102" s="1">
        <f>ROUND(I102*J102,2)</f>
        <v/>
      </c>
      <c r="L102" s="1" t="inlineStr">
        <is>
          <t>Contract manufacturer</t>
        </is>
      </c>
      <c r="M102" s="1" t="inlineStr">
        <is>
          <t>Open</t>
        </is>
      </c>
    </row>
    <row r="103">
      <c r="A103" s="1" t="inlineStr">
        <is>
          <t>PO-CMS-4270</t>
        </is>
      </c>
      <c r="B103" s="1" t="inlineStr">
        <is>
          <t>Calder Marine Supply</t>
        </is>
      </c>
      <c r="C103" s="2" t="n">
        <v>46006</v>
      </c>
      <c r="D103" s="2" t="n">
        <v>46276</v>
      </c>
      <c r="E103" s="1" t="inlineStr">
        <is>
          <t>HR-TELE-RET</t>
        </is>
      </c>
      <c r="F103" s="1" t="inlineStr">
        <is>
          <t>Telemetry retention tier, extended</t>
        </is>
      </c>
      <c r="G103" s="1" t="n">
        <v>10</v>
      </c>
      <c r="H103" s="1" t="n">
        <v>8</v>
      </c>
      <c r="I103" s="1">
        <f>G103-H103</f>
        <v/>
      </c>
      <c r="J103" s="1" t="n">
        <v>20090</v>
      </c>
      <c r="K103" s="1">
        <f>ROUND(I103*J103,2)</f>
        <v/>
      </c>
      <c r="L103" s="1" t="inlineStr">
        <is>
          <t>Reno assembly</t>
        </is>
      </c>
      <c r="M103" s="1" t="inlineStr">
        <is>
          <t>Open</t>
        </is>
      </c>
    </row>
    <row r="104">
      <c r="A104" s="1" t="inlineStr">
        <is>
          <t>PO-MDY-8314</t>
        </is>
      </c>
      <c r="B104" s="1" t="inlineStr">
        <is>
          <t>Meridian Dynamics</t>
        </is>
      </c>
      <c r="C104" s="2" t="n">
        <v>45926</v>
      </c>
      <c r="D104" s="2" t="n">
        <v>46367</v>
      </c>
      <c r="E104" s="1" t="inlineStr">
        <is>
          <t>HR-TRAIN-OPS</t>
        </is>
      </c>
      <c r="F104" s="1" t="inlineStr">
        <is>
          <t>Operator training programme</t>
        </is>
      </c>
      <c r="G104" s="1" t="n">
        <v>15</v>
      </c>
      <c r="H104" s="1" t="n">
        <v>7</v>
      </c>
      <c r="I104" s="1">
        <f>G104-H104</f>
        <v/>
      </c>
      <c r="J104" s="1" t="n">
        <v>3402</v>
      </c>
      <c r="K104" s="1">
        <f>ROUND(I104*J104,2)</f>
        <v/>
      </c>
      <c r="L104" s="1" t="inlineStr">
        <is>
          <t>Reno assembly</t>
        </is>
      </c>
      <c r="M104" s="1" t="inlineStr">
        <is>
          <t>On credit hold</t>
        </is>
      </c>
    </row>
    <row r="105">
      <c r="A105" s="1" t="inlineStr">
        <is>
          <t>PO-ZAC-7978</t>
        </is>
      </c>
      <c r="B105" s="1" t="inlineStr">
        <is>
          <t>Zephyr Air Cargo</t>
        </is>
      </c>
      <c r="C105" s="2" t="n">
        <v>46206</v>
      </c>
      <c r="D105" s="2" t="n">
        <v>46227</v>
      </c>
      <c r="E105" s="1" t="inlineStr">
        <is>
          <t>HR-TELE-RET</t>
        </is>
      </c>
      <c r="F105" s="1" t="inlineStr">
        <is>
          <t>Telemetry retention tier, extended</t>
        </is>
      </c>
      <c r="G105" s="1" t="n">
        <v>58</v>
      </c>
      <c r="H105" s="1" t="n">
        <v>16</v>
      </c>
      <c r="I105" s="1">
        <f>G105-H105</f>
        <v/>
      </c>
      <c r="J105" s="1" t="n">
        <v>19355</v>
      </c>
      <c r="K105" s="1">
        <f>ROUND(I105*J105,2)</f>
        <v/>
      </c>
      <c r="L105" s="1" t="inlineStr">
        <is>
          <t>Columbus staging</t>
        </is>
      </c>
      <c r="M105" s="1" t="inlineStr">
        <is>
          <t>Open</t>
        </is>
      </c>
    </row>
    <row r="106">
      <c r="A106" s="1" t="inlineStr">
        <is>
          <t>PO-IVG-3203</t>
        </is>
      </c>
      <c r="B106" s="1" t="inlineStr">
        <is>
          <t>Ironvale Grocery Group</t>
        </is>
      </c>
      <c r="C106" s="2" t="n">
        <v>46049</v>
      </c>
      <c r="D106" s="2" t="n">
        <v>46293</v>
      </c>
      <c r="E106" s="1" t="inlineStr">
        <is>
          <t>HR-FLEET-CORE</t>
        </is>
      </c>
      <c r="F106" s="1" t="inlineStr">
        <is>
          <t>Fleet orchestration platform, annual site licence</t>
        </is>
      </c>
      <c r="G106" s="1" t="n">
        <v>15</v>
      </c>
      <c r="H106" s="1" t="n">
        <v>7</v>
      </c>
      <c r="I106" s="1">
        <f>G106-H106</f>
        <v/>
      </c>
      <c r="J106" s="1" t="n">
        <v>90240</v>
      </c>
      <c r="K106" s="1">
        <f>ROUND(I106*J106,2)</f>
        <v/>
      </c>
      <c r="L106" s="1" t="inlineStr">
        <is>
          <t>Contract manufacturer</t>
        </is>
      </c>
      <c r="M106" s="1" t="inlineStr">
        <is>
          <t>Open</t>
        </is>
      </c>
    </row>
    <row r="107">
      <c r="A107" s="1" t="inlineStr">
        <is>
          <t>PO-JHS-3691</t>
        </is>
      </c>
      <c r="B107" s="1" t="inlineStr">
        <is>
          <t>Juniper Health Supply</t>
        </is>
      </c>
      <c r="C107" s="2" t="n">
        <v>45926</v>
      </c>
      <c r="D107" s="2" t="n">
        <v>46399</v>
      </c>
      <c r="E107" s="1" t="inlineStr">
        <is>
          <t>HR-TELE-RET</t>
        </is>
      </c>
      <c r="F107" s="1" t="inlineStr">
        <is>
          <t>Telemetry retention tier, extended</t>
        </is>
      </c>
      <c r="G107" s="1" t="n">
        <v>9</v>
      </c>
      <c r="H107" s="1" t="n">
        <v>8</v>
      </c>
      <c r="I107" s="1">
        <f>G107-H107</f>
        <v/>
      </c>
      <c r="J107" s="1" t="n">
        <v>22540</v>
      </c>
      <c r="K107" s="1">
        <f>ROUND(I107*J107,2)</f>
        <v/>
      </c>
      <c r="L107" s="1" t="inlineStr">
        <is>
          <t>Columbus staging</t>
        </is>
      </c>
      <c r="M107" s="1" t="inlineStr">
        <is>
          <t>Open</t>
        </is>
      </c>
    </row>
    <row r="108">
      <c r="A108" s="1" t="inlineStr">
        <is>
          <t>PO-WCD-9880</t>
        </is>
      </c>
      <c r="B108" s="1" t="inlineStr">
        <is>
          <t>Westlake Chemical Depot</t>
        </is>
      </c>
      <c r="C108" s="2" t="n">
        <v>46016</v>
      </c>
      <c r="D108" s="2" t="n">
        <v>46325</v>
      </c>
      <c r="E108" s="1" t="inlineStr">
        <is>
          <t>HR-FLEET-EXP</t>
        </is>
      </c>
      <c r="F108" s="1" t="inlineStr">
        <is>
          <t>Fleet orchestration expansion pack, per robot</t>
        </is>
      </c>
      <c r="G108" s="1" t="n">
        <v>21</v>
      </c>
      <c r="H108" s="1" t="n">
        <v>0</v>
      </c>
      <c r="I108" s="1">
        <f>G108-H108</f>
        <v/>
      </c>
      <c r="J108" s="1" t="n">
        <v>2520</v>
      </c>
      <c r="K108" s="1">
        <f>ROUND(I108*J108,2)</f>
        <v/>
      </c>
      <c r="L108" s="1" t="inlineStr">
        <is>
          <t>Reno assembly</t>
        </is>
      </c>
      <c r="M108" s="1" t="inlineStr">
        <is>
          <t>Partially shipped</t>
        </is>
      </c>
    </row>
    <row r="109">
      <c r="A109" s="1" t="inlineStr">
        <is>
          <t>PO-YHG-1827</t>
        </is>
      </c>
      <c r="B109" s="1" t="inlineStr">
        <is>
          <t>Yarrow Home Goods</t>
        </is>
      </c>
      <c r="C109" s="2" t="n">
        <v>46113</v>
      </c>
      <c r="D109" s="2" t="n">
        <v>46192</v>
      </c>
      <c r="E109" s="1" t="inlineStr">
        <is>
          <t>HR-AMR-450</t>
        </is>
      </c>
      <c r="F109" s="1" t="inlineStr">
        <is>
          <t>Autonomous mobile robot, 450 kg payload</t>
        </is>
      </c>
      <c r="G109" s="1" t="n">
        <v>32</v>
      </c>
      <c r="H109" s="1" t="n">
        <v>15</v>
      </c>
      <c r="I109" s="1">
        <f>G109-H109</f>
        <v/>
      </c>
      <c r="J109" s="1" t="n">
        <v>59508</v>
      </c>
      <c r="K109" s="1">
        <f>ROUND(I109*J109,2)</f>
        <v/>
      </c>
      <c r="L109" s="1" t="inlineStr">
        <is>
          <t>Reno assembly</t>
        </is>
      </c>
      <c r="M109" s="1" t="inlineStr">
        <is>
          <t>Closed</t>
        </is>
      </c>
    </row>
    <row r="110">
      <c r="A110" s="1" t="inlineStr">
        <is>
          <t>PO-ABT-8865</t>
        </is>
      </c>
      <c r="B110" s="1" t="inlineStr">
        <is>
          <t>Alderbrook Textiles</t>
        </is>
      </c>
      <c r="C110" s="2" t="n">
        <v>46122</v>
      </c>
      <c r="D110" s="2" t="n">
        <v>46426</v>
      </c>
      <c r="E110" s="1" t="inlineStr">
        <is>
          <t>HR-DEPLOY-SVC</t>
        </is>
      </c>
      <c r="F110" s="1" t="inlineStr">
        <is>
          <t>Deployment and commissioning services</t>
        </is>
      </c>
      <c r="G110" s="1" t="n">
        <v>13</v>
      </c>
      <c r="H110" s="1" t="n">
        <v>13</v>
      </c>
      <c r="I110" s="1">
        <f>G110-H110</f>
        <v/>
      </c>
      <c r="J110" s="1" t="n">
        <v>1683.5</v>
      </c>
      <c r="K110" s="1">
        <f>ROUND(I110*J110,2)</f>
        <v/>
      </c>
      <c r="L110" s="1" t="inlineStr">
        <is>
          <t>Reno assembly</t>
        </is>
      </c>
      <c r="M110" s="1" t="inlineStr">
        <is>
          <t>Partially shipped</t>
        </is>
      </c>
    </row>
    <row r="111">
      <c r="A111" s="1" t="inlineStr">
        <is>
          <t>PO-VRS-6133</t>
        </is>
      </c>
      <c r="B111" s="1" t="inlineStr">
        <is>
          <t>Vantage Robotics Supply</t>
        </is>
      </c>
      <c r="C111" s="2" t="n">
        <v>46013</v>
      </c>
      <c r="D111" s="2" t="n">
        <v>46392</v>
      </c>
      <c r="E111" s="1" t="inlineStr">
        <is>
          <t>HR-DEPLOY-SVC</t>
        </is>
      </c>
      <c r="F111" s="1" t="inlineStr">
        <is>
          <t>Deployment and commissioning services</t>
        </is>
      </c>
      <c r="G111" s="1" t="n">
        <v>54</v>
      </c>
      <c r="H111" s="1" t="n">
        <v>20</v>
      </c>
      <c r="I111" s="1">
        <f>G111-H111</f>
        <v/>
      </c>
      <c r="J111" s="1" t="n">
        <v>1461.5</v>
      </c>
      <c r="K111" s="1">
        <f>ROUND(I111*J111,2)</f>
        <v/>
      </c>
      <c r="L111" s="1" t="inlineStr">
        <is>
          <t>Contract manufacturer</t>
        </is>
      </c>
      <c r="M111" s="1" t="inlineStr">
        <is>
          <t>On credit hold</t>
        </is>
      </c>
    </row>
    <row r="112">
      <c r="A112" s="1" t="inlineStr">
        <is>
          <t>PO-YHG-8288</t>
        </is>
      </c>
      <c r="B112" s="1" t="inlineStr">
        <is>
          <t>Yarrow Home Goods</t>
        </is>
      </c>
      <c r="C112" s="2" t="n">
        <v>46170</v>
      </c>
      <c r="D112" s="2" t="n">
        <v>46427</v>
      </c>
      <c r="E112" s="1" t="inlineStr">
        <is>
          <t>HR-FLEET-CORE</t>
        </is>
      </c>
      <c r="F112" s="1" t="inlineStr">
        <is>
          <t>Fleet orchestration platform, annual site licence</t>
        </is>
      </c>
      <c r="G112" s="1" t="n">
        <v>20</v>
      </c>
      <c r="H112" s="1" t="n">
        <v>12</v>
      </c>
      <c r="I112" s="1">
        <f>G112-H112</f>
        <v/>
      </c>
      <c r="J112" s="1" t="n">
        <v>90240</v>
      </c>
      <c r="K112" s="1">
        <f>ROUND(I112*J112,2)</f>
        <v/>
      </c>
      <c r="L112" s="1" t="inlineStr">
        <is>
          <t>Columbus staging</t>
        </is>
      </c>
      <c r="M112" s="1" t="inlineStr">
        <is>
          <t>Open</t>
        </is>
      </c>
    </row>
    <row r="113">
      <c r="A113" s="1" t="inlineStr">
        <is>
          <t>PO-IVG-8895</t>
        </is>
      </c>
      <c r="B113" s="1" t="inlineStr">
        <is>
          <t>Ironvale Grocery Group</t>
        </is>
      </c>
      <c r="C113" s="2" t="n">
        <v>45925</v>
      </c>
      <c r="D113" s="2" t="n">
        <v>46248</v>
      </c>
      <c r="E113" s="1" t="inlineStr">
        <is>
          <t>HR-CHG-DOCK</t>
        </is>
      </c>
      <c r="F113" s="1" t="inlineStr">
        <is>
          <t>Opportunity charging dock</t>
        </is>
      </c>
      <c r="G113" s="1" t="n">
        <v>59</v>
      </c>
      <c r="H113" s="1" t="n">
        <v>37</v>
      </c>
      <c r="I113" s="1">
        <f>G113-H113</f>
        <v/>
      </c>
      <c r="J113" s="1" t="n">
        <v>10738</v>
      </c>
      <c r="K113" s="1">
        <f>ROUND(I113*J113,2)</f>
        <v/>
      </c>
      <c r="L113" s="1" t="inlineStr">
        <is>
          <t>Contract manufacturer</t>
        </is>
      </c>
      <c r="M113" s="1" t="inlineStr">
        <is>
          <t>Partially shipped</t>
        </is>
      </c>
    </row>
    <row r="114">
      <c r="A114" s="1" t="inlineStr">
        <is>
          <t>PO-QBM-8352</t>
        </is>
      </c>
      <c r="B114" s="1" t="inlineStr">
        <is>
          <t>Quarrybridge Materials</t>
        </is>
      </c>
      <c r="C114" s="2" t="n">
        <v>46183</v>
      </c>
      <c r="D114" s="2" t="n">
        <v>46436</v>
      </c>
      <c r="E114" s="1" t="inlineStr">
        <is>
          <t>HR-AMR-220</t>
        </is>
      </c>
      <c r="F114" s="1" t="inlineStr">
        <is>
          <t>Autonomous mobile robot, 220 kg payload</t>
        </is>
      </c>
      <c r="G114" s="1" t="n">
        <v>44</v>
      </c>
      <c r="H114" s="1" t="n">
        <v>39</v>
      </c>
      <c r="I114" s="1">
        <f>G114-H114</f>
        <v/>
      </c>
      <c r="J114" s="1" t="n">
        <v>35690</v>
      </c>
      <c r="K114" s="1">
        <f>ROUND(I114*J114,2)</f>
        <v/>
      </c>
      <c r="L114" s="1" t="inlineStr">
        <is>
          <t>Reno assembly</t>
        </is>
      </c>
      <c r="M114" s="1" t="inlineStr">
        <is>
          <t>Open</t>
        </is>
      </c>
    </row>
    <row r="115">
      <c r="A115" s="1" t="inlineStr">
        <is>
          <t>PO-VRS-8011</t>
        </is>
      </c>
      <c r="B115" s="1" t="inlineStr">
        <is>
          <t>Vantage Robotics Supply</t>
        </is>
      </c>
      <c r="C115" s="2" t="n">
        <v>45982</v>
      </c>
      <c r="D115" s="2" t="n">
        <v>46290</v>
      </c>
      <c r="E115" s="1" t="inlineStr">
        <is>
          <t>HR-FLEET-CORE</t>
        </is>
      </c>
      <c r="F115" s="1" t="inlineStr">
        <is>
          <t>Fleet orchestration platform, annual site licence</t>
        </is>
      </c>
      <c r="G115" s="1" t="n">
        <v>41</v>
      </c>
      <c r="H115" s="1" t="n">
        <v>16</v>
      </c>
      <c r="I115" s="1">
        <f>G115-H115</f>
        <v/>
      </c>
      <c r="J115" s="1" t="n">
        <v>82560</v>
      </c>
      <c r="K115" s="1">
        <f>ROUND(I115*J115,2)</f>
        <v/>
      </c>
      <c r="L115" s="1" t="inlineStr">
        <is>
          <t>Columbus staging</t>
        </is>
      </c>
      <c r="M115" s="1" t="inlineStr">
        <is>
          <t>Closed</t>
        </is>
      </c>
    </row>
    <row r="116">
      <c r="A116" s="1" t="inlineStr">
        <is>
          <t>PO-FTM-4705</t>
        </is>
      </c>
      <c r="B116" s="1" t="inlineStr">
        <is>
          <t>Fathom Mobility</t>
        </is>
      </c>
      <c r="C116" s="2" t="n">
        <v>46134</v>
      </c>
      <c r="D116" s="2" t="n">
        <v>46287</v>
      </c>
      <c r="E116" s="1" t="inlineStr">
        <is>
          <t>HR-FLEET-EXP</t>
        </is>
      </c>
      <c r="F116" s="1" t="inlineStr">
        <is>
          <t>Fleet orchestration expansion pack, per robot</t>
        </is>
      </c>
      <c r="G116" s="1" t="n">
        <v>59</v>
      </c>
      <c r="H116" s="1" t="n">
        <v>20</v>
      </c>
      <c r="I116" s="1">
        <f>G116-H116</f>
        <v/>
      </c>
      <c r="J116" s="1" t="n">
        <v>2803.5</v>
      </c>
      <c r="K116" s="1">
        <f>ROUND(I116*J116,2)</f>
        <v/>
      </c>
      <c r="L116" s="1" t="inlineStr">
        <is>
          <t>Reno assembly</t>
        </is>
      </c>
      <c r="M116" s="1" t="inlineStr">
        <is>
          <t>On credit hold</t>
        </is>
      </c>
    </row>
    <row r="117">
      <c r="A117" s="1" t="inlineStr">
        <is>
          <t>PO-DBI-2171</t>
        </is>
      </c>
      <c r="B117" s="1" t="inlineStr">
        <is>
          <t>Dunbar Industrial</t>
        </is>
      </c>
      <c r="C117" s="2" t="n">
        <v>46140</v>
      </c>
      <c r="D117" s="2" t="n">
        <v>46458</v>
      </c>
      <c r="E117" s="1" t="inlineStr">
        <is>
          <t>HR-REMOTE-OPS</t>
        </is>
      </c>
      <c r="F117" s="1" t="inlineStr">
        <is>
          <t>Remote operations desk coverage</t>
        </is>
      </c>
      <c r="G117" s="1" t="n">
        <v>13</v>
      </c>
      <c r="H117" s="1" t="n">
        <v>3</v>
      </c>
      <c r="I117" s="1">
        <f>G117-H117</f>
        <v/>
      </c>
      <c r="J117" s="1" t="n">
        <v>10962</v>
      </c>
      <c r="K117" s="1">
        <f>ROUND(I117*J117,2)</f>
        <v/>
      </c>
      <c r="L117" s="1" t="inlineStr">
        <is>
          <t>Reno assembly</t>
        </is>
      </c>
      <c r="M117" s="1" t="inlineStr">
        <is>
          <t>Open</t>
        </is>
      </c>
    </row>
    <row r="118">
      <c r="A118" s="1" t="inlineStr">
        <is>
          <t>PO-BMC-6232</t>
        </is>
      </c>
      <c r="B118" s="1" t="inlineStr">
        <is>
          <t>Blue Mesa Components</t>
        </is>
      </c>
      <c r="C118" s="2" t="n">
        <v>45975</v>
      </c>
      <c r="D118" s="2" t="n">
        <v>46458</v>
      </c>
      <c r="E118" s="1" t="inlineStr">
        <is>
          <t>HR-INT-WMS</t>
        </is>
      </c>
      <c r="F118" s="1" t="inlineStr">
        <is>
          <t>Warehouse management system connector</t>
        </is>
      </c>
      <c r="G118" s="1" t="n">
        <v>6</v>
      </c>
      <c r="H118" s="1" t="n">
        <v>3</v>
      </c>
      <c r="I118" s="1">
        <f>G118-H118</f>
        <v/>
      </c>
      <c r="J118" s="1" t="n">
        <v>35788</v>
      </c>
      <c r="K118" s="1">
        <f>ROUND(I118*J118,2)</f>
        <v/>
      </c>
      <c r="L118" s="1" t="inlineStr">
        <is>
          <t>Reno assembly</t>
        </is>
      </c>
      <c r="M118" s="1" t="inlineStr">
        <is>
          <t>Awaiting customer date</t>
        </is>
      </c>
    </row>
    <row r="119">
      <c r="A119" s="1" t="inlineStr">
        <is>
          <t>PO-NFB-2006</t>
        </is>
      </c>
      <c r="B119" s="1" t="inlineStr">
        <is>
          <t>Northfield Beverage</t>
        </is>
      </c>
      <c r="C119" s="2" t="n">
        <v>46087</v>
      </c>
      <c r="D119" s="2" t="n">
        <v>46282</v>
      </c>
      <c r="E119" s="1" t="inlineStr">
        <is>
          <t>HR-REMOTE-OPS</t>
        </is>
      </c>
      <c r="F119" s="1" t="inlineStr">
        <is>
          <t>Remote operations desk coverage</t>
        </is>
      </c>
      <c r="G119" s="1" t="n">
        <v>51</v>
      </c>
      <c r="H119" s="1" t="n">
        <v>13</v>
      </c>
      <c r="I119" s="1">
        <f>G119-H119</f>
        <v/>
      </c>
      <c r="J119" s="1" t="n">
        <v>12222</v>
      </c>
      <c r="K119" s="1">
        <f>ROUND(I119*J119,2)</f>
        <v/>
      </c>
      <c r="L119" s="1" t="inlineStr">
        <is>
          <t>Columbus staging</t>
        </is>
      </c>
      <c r="M119" s="1" t="inlineStr">
        <is>
          <t>Open</t>
        </is>
      </c>
    </row>
    <row r="120">
      <c r="A120" s="1" t="inlineStr">
        <is>
          <t>PO-FTM-9434</t>
        </is>
      </c>
      <c r="B120" s="1" t="inlineStr">
        <is>
          <t>Fathom Mobility</t>
        </is>
      </c>
      <c r="C120" s="2" t="n">
        <v>45916</v>
      </c>
      <c r="D120" s="2" t="n">
        <v>46234</v>
      </c>
      <c r="E120" s="1" t="inlineStr">
        <is>
          <t>HR-INT-WMS</t>
        </is>
      </c>
      <c r="F120" s="1" t="inlineStr">
        <is>
          <t>Warehouse management system connector</t>
        </is>
      </c>
      <c r="G120" s="1" t="n">
        <v>28</v>
      </c>
      <c r="H120" s="1" t="n">
        <v>3</v>
      </c>
      <c r="I120" s="1">
        <f>G120-H120</f>
        <v/>
      </c>
      <c r="J120" s="1" t="n">
        <v>32287</v>
      </c>
      <c r="K120" s="1">
        <f>ROUND(I120*J120,2)</f>
        <v/>
      </c>
      <c r="L120" s="1" t="inlineStr">
        <is>
          <t>Columbus staging</t>
        </is>
      </c>
      <c r="M120" s="1" t="inlineStr">
        <is>
          <t>Open</t>
        </is>
      </c>
    </row>
    <row r="121">
      <c r="A121" s="1" t="inlineStr">
        <is>
          <t>PO-EWP-6319</t>
        </is>
      </c>
      <c r="B121" s="1" t="inlineStr">
        <is>
          <t>Elmsworth Publishing</t>
        </is>
      </c>
      <c r="C121" s="2" t="n">
        <v>46122</v>
      </c>
      <c r="D121" s="2" t="n">
        <v>46353</v>
      </c>
      <c r="E121" s="1" t="inlineStr">
        <is>
          <t>HR-CHG-DOCK</t>
        </is>
      </c>
      <c r="F121" s="1" t="inlineStr">
        <is>
          <t>Opportunity charging dock</t>
        </is>
      </c>
      <c r="G121" s="1" t="n">
        <v>46</v>
      </c>
      <c r="H121" s="1" t="n">
        <v>2</v>
      </c>
      <c r="I121" s="1">
        <f>G121-H121</f>
        <v/>
      </c>
      <c r="J121" s="1" t="n">
        <v>10030</v>
      </c>
      <c r="K121" s="1">
        <f>ROUND(I121*J121,2)</f>
        <v/>
      </c>
      <c r="L121" s="1" t="inlineStr">
        <is>
          <t>Reno assembly</t>
        </is>
      </c>
      <c r="M121" s="1" t="inlineStr">
        <is>
          <t>Open</t>
        </is>
      </c>
    </row>
    <row r="122">
      <c r="A122" s="1" t="inlineStr">
        <is>
          <t>PO-LKA-8575</t>
        </is>
      </c>
      <c r="B122" s="1" t="inlineStr">
        <is>
          <t>Larkspur Apparel</t>
        </is>
      </c>
      <c r="C122" s="2" t="n">
        <v>46171</v>
      </c>
      <c r="D122" s="2" t="n">
        <v>46423</v>
      </c>
      <c r="E122" s="1" t="inlineStr">
        <is>
          <t>HR-AMR-450</t>
        </is>
      </c>
      <c r="F122" s="1" t="inlineStr">
        <is>
          <t>Autonomous mobile robot, 450 kg payload</t>
        </is>
      </c>
      <c r="G122" s="1" t="n">
        <v>43</v>
      </c>
      <c r="H122" s="1" t="n">
        <v>16</v>
      </c>
      <c r="I122" s="1">
        <f>G122-H122</f>
        <v/>
      </c>
      <c r="J122" s="1" t="n">
        <v>62928</v>
      </c>
      <c r="K122" s="1">
        <f>ROUND(I122*J122,2)</f>
        <v/>
      </c>
      <c r="L122" s="1" t="inlineStr">
        <is>
          <t>Contract manufacturer</t>
        </is>
      </c>
      <c r="M122" s="1" t="inlineStr">
        <is>
          <t>Awaiting customer date</t>
        </is>
      </c>
    </row>
    <row r="123">
      <c r="A123" s="1" t="inlineStr">
        <is>
          <t>PO-UVP-2570</t>
        </is>
      </c>
      <c r="B123" s="1" t="inlineStr">
        <is>
          <t>Union Vale Pharma</t>
        </is>
      </c>
      <c r="C123" s="2" t="n">
        <v>45924</v>
      </c>
      <c r="D123" s="2" t="n">
        <v>46359</v>
      </c>
      <c r="E123" s="1" t="inlineStr">
        <is>
          <t>HR-FLEET-CORE</t>
        </is>
      </c>
      <c r="F123" s="1" t="inlineStr">
        <is>
          <t>Fleet orchestration platform, annual site licence</t>
        </is>
      </c>
      <c r="G123" s="1" t="n">
        <v>59</v>
      </c>
      <c r="H123" s="1" t="n">
        <v>26</v>
      </c>
      <c r="I123" s="1">
        <f>G123-H123</f>
        <v/>
      </c>
      <c r="J123" s="1" t="n">
        <v>80640</v>
      </c>
      <c r="K123" s="1">
        <f>ROUND(I123*J123,2)</f>
        <v/>
      </c>
      <c r="L123" s="1" t="inlineStr">
        <is>
          <t>Reno assembly</t>
        </is>
      </c>
      <c r="M123" s="1" t="inlineStr">
        <is>
          <t>Awaiting customer date</t>
        </is>
      </c>
    </row>
    <row r="124">
      <c r="A124" s="1" t="inlineStr">
        <is>
          <t>PO-WCD-2698</t>
        </is>
      </c>
      <c r="B124" s="1" t="inlineStr">
        <is>
          <t>Westlake Chemical Depot</t>
        </is>
      </c>
      <c r="C124" s="2" t="n">
        <v>46059</v>
      </c>
      <c r="D124" s="2" t="n">
        <v>46423</v>
      </c>
      <c r="E124" s="1" t="inlineStr">
        <is>
          <t>HR-FLEET-CORE</t>
        </is>
      </c>
      <c r="F124" s="1" t="inlineStr">
        <is>
          <t>Fleet orchestration platform, annual site licence</t>
        </is>
      </c>
      <c r="G124" s="1" t="n">
        <v>51</v>
      </c>
      <c r="H124" s="1" t="n">
        <v>51</v>
      </c>
      <c r="I124" s="1">
        <f>G124-H124</f>
        <v/>
      </c>
      <c r="J124" s="1" t="n">
        <v>79680</v>
      </c>
      <c r="K124" s="1">
        <f>ROUND(I124*J124,2)</f>
        <v/>
      </c>
      <c r="L124" s="1" t="inlineStr">
        <is>
          <t>Reno assembly</t>
        </is>
      </c>
      <c r="M124" s="1" t="inlineStr">
        <is>
          <t>Open</t>
        </is>
      </c>
    </row>
    <row r="125">
      <c r="A125" s="1" t="inlineStr">
        <is>
          <t>PO-CMS-5613</t>
        </is>
      </c>
      <c r="B125" s="1" t="inlineStr">
        <is>
          <t>Calder Marine Supply</t>
        </is>
      </c>
      <c r="C125" s="2" t="n">
        <v>46094</v>
      </c>
      <c r="D125" s="2" t="n">
        <v>46400</v>
      </c>
      <c r="E125" s="1" t="inlineStr">
        <is>
          <t>HR-SAFE-SCAN</t>
        </is>
      </c>
      <c r="F125" s="1" t="inlineStr">
        <is>
          <t>Safety scanner retrofit kit</t>
        </is>
      </c>
      <c r="G125" s="1" t="n">
        <v>7</v>
      </c>
      <c r="H125" s="1" t="n">
        <v>0</v>
      </c>
      <c r="I125" s="1">
        <f>G125-H125</f>
        <v/>
      </c>
      <c r="J125" s="1" t="n">
        <v>6235</v>
      </c>
      <c r="K125" s="1">
        <f>ROUND(I125*J125,2)</f>
        <v/>
      </c>
      <c r="L125" s="1" t="inlineStr">
        <is>
          <t>Contract manufacturer</t>
        </is>
      </c>
      <c r="M125" s="1" t="inlineStr">
        <is>
          <t>Partially shipped</t>
        </is>
      </c>
    </row>
    <row r="126">
      <c r="A126" s="1" t="inlineStr">
        <is>
          <t>PO-MDY-2024</t>
        </is>
      </c>
      <c r="B126" s="1" t="inlineStr">
        <is>
          <t>Meridian Dynamics</t>
        </is>
      </c>
      <c r="C126" s="2" t="n">
        <v>46189</v>
      </c>
      <c r="D126" s="2" t="n">
        <v>46176</v>
      </c>
      <c r="E126" s="1" t="inlineStr">
        <is>
          <t>HR-SUP-PREM</t>
        </is>
      </c>
      <c r="F126" s="1" t="inlineStr">
        <is>
          <t>Premium support and spares pool</t>
        </is>
      </c>
      <c r="G126" s="1" t="n">
        <v>37</v>
      </c>
      <c r="H126" s="1" t="n">
        <v>4</v>
      </c>
      <c r="I126" s="1">
        <f>G126-H126</f>
        <v/>
      </c>
      <c r="J126" s="1" t="n">
        <v>44694</v>
      </c>
      <c r="K126" s="1">
        <f>ROUND(I126*J126,2)</f>
        <v/>
      </c>
      <c r="L126" s="1" t="inlineStr">
        <is>
          <t>Contract manufacturer</t>
        </is>
      </c>
      <c r="M126" s="1" t="inlineStr">
        <is>
          <t>Closed</t>
        </is>
      </c>
    </row>
    <row r="127">
      <c r="A127" s="1" t="inlineStr">
        <is>
          <t>PO-UVP-4208</t>
        </is>
      </c>
      <c r="B127" s="1" t="inlineStr">
        <is>
          <t>Union Vale Pharma</t>
        </is>
      </c>
      <c r="C127" s="2" t="n">
        <v>46140</v>
      </c>
      <c r="D127" s="2" t="n">
        <v>46342</v>
      </c>
      <c r="E127" s="1" t="inlineStr">
        <is>
          <t>HR-SAFE-SCAN</t>
        </is>
      </c>
      <c r="F127" s="1" t="inlineStr">
        <is>
          <t>Safety scanner retrofit kit</t>
        </is>
      </c>
      <c r="G127" s="1" t="n">
        <v>59</v>
      </c>
      <c r="H127" s="1" t="n">
        <v>5</v>
      </c>
      <c r="I127" s="1">
        <f>G127-H127</f>
        <v/>
      </c>
      <c r="J127" s="1" t="n">
        <v>6017.5</v>
      </c>
      <c r="K127" s="1">
        <f>ROUND(I127*J127,2)</f>
        <v/>
      </c>
      <c r="L127" s="1" t="inlineStr">
        <is>
          <t>Reno assembly</t>
        </is>
      </c>
      <c r="M127" s="1" t="inlineStr">
        <is>
          <t>Partially shipped</t>
        </is>
      </c>
    </row>
    <row r="128">
      <c r="A128" s="1" t="inlineStr">
        <is>
          <t>PO-GPD-9479</t>
        </is>
      </c>
      <c r="B128" s="1" t="inlineStr">
        <is>
          <t>Granite Peak Distribution</t>
        </is>
      </c>
      <c r="C128" s="2" t="n">
        <v>45901</v>
      </c>
      <c r="D128" s="2" t="n">
        <v>46192</v>
      </c>
      <c r="E128" s="1" t="inlineStr">
        <is>
          <t>HR-AMR-450</t>
        </is>
      </c>
      <c r="F128" s="1" t="inlineStr">
        <is>
          <t>Autonomous mobile robot, 450 kg payload</t>
        </is>
      </c>
      <c r="G128" s="1" t="n">
        <v>4</v>
      </c>
      <c r="H128" s="1" t="n">
        <v>4</v>
      </c>
      <c r="I128" s="1">
        <f>G128-H128</f>
        <v/>
      </c>
      <c r="J128" s="1" t="n">
        <v>58824</v>
      </c>
      <c r="K128" s="1">
        <f>ROUND(I128*J128,2)</f>
        <v/>
      </c>
      <c r="L128" s="1" t="inlineStr">
        <is>
          <t>Contract manufacturer</t>
        </is>
      </c>
      <c r="M128" s="1" t="inlineStr">
        <is>
          <t>Open</t>
        </is>
      </c>
    </row>
    <row r="129">
      <c r="A129" s="1" t="inlineStr">
        <is>
          <t>PO-DBI-7357</t>
        </is>
      </c>
      <c r="B129" s="1" t="inlineStr">
        <is>
          <t>Dunbar Industrial</t>
        </is>
      </c>
      <c r="C129" s="2" t="n">
        <v>45989</v>
      </c>
      <c r="D129" s="2" t="n">
        <v>46321</v>
      </c>
      <c r="E129" s="1" t="inlineStr">
        <is>
          <t>HR-TRAIN-OPS</t>
        </is>
      </c>
      <c r="F129" s="1" t="inlineStr">
        <is>
          <t>Operator training programme</t>
        </is>
      </c>
      <c r="G129" s="1" t="n">
        <v>3</v>
      </c>
      <c r="H129" s="1" t="n">
        <v>3</v>
      </c>
      <c r="I129" s="1">
        <f>G129-H129</f>
        <v/>
      </c>
      <c r="J129" s="1" t="n">
        <v>3822</v>
      </c>
      <c r="K129" s="1">
        <f>ROUND(I129*J129,2)</f>
        <v/>
      </c>
      <c r="L129" s="1" t="inlineStr">
        <is>
          <t>Reno assembly</t>
        </is>
      </c>
      <c r="M129" s="1" t="inlineStr">
        <is>
          <t>Open</t>
        </is>
      </c>
    </row>
    <row r="130">
      <c r="A130" s="1" t="inlineStr">
        <is>
          <t>PO-QBM-8219</t>
        </is>
      </c>
      <c r="B130" s="1" t="inlineStr">
        <is>
          <t>Quarrybridge Materials</t>
        </is>
      </c>
      <c r="C130" s="2" t="n">
        <v>46111</v>
      </c>
      <c r="D130" s="2" t="n">
        <v>46359</v>
      </c>
      <c r="E130" s="1" t="inlineStr">
        <is>
          <t>HR-TRAIN-OPS</t>
        </is>
      </c>
      <c r="F130" s="1" t="inlineStr">
        <is>
          <t>Operator training programme</t>
        </is>
      </c>
      <c r="G130" s="1" t="n">
        <v>56</v>
      </c>
      <c r="H130" s="1" t="n">
        <v>10</v>
      </c>
      <c r="I130" s="1">
        <f>G130-H130</f>
        <v/>
      </c>
      <c r="J130" s="1" t="n">
        <v>3990</v>
      </c>
      <c r="K130" s="1">
        <f>ROUND(I130*J130,2)</f>
        <v/>
      </c>
      <c r="L130" s="1" t="inlineStr">
        <is>
          <t>Contract manufacturer</t>
        </is>
      </c>
      <c r="M130" s="1" t="inlineStr">
        <is>
          <t>Partially shipped</t>
        </is>
      </c>
    </row>
    <row r="131">
      <c r="A131" s="1" t="inlineStr">
        <is>
          <t>PO-BMC-3652</t>
        </is>
      </c>
      <c r="B131" s="1" t="inlineStr">
        <is>
          <t>Blue Mesa Components</t>
        </is>
      </c>
      <c r="C131" s="2" t="n">
        <v>45985</v>
      </c>
      <c r="D131" s="2" t="n">
        <v>46316</v>
      </c>
      <c r="E131" s="1" t="inlineStr">
        <is>
          <t>HR-FLEET-CORE</t>
        </is>
      </c>
      <c r="F131" s="1" t="inlineStr">
        <is>
          <t>Fleet orchestration platform, annual site licence</t>
        </is>
      </c>
      <c r="G131" s="1" t="n">
        <v>24</v>
      </c>
      <c r="H131" s="1" t="n">
        <v>10</v>
      </c>
      <c r="I131" s="1">
        <f>G131-H131</f>
        <v/>
      </c>
      <c r="J131" s="1" t="n">
        <v>78720</v>
      </c>
      <c r="K131" s="1">
        <f>ROUND(I131*J131,2)</f>
        <v/>
      </c>
      <c r="L131" s="1" t="inlineStr">
        <is>
          <t>Reno assembly</t>
        </is>
      </c>
      <c r="M131" s="1" t="inlineStr">
        <is>
          <t>Partially shipped</t>
        </is>
      </c>
    </row>
    <row r="132">
      <c r="A132" s="1" t="inlineStr">
        <is>
          <t>PO-KPP-4031</t>
        </is>
      </c>
      <c r="B132" s="1" t="inlineStr">
        <is>
          <t>Keystone Paper &amp; Pack</t>
        </is>
      </c>
      <c r="C132" s="2" t="n">
        <v>46090</v>
      </c>
      <c r="D132" s="2" t="n">
        <v>46398</v>
      </c>
      <c r="E132" s="1" t="inlineStr">
        <is>
          <t>HR-SUP-PREM</t>
        </is>
      </c>
      <c r="F132" s="1" t="inlineStr">
        <is>
          <t>Premium support and spares pool</t>
        </is>
      </c>
      <c r="G132" s="1" t="n">
        <v>5</v>
      </c>
      <c r="H132" s="1" t="n">
        <v>1</v>
      </c>
      <c r="I132" s="1">
        <f>G132-H132</f>
        <v/>
      </c>
      <c r="J132" s="1" t="n">
        <v>44694</v>
      </c>
      <c r="K132" s="1">
        <f>ROUND(I132*J132,2)</f>
        <v/>
      </c>
      <c r="L132" s="1" t="inlineStr">
        <is>
          <t>Reno assembly</t>
        </is>
      </c>
      <c r="M132" s="1" t="inlineStr">
        <is>
          <t>Open</t>
        </is>
      </c>
    </row>
    <row r="133">
      <c r="A133" s="1" t="inlineStr">
        <is>
          <t>PO-RWO-7535</t>
        </is>
      </c>
      <c r="B133" s="1" t="inlineStr">
        <is>
          <t>Redwood Optics</t>
        </is>
      </c>
      <c r="C133" s="2" t="n">
        <v>46199</v>
      </c>
      <c r="D133" s="2" t="n">
        <v>46408</v>
      </c>
      <c r="E133" s="1" t="inlineStr">
        <is>
          <t>HR-FLEET-EXP</t>
        </is>
      </c>
      <c r="F133" s="1" t="inlineStr">
        <is>
          <t>Fleet orchestration expansion pack, per robot</t>
        </is>
      </c>
      <c r="G133" s="1" t="n">
        <v>21</v>
      </c>
      <c r="H133" s="1" t="n">
        <v>19</v>
      </c>
      <c r="I133" s="1">
        <f>G133-H133</f>
        <v/>
      </c>
      <c r="J133" s="1" t="n">
        <v>2457</v>
      </c>
      <c r="K133" s="1">
        <f>ROUND(I133*J133,2)</f>
        <v/>
      </c>
      <c r="L133" s="1" t="inlineStr">
        <is>
          <t>Reno assembly</t>
        </is>
      </c>
      <c r="M133" s="1" t="inlineStr">
        <is>
          <t>Open</t>
        </is>
      </c>
    </row>
    <row r="134">
      <c r="A134" s="1" t="inlineStr">
        <is>
          <t>PO-OGF-1303</t>
        </is>
      </c>
      <c r="B134" s="1" t="inlineStr">
        <is>
          <t>Orchard Grove Foods</t>
        </is>
      </c>
      <c r="C134" s="2" t="n">
        <v>46140</v>
      </c>
      <c r="D134" s="2" t="n">
        <v>46433</v>
      </c>
      <c r="E134" s="1" t="inlineStr">
        <is>
          <t>HR-INT-WMS</t>
        </is>
      </c>
      <c r="F134" s="1" t="inlineStr">
        <is>
          <t>Warehouse management system connector</t>
        </is>
      </c>
      <c r="G134" s="1" t="n">
        <v>3</v>
      </c>
      <c r="H134" s="1" t="n">
        <v>1</v>
      </c>
      <c r="I134" s="1">
        <f>G134-H134</f>
        <v/>
      </c>
      <c r="J134" s="1" t="n">
        <v>36177</v>
      </c>
      <c r="K134" s="1">
        <f>ROUND(I134*J134,2)</f>
        <v/>
      </c>
      <c r="L134" s="1" t="inlineStr">
        <is>
          <t>Columbus staging</t>
        </is>
      </c>
      <c r="M134" s="1" t="inlineStr">
        <is>
          <t>On credit hold</t>
        </is>
      </c>
    </row>
    <row r="135">
      <c r="A135" s="1" t="inlineStr">
        <is>
          <t>PO-BWA-4907</t>
        </is>
      </c>
      <c r="B135" s="1" t="inlineStr">
        <is>
          <t>Bellweather Auto Group</t>
        </is>
      </c>
      <c r="C135" s="2" t="n">
        <v>46177</v>
      </c>
      <c r="D135" s="2" t="n">
        <v>46303</v>
      </c>
      <c r="E135" s="1" t="inlineStr">
        <is>
          <t>HR-AMR-450</t>
        </is>
      </c>
      <c r="F135" s="1" t="inlineStr">
        <is>
          <t>Autonomous mobile robot, 450 kg payload</t>
        </is>
      </c>
      <c r="G135" s="1" t="n">
        <v>8</v>
      </c>
      <c r="H135" s="1" t="n">
        <v>5</v>
      </c>
      <c r="I135" s="1">
        <f>G135-H135</f>
        <v/>
      </c>
      <c r="J135" s="1" t="n">
        <v>61560</v>
      </c>
      <c r="K135" s="1">
        <f>ROUND(I135*J135,2)</f>
        <v/>
      </c>
      <c r="L135" s="1" t="inlineStr">
        <is>
          <t>Reno assembly</t>
        </is>
      </c>
      <c r="M135" s="1" t="inlineStr">
        <is>
          <t>Partially shipped</t>
        </is>
      </c>
    </row>
    <row r="136">
      <c r="A136" s="1" t="inlineStr">
        <is>
          <t>PO-EVW-2027</t>
        </is>
      </c>
      <c r="B136" s="1" t="inlineStr">
        <is>
          <t>Evergreen Warehousing</t>
        </is>
      </c>
      <c r="C136" s="2" t="n">
        <v>46122</v>
      </c>
      <c r="D136" s="2" t="n">
        <v>46388</v>
      </c>
      <c r="E136" s="1" t="inlineStr">
        <is>
          <t>HR-FLEET-CORE</t>
        </is>
      </c>
      <c r="F136" s="1" t="inlineStr">
        <is>
          <t>Fleet orchestration platform, annual site licence</t>
        </is>
      </c>
      <c r="G136" s="1" t="n">
        <v>54</v>
      </c>
      <c r="H136" s="1" t="n">
        <v>32</v>
      </c>
      <c r="I136" s="1">
        <f>G136-H136</f>
        <v/>
      </c>
      <c r="J136" s="1" t="n">
        <v>91200</v>
      </c>
      <c r="K136" s="1">
        <f>ROUND(I136*J136,2)</f>
        <v/>
      </c>
      <c r="L136" s="1" t="inlineStr">
        <is>
          <t>Reno assembly</t>
        </is>
      </c>
      <c r="M136" s="1" t="inlineStr">
        <is>
          <t>Awaiting customer date</t>
        </is>
      </c>
    </row>
    <row r="137">
      <c r="A137" s="1" t="inlineStr">
        <is>
          <t>PO-AST-7726</t>
        </is>
      </c>
      <c r="B137" s="1" t="inlineStr">
        <is>
          <t>Asterion Logistics</t>
        </is>
      </c>
      <c r="C137" s="2" t="n">
        <v>45982</v>
      </c>
      <c r="D137" s="2" t="n">
        <v>46350</v>
      </c>
      <c r="E137" s="1" t="inlineStr">
        <is>
          <t>HR-FLEET-CORE</t>
        </is>
      </c>
      <c r="F137" s="1" t="inlineStr">
        <is>
          <t>Fleet orchestration platform, annual site licence</t>
        </is>
      </c>
      <c r="G137" s="1" t="n">
        <v>32</v>
      </c>
      <c r="H137" s="1" t="n">
        <v>20</v>
      </c>
      <c r="I137" s="1">
        <f>G137-H137</f>
        <v/>
      </c>
      <c r="J137" s="1" t="n">
        <v>79680</v>
      </c>
      <c r="K137" s="1">
        <f>ROUND(I137*J137,2)</f>
        <v/>
      </c>
      <c r="L137" s="1" t="inlineStr">
        <is>
          <t>Reno assembly</t>
        </is>
      </c>
      <c r="M137" s="1" t="inlineStr">
        <is>
          <t>Partially shipped</t>
        </is>
      </c>
    </row>
    <row r="138">
      <c r="A138" s="1" t="inlineStr">
        <is>
          <t>PO-LKA-8223</t>
        </is>
      </c>
      <c r="B138" s="1" t="inlineStr">
        <is>
          <t>Larkspur Apparel</t>
        </is>
      </c>
      <c r="C138" s="2" t="n">
        <v>45952</v>
      </c>
      <c r="D138" s="2" t="n">
        <v>46345</v>
      </c>
      <c r="E138" s="1" t="inlineStr">
        <is>
          <t>HR-AMR-220</t>
        </is>
      </c>
      <c r="F138" s="1" t="inlineStr">
        <is>
          <t>Autonomous mobile robot, 220 kg payload</t>
        </is>
      </c>
      <c r="G138" s="1" t="n">
        <v>45</v>
      </c>
      <c r="H138" s="1" t="n">
        <v>18</v>
      </c>
      <c r="I138" s="1">
        <f>G138-H138</f>
        <v/>
      </c>
      <c r="J138" s="1" t="n">
        <v>33615</v>
      </c>
      <c r="K138" s="1">
        <f>ROUND(I138*J138,2)</f>
        <v/>
      </c>
      <c r="L138" s="1" t="inlineStr">
        <is>
          <t>Reno assembly</t>
        </is>
      </c>
      <c r="M138" s="1" t="inlineStr">
        <is>
          <t>On credit hold</t>
        </is>
      </c>
    </row>
    <row r="139">
      <c r="A139" s="1" t="inlineStr">
        <is>
          <t>PO-AST-9602</t>
        </is>
      </c>
      <c r="B139" s="1" t="inlineStr">
        <is>
          <t>Asterion Logistics</t>
        </is>
      </c>
      <c r="C139" s="2" t="n">
        <v>45947</v>
      </c>
      <c r="D139" s="2" t="n">
        <v>46367</v>
      </c>
      <c r="E139" s="1" t="inlineStr">
        <is>
          <t>HR-FLEET-EXP</t>
        </is>
      </c>
      <c r="F139" s="1" t="inlineStr">
        <is>
          <t>Fleet orchestration expansion pack, per robot</t>
        </is>
      </c>
      <c r="G139" s="1" t="n">
        <v>58</v>
      </c>
      <c r="H139" s="1" t="n">
        <v>10</v>
      </c>
      <c r="I139" s="1">
        <f>G139-H139</f>
        <v/>
      </c>
      <c r="J139" s="1" t="n">
        <v>2583</v>
      </c>
      <c r="K139" s="1">
        <f>ROUND(I139*J139,2)</f>
        <v/>
      </c>
      <c r="L139" s="1" t="inlineStr">
        <is>
          <t>Columbus staging</t>
        </is>
      </c>
      <c r="M139" s="1" t="inlineStr">
        <is>
          <t>Open</t>
        </is>
      </c>
    </row>
    <row r="140">
      <c r="A140" s="1" t="inlineStr">
        <is>
          <t>PO-GPD-3766</t>
        </is>
      </c>
      <c r="B140" s="1" t="inlineStr">
        <is>
          <t>Granite Peak Distribution</t>
        </is>
      </c>
      <c r="C140" s="2" t="n">
        <v>46036</v>
      </c>
      <c r="D140" s="2" t="n">
        <v>46367</v>
      </c>
      <c r="E140" s="1" t="inlineStr">
        <is>
          <t>HR-SAFE-SCAN</t>
        </is>
      </c>
      <c r="F140" s="1" t="inlineStr">
        <is>
          <t>Safety scanner retrofit kit</t>
        </is>
      </c>
      <c r="G140" s="1" t="n">
        <v>18</v>
      </c>
      <c r="H140" s="1" t="n">
        <v>15</v>
      </c>
      <c r="I140" s="1">
        <f>G140-H140</f>
        <v/>
      </c>
      <c r="J140" s="1" t="n">
        <v>6742.5</v>
      </c>
      <c r="K140" s="1">
        <f>ROUND(I140*J140,2)</f>
        <v/>
      </c>
      <c r="L140" s="1" t="inlineStr">
        <is>
          <t>Reno assembly</t>
        </is>
      </c>
      <c r="M140" s="1" t="inlineStr">
        <is>
          <t>Partially shipped</t>
        </is>
      </c>
    </row>
    <row r="141">
      <c r="A141" s="1" t="inlineStr">
        <is>
          <t>PO-CFF-7477</t>
        </is>
      </c>
      <c r="B141" s="1" t="inlineStr">
        <is>
          <t>Crestline Fulfillment</t>
        </is>
      </c>
      <c r="C141" s="2" t="n">
        <v>46073</v>
      </c>
      <c r="D141" s="2" t="n">
        <v>46241</v>
      </c>
      <c r="E141" s="1" t="inlineStr">
        <is>
          <t>HR-TELE-RET</t>
        </is>
      </c>
      <c r="F141" s="1" t="inlineStr">
        <is>
          <t>Telemetry retention tier, extended</t>
        </is>
      </c>
      <c r="G141" s="1" t="n">
        <v>18</v>
      </c>
      <c r="H141" s="1" t="n">
        <v>4</v>
      </c>
      <c r="I141" s="1">
        <f>G141-H141</f>
        <v/>
      </c>
      <c r="J141" s="1" t="n">
        <v>21070</v>
      </c>
      <c r="K141" s="1">
        <f>ROUND(I141*J141,2)</f>
        <v/>
      </c>
      <c r="L141" s="1" t="inlineStr">
        <is>
          <t>Reno assembly</t>
        </is>
      </c>
      <c r="M141" s="1" t="inlineStr">
        <is>
          <t>Awaiting customer date</t>
        </is>
      </c>
    </row>
    <row r="142">
      <c r="A142" s="1" t="inlineStr">
        <is>
          <t>PO-ABT-2477</t>
        </is>
      </c>
      <c r="B142" s="1" t="inlineStr">
        <is>
          <t>Alderbrook Textiles</t>
        </is>
      </c>
      <c r="C142" s="2" t="n">
        <v>46007</v>
      </c>
      <c r="D142" s="2" t="n">
        <v>46184</v>
      </c>
      <c r="E142" s="1" t="inlineStr">
        <is>
          <t>HR-SUP-PREM</t>
        </is>
      </c>
      <c r="F142" s="1" t="inlineStr">
        <is>
          <t>Premium support and spares pool</t>
        </is>
      </c>
      <c r="G142" s="1" t="n">
        <v>56</v>
      </c>
      <c r="H142" s="1" t="n">
        <v>40</v>
      </c>
      <c r="I142" s="1">
        <f>G142-H142</f>
        <v/>
      </c>
      <c r="J142" s="1" t="n">
        <v>47559</v>
      </c>
      <c r="K142" s="1">
        <f>ROUND(I142*J142,2)</f>
        <v/>
      </c>
      <c r="L142" s="1" t="inlineStr">
        <is>
          <t>Contract manufacturer</t>
        </is>
      </c>
      <c r="M142" s="1" t="inlineStr">
        <is>
          <t>Awaiting customer date</t>
        </is>
      </c>
    </row>
    <row r="143">
      <c r="A143" s="1" t="inlineStr">
        <is>
          <t>PO-KPP-5097</t>
        </is>
      </c>
      <c r="B143" s="1" t="inlineStr">
        <is>
          <t>Keystone Paper &amp; Pack</t>
        </is>
      </c>
      <c r="C143" s="2" t="n">
        <v>45979</v>
      </c>
      <c r="D143" s="2" t="n">
        <v>46435</v>
      </c>
      <c r="E143" s="1" t="inlineStr">
        <is>
          <t>HR-TRAIN-OPS</t>
        </is>
      </c>
      <c r="F143" s="1" t="inlineStr">
        <is>
          <t>Operator training programme</t>
        </is>
      </c>
      <c r="G143" s="1" t="n">
        <v>22</v>
      </c>
      <c r="H143" s="1" t="n">
        <v>13</v>
      </c>
      <c r="I143" s="1">
        <f>G143-H143</f>
        <v/>
      </c>
      <c r="J143" s="1" t="n">
        <v>3780</v>
      </c>
      <c r="K143" s="1">
        <f>ROUND(I143*J143,2)</f>
        <v/>
      </c>
      <c r="L143" s="1" t="inlineStr">
        <is>
          <t>Reno assembly</t>
        </is>
      </c>
      <c r="M143" s="1" t="inlineStr">
        <is>
          <t>Closed</t>
        </is>
      </c>
    </row>
    <row r="144">
      <c r="A144" s="1" t="inlineStr">
        <is>
          <t>PO-CFF-1695</t>
        </is>
      </c>
      <c r="B144" s="1" t="inlineStr">
        <is>
          <t>Crestline Fulfillment</t>
        </is>
      </c>
      <c r="C144" s="2" t="n">
        <v>46013</v>
      </c>
      <c r="D144" s="2" t="n">
        <v>46339</v>
      </c>
      <c r="E144" s="1" t="inlineStr">
        <is>
          <t>HR-FLEET-EXP</t>
        </is>
      </c>
      <c r="F144" s="1" t="inlineStr">
        <is>
          <t>Fleet orchestration expansion pack, per robot</t>
        </is>
      </c>
      <c r="G144" s="1" t="n">
        <v>4</v>
      </c>
      <c r="H144" s="1" t="n">
        <v>4</v>
      </c>
      <c r="I144" s="1">
        <f>G144-H144</f>
        <v/>
      </c>
      <c r="J144" s="1" t="n">
        <v>2583</v>
      </c>
      <c r="K144" s="1">
        <f>ROUND(I144*J144,2)</f>
        <v/>
      </c>
      <c r="L144" s="1" t="inlineStr">
        <is>
          <t>Reno assembly</t>
        </is>
      </c>
      <c r="M144" s="1" t="inlineStr">
        <is>
          <t>Open</t>
        </is>
      </c>
    </row>
    <row r="145">
      <c r="A145" s="1" t="inlineStr">
        <is>
          <t>PO-IVG-5451</t>
        </is>
      </c>
      <c r="B145" s="1" t="inlineStr">
        <is>
          <t>Ironvale Grocery Group</t>
        </is>
      </c>
      <c r="C145" s="2" t="n">
        <v>46079</v>
      </c>
      <c r="D145" s="2" t="n">
        <v>46219</v>
      </c>
      <c r="E145" s="1" t="inlineStr">
        <is>
          <t>HR-TRAIN-OPS</t>
        </is>
      </c>
      <c r="F145" s="1" t="inlineStr">
        <is>
          <t>Operator training programme</t>
        </is>
      </c>
      <c r="G145" s="1" t="n">
        <v>3</v>
      </c>
      <c r="H145" s="1" t="n">
        <v>2</v>
      </c>
      <c r="I145" s="1">
        <f>G145-H145</f>
        <v/>
      </c>
      <c r="J145" s="1" t="n">
        <v>3318</v>
      </c>
      <c r="K145" s="1">
        <f>ROUND(I145*J145,2)</f>
        <v/>
      </c>
      <c r="L145" s="1" t="inlineStr">
        <is>
          <t>Reno assembly</t>
        </is>
      </c>
      <c r="M145" s="1" t="inlineStr">
        <is>
          <t>Partially shipped</t>
        </is>
      </c>
    </row>
    <row r="146">
      <c r="A146" s="1" t="inlineStr">
        <is>
          <t>PO-CMS-2486</t>
        </is>
      </c>
      <c r="B146" s="1" t="inlineStr">
        <is>
          <t>Calder Marine Supply</t>
        </is>
      </c>
      <c r="C146" s="2" t="n">
        <v>46001</v>
      </c>
      <c r="D146" s="2" t="n">
        <v>46456</v>
      </c>
      <c r="E146" s="1" t="inlineStr">
        <is>
          <t>HR-SAFE-SCAN</t>
        </is>
      </c>
      <c r="F146" s="1" t="inlineStr">
        <is>
          <t>Safety scanner retrofit kit</t>
        </is>
      </c>
      <c r="G146" s="1" t="n">
        <v>27</v>
      </c>
      <c r="H146" s="1" t="n">
        <v>22</v>
      </c>
      <c r="I146" s="1">
        <f>G146-H146</f>
        <v/>
      </c>
      <c r="J146" s="1" t="n">
        <v>6162.5</v>
      </c>
      <c r="K146" s="1">
        <f>ROUND(I146*J146,2)</f>
        <v/>
      </c>
      <c r="L146" s="1" t="inlineStr">
        <is>
          <t>Columbus staging</t>
        </is>
      </c>
      <c r="M146" s="1" t="inlineStr">
        <is>
          <t>Open</t>
        </is>
      </c>
    </row>
    <row r="147">
      <c r="A147" s="1" t="inlineStr">
        <is>
          <t>PO-RWO-5675</t>
        </is>
      </c>
      <c r="B147" s="1" t="inlineStr">
        <is>
          <t>Redwood Optics</t>
        </is>
      </c>
      <c r="C147" s="2" t="n">
        <v>46146</v>
      </c>
      <c r="D147" s="2" t="n">
        <v>46447</v>
      </c>
      <c r="E147" s="1" t="inlineStr">
        <is>
          <t>HR-FLEET-EXP</t>
        </is>
      </c>
      <c r="F147" s="1" t="inlineStr">
        <is>
          <t>Fleet orchestration expansion pack, per robot</t>
        </is>
      </c>
      <c r="G147" s="1" t="n">
        <v>25</v>
      </c>
      <c r="H147" s="1" t="n">
        <v>9</v>
      </c>
      <c r="I147" s="1">
        <f>G147-H147</f>
        <v/>
      </c>
      <c r="J147" s="1" t="n">
        <v>2866.5</v>
      </c>
      <c r="K147" s="1">
        <f>ROUND(I147*J147,2)</f>
        <v/>
      </c>
      <c r="L147" s="1" t="inlineStr">
        <is>
          <t>Columbus staging</t>
        </is>
      </c>
      <c r="M147" s="1" t="inlineStr">
        <is>
          <t>Open</t>
        </is>
      </c>
    </row>
    <row r="148">
      <c r="A148" s="1" t="inlineStr">
        <is>
          <t>PO-CFF-6449</t>
        </is>
      </c>
      <c r="B148" s="1" t="inlineStr">
        <is>
          <t>Crestline Fulfillment</t>
        </is>
      </c>
      <c r="C148" s="2" t="n">
        <v>46154</v>
      </c>
      <c r="D148" s="2" t="n">
        <v>46416</v>
      </c>
      <c r="E148" s="1" t="inlineStr">
        <is>
          <t>HR-TELE-RET</t>
        </is>
      </c>
      <c r="F148" s="1" t="inlineStr">
        <is>
          <t>Telemetry retention tier, extended</t>
        </is>
      </c>
      <c r="G148" s="1" t="n">
        <v>31</v>
      </c>
      <c r="H148" s="1" t="n">
        <v>21</v>
      </c>
      <c r="I148" s="1">
        <f>G148-H148</f>
        <v/>
      </c>
      <c r="J148" s="1" t="n">
        <v>20580</v>
      </c>
      <c r="K148" s="1">
        <f>ROUND(I148*J148,2)</f>
        <v/>
      </c>
      <c r="L148" s="1" t="inlineStr">
        <is>
          <t>Contract manufacturer</t>
        </is>
      </c>
      <c r="M148" s="1" t="inlineStr">
        <is>
          <t>Closed</t>
        </is>
      </c>
    </row>
    <row r="149">
      <c r="A149" s="1" t="inlineStr">
        <is>
          <t>PO-DGC-9413</t>
        </is>
      </c>
      <c r="B149" s="1" t="inlineStr">
        <is>
          <t>Dorsey Grain Cooperative</t>
        </is>
      </c>
      <c r="C149" s="2" t="n">
        <v>45905</v>
      </c>
      <c r="D149" s="2" t="n">
        <v>46283</v>
      </c>
      <c r="E149" s="1" t="inlineStr">
        <is>
          <t>HR-DEPLOY-SVC</t>
        </is>
      </c>
      <c r="F149" s="1" t="inlineStr">
        <is>
          <t>Deployment and commissioning services</t>
        </is>
      </c>
      <c r="G149" s="1" t="n">
        <v>10</v>
      </c>
      <c r="H149" s="1" t="n">
        <v>8</v>
      </c>
      <c r="I149" s="1">
        <f>G149-H149</f>
        <v/>
      </c>
      <c r="J149" s="1" t="n">
        <v>1776</v>
      </c>
      <c r="K149" s="1">
        <f>ROUND(I149*J149,2)</f>
        <v/>
      </c>
      <c r="L149" s="1" t="inlineStr">
        <is>
          <t>Reno assembly</t>
        </is>
      </c>
      <c r="M149" s="1" t="inlineStr">
        <is>
          <t>Closed</t>
        </is>
      </c>
    </row>
    <row r="150">
      <c r="A150" s="1" t="inlineStr">
        <is>
          <t>PO-UVP-6953</t>
        </is>
      </c>
      <c r="B150" s="1" t="inlineStr">
        <is>
          <t>Union Vale Pharma</t>
        </is>
      </c>
      <c r="C150" s="2" t="n">
        <v>46065</v>
      </c>
      <c r="D150" s="2" t="n">
        <v>46391</v>
      </c>
      <c r="E150" s="1" t="inlineStr">
        <is>
          <t>HR-CHG-DOCK</t>
        </is>
      </c>
      <c r="F150" s="1" t="inlineStr">
        <is>
          <t>Opportunity charging dock</t>
        </is>
      </c>
      <c r="G150" s="1" t="n">
        <v>4</v>
      </c>
      <c r="H150" s="1" t="n">
        <v>4</v>
      </c>
      <c r="I150" s="1">
        <f>G150-H150</f>
        <v/>
      </c>
      <c r="J150" s="1" t="n">
        <v>9912</v>
      </c>
      <c r="K150" s="1">
        <f>ROUND(I150*J150,2)</f>
        <v/>
      </c>
      <c r="L150" s="1" t="inlineStr">
        <is>
          <t>Columbus staging</t>
        </is>
      </c>
      <c r="M150" s="1" t="inlineStr">
        <is>
          <t>Partially shipped</t>
        </is>
      </c>
    </row>
    <row r="151">
      <c r="A151" s="1" t="inlineStr">
        <is>
          <t>PO-SRR-6995</t>
        </is>
      </c>
      <c r="B151" s="1" t="inlineStr">
        <is>
          <t>Summit Ridge Retail</t>
        </is>
      </c>
      <c r="C151" s="2" t="n">
        <v>45940</v>
      </c>
      <c r="D151" s="2" t="n">
        <v>46413</v>
      </c>
      <c r="E151" s="1" t="inlineStr">
        <is>
          <t>HR-AMR-450</t>
        </is>
      </c>
      <c r="F151" s="1" t="inlineStr">
        <is>
          <t>Autonomous mobile robot, 450 kg payload</t>
        </is>
      </c>
      <c r="G151" s="1" t="n">
        <v>44</v>
      </c>
      <c r="H151" s="1" t="n">
        <v>32</v>
      </c>
      <c r="I151" s="1">
        <f>G151-H151</f>
        <v/>
      </c>
      <c r="J151" s="1" t="n">
        <v>66348</v>
      </c>
      <c r="K151" s="1">
        <f>ROUND(I151*J151,2)</f>
        <v/>
      </c>
      <c r="L151" s="1" t="inlineStr">
        <is>
          <t>Reno assembly</t>
        </is>
      </c>
      <c r="M151" s="1" t="inlineStr">
        <is>
          <t>Partially shipped</t>
        </is>
      </c>
    </row>
    <row r="152">
      <c r="A152" s="1" t="inlineStr">
        <is>
          <t>PO-BWA-7978</t>
        </is>
      </c>
      <c r="B152" s="1" t="inlineStr">
        <is>
          <t>Bellweather Auto Group</t>
        </is>
      </c>
      <c r="C152" s="2" t="n">
        <v>46163</v>
      </c>
      <c r="D152" s="2" t="n">
        <v>46366</v>
      </c>
      <c r="E152" s="1" t="inlineStr">
        <is>
          <t>HR-SAFE-SCAN</t>
        </is>
      </c>
      <c r="F152" s="1" t="inlineStr">
        <is>
          <t>Safety scanner retrofit kit</t>
        </is>
      </c>
      <c r="G152" s="1" t="n">
        <v>25</v>
      </c>
      <c r="H152" s="1" t="n">
        <v>7</v>
      </c>
      <c r="I152" s="1">
        <f>G152-H152</f>
        <v/>
      </c>
      <c r="J152" s="1" t="n">
        <v>6452.5</v>
      </c>
      <c r="K152" s="1">
        <f>ROUND(I152*J152,2)</f>
        <v/>
      </c>
      <c r="L152" s="1" t="inlineStr">
        <is>
          <t>Reno assembly</t>
        </is>
      </c>
      <c r="M152" s="1" t="inlineStr">
        <is>
          <t>Awaiting customer date</t>
        </is>
      </c>
    </row>
    <row r="153">
      <c r="A153" s="1" t="inlineStr">
        <is>
          <t>PO-DBI-3599</t>
        </is>
      </c>
      <c r="B153" s="1" t="inlineStr">
        <is>
          <t>Dunbar Industrial</t>
        </is>
      </c>
      <c r="C153" s="2" t="n">
        <v>45926</v>
      </c>
      <c r="D153" s="2" t="n">
        <v>46295</v>
      </c>
      <c r="E153" s="1" t="inlineStr">
        <is>
          <t>HR-DEPLOY-SVC</t>
        </is>
      </c>
      <c r="F153" s="1" t="inlineStr">
        <is>
          <t>Deployment and commissioning services</t>
        </is>
      </c>
      <c r="G153" s="1" t="n">
        <v>37</v>
      </c>
      <c r="H153" s="1" t="n">
        <v>35</v>
      </c>
      <c r="I153" s="1">
        <f>G153-H153</f>
        <v/>
      </c>
      <c r="J153" s="1" t="n">
        <v>1720.5</v>
      </c>
      <c r="K153" s="1">
        <f>ROUND(I153*J153,2)</f>
        <v/>
      </c>
      <c r="L153" s="1" t="inlineStr">
        <is>
          <t>Reno assembly</t>
        </is>
      </c>
      <c r="M153" s="1" t="inlineStr">
        <is>
          <t>Partially shipped</t>
        </is>
      </c>
    </row>
    <row r="154">
      <c r="A154" s="1" t="inlineStr">
        <is>
          <t>PO-HLS-2164</t>
        </is>
      </c>
      <c r="B154" s="1" t="inlineStr">
        <is>
          <t>Harborline Systems</t>
        </is>
      </c>
      <c r="C154" s="2" t="n">
        <v>45968</v>
      </c>
      <c r="D154" s="2" t="n">
        <v>46350</v>
      </c>
      <c r="E154" s="1" t="inlineStr">
        <is>
          <t>HR-REMOTE-OPS</t>
        </is>
      </c>
      <c r="F154" s="1" t="inlineStr">
        <is>
          <t>Remote operations desk coverage</t>
        </is>
      </c>
      <c r="G154" s="1" t="n">
        <v>44</v>
      </c>
      <c r="H154" s="1" t="n">
        <v>38</v>
      </c>
      <c r="I154" s="1">
        <f>G154-H154</f>
        <v/>
      </c>
      <c r="J154" s="1" t="n">
        <v>11844</v>
      </c>
      <c r="K154" s="1">
        <f>ROUND(I154*J154,2)</f>
        <v/>
      </c>
      <c r="L154" s="1" t="inlineStr">
        <is>
          <t>Reno assembly</t>
        </is>
      </c>
      <c r="M154" s="1" t="inlineStr">
        <is>
          <t>Open</t>
        </is>
      </c>
    </row>
    <row r="155">
      <c r="A155" s="1" t="inlineStr">
        <is>
          <t>PO-JHS-2598</t>
        </is>
      </c>
      <c r="B155" s="1" t="inlineStr">
        <is>
          <t>Juniper Health Supply</t>
        </is>
      </c>
      <c r="C155" s="2" t="n">
        <v>46122</v>
      </c>
      <c r="D155" s="2" t="n">
        <v>46309</v>
      </c>
      <c r="E155" s="1" t="inlineStr">
        <is>
          <t>HR-SAFE-SCAN</t>
        </is>
      </c>
      <c r="F155" s="1" t="inlineStr">
        <is>
          <t>Safety scanner retrofit kit</t>
        </is>
      </c>
      <c r="G155" s="1" t="n">
        <v>10</v>
      </c>
      <c r="H155" s="1" t="n">
        <v>2</v>
      </c>
      <c r="I155" s="1">
        <f>G155-H155</f>
        <v/>
      </c>
      <c r="J155" s="1" t="n">
        <v>5945</v>
      </c>
      <c r="K155" s="1">
        <f>ROUND(I155*J155,2)</f>
        <v/>
      </c>
      <c r="L155" s="1" t="inlineStr">
        <is>
          <t>Reno assembly</t>
        </is>
      </c>
      <c r="M155" s="1" t="inlineStr">
        <is>
          <t>On credit hold</t>
        </is>
      </c>
    </row>
    <row r="156">
      <c r="A156" s="1" t="inlineStr">
        <is>
          <t>PO-IVG-4217</t>
        </is>
      </c>
      <c r="B156" s="1" t="inlineStr">
        <is>
          <t>Ironvale Grocery Group</t>
        </is>
      </c>
      <c r="C156" s="2" t="n">
        <v>46122</v>
      </c>
      <c r="D156" s="2" t="n">
        <v>46269</v>
      </c>
      <c r="E156" s="1" t="inlineStr">
        <is>
          <t>HR-SUP-PREM</t>
        </is>
      </c>
      <c r="F156" s="1" t="inlineStr">
        <is>
          <t>Premium support and spares pool</t>
        </is>
      </c>
      <c r="G156" s="1" t="n">
        <v>38</v>
      </c>
      <c r="H156" s="1" t="n">
        <v>24</v>
      </c>
      <c r="I156" s="1">
        <f>G156-H156</f>
        <v/>
      </c>
      <c r="J156" s="1" t="n">
        <v>48132</v>
      </c>
      <c r="K156" s="1">
        <f>ROUND(I156*J156,2)</f>
        <v/>
      </c>
      <c r="L156" s="1" t="inlineStr">
        <is>
          <t>Contract manufacturer</t>
        </is>
      </c>
      <c r="M156" s="1" t="inlineStr">
        <is>
          <t>Awaiting customer date</t>
        </is>
      </c>
    </row>
    <row r="157">
      <c r="A157" s="1" t="inlineStr">
        <is>
          <t>PO-AST-1927</t>
        </is>
      </c>
      <c r="B157" s="1" t="inlineStr">
        <is>
          <t>Asterion Logistics</t>
        </is>
      </c>
      <c r="C157" s="2" t="n">
        <v>45940</v>
      </c>
      <c r="D157" s="2" t="n">
        <v>46350</v>
      </c>
      <c r="E157" s="1" t="inlineStr">
        <is>
          <t>HR-TRAIN-OPS</t>
        </is>
      </c>
      <c r="F157" s="1" t="inlineStr">
        <is>
          <t>Operator training programme</t>
        </is>
      </c>
      <c r="G157" s="1" t="n">
        <v>58</v>
      </c>
      <c r="H157" s="1" t="n">
        <v>46</v>
      </c>
      <c r="I157" s="1">
        <f>G157-H157</f>
        <v/>
      </c>
      <c r="J157" s="1" t="n">
        <v>3738</v>
      </c>
      <c r="K157" s="1">
        <f>ROUND(I157*J157,2)</f>
        <v/>
      </c>
      <c r="L157" s="1" t="inlineStr">
        <is>
          <t>Reno assembly</t>
        </is>
      </c>
      <c r="M157" s="1" t="inlineStr">
        <is>
          <t>Awaiting customer date</t>
        </is>
      </c>
    </row>
    <row r="158">
      <c r="A158" s="1" t="inlineStr">
        <is>
          <t>PO-CFF-9409</t>
        </is>
      </c>
      <c r="B158" s="1" t="inlineStr">
        <is>
          <t>Crestline Fulfillment</t>
        </is>
      </c>
      <c r="C158" s="2" t="n">
        <v>46029</v>
      </c>
      <c r="D158" s="2" t="n">
        <v>46421</v>
      </c>
      <c r="E158" s="1" t="inlineStr">
        <is>
          <t>HR-SAFE-SCAN</t>
        </is>
      </c>
      <c r="F158" s="1" t="inlineStr">
        <is>
          <t>Safety scanner retrofit kit</t>
        </is>
      </c>
      <c r="G158" s="1" t="n">
        <v>22</v>
      </c>
      <c r="H158" s="1" t="n">
        <v>3</v>
      </c>
      <c r="I158" s="1">
        <f>G158-H158</f>
        <v/>
      </c>
      <c r="J158" s="1" t="n">
        <v>6380</v>
      </c>
      <c r="K158" s="1">
        <f>ROUND(I158*J158,2)</f>
        <v/>
      </c>
      <c r="L158" s="1" t="inlineStr">
        <is>
          <t>Contract manufacturer</t>
        </is>
      </c>
      <c r="M158" s="1" t="inlineStr">
        <is>
          <t>Closed</t>
        </is>
      </c>
    </row>
    <row r="159">
      <c r="A159" s="1" t="inlineStr">
        <is>
          <t>PO-CFF-9899</t>
        </is>
      </c>
      <c r="B159" s="1" t="inlineStr">
        <is>
          <t>Crestline Fulfillment</t>
        </is>
      </c>
      <c r="C159" s="2" t="n">
        <v>46118</v>
      </c>
      <c r="D159" s="2" t="n">
        <v>46309</v>
      </c>
      <c r="E159" s="1" t="inlineStr">
        <is>
          <t>HR-TRAIN-OPS</t>
        </is>
      </c>
      <c r="F159" s="1" t="inlineStr">
        <is>
          <t>Operator training programme</t>
        </is>
      </c>
      <c r="G159" s="1" t="n">
        <v>26</v>
      </c>
      <c r="H159" s="1" t="n">
        <v>17</v>
      </c>
      <c r="I159" s="1">
        <f>G159-H159</f>
        <v/>
      </c>
      <c r="J159" s="1" t="n">
        <v>3738</v>
      </c>
      <c r="K159" s="1">
        <f>ROUND(I159*J159,2)</f>
        <v/>
      </c>
      <c r="L159" s="1" t="inlineStr">
        <is>
          <t>Reno assembly</t>
        </is>
      </c>
      <c r="M159" s="1" t="inlineStr">
        <is>
          <t>Awaiting customer date</t>
        </is>
      </c>
    </row>
    <row r="160">
      <c r="A160" s="1" t="inlineStr">
        <is>
          <t>PO-DGC-5435</t>
        </is>
      </c>
      <c r="B160" s="1" t="inlineStr">
        <is>
          <t>Dorsey Grain Cooperative</t>
        </is>
      </c>
      <c r="C160" s="2" t="n">
        <v>45945</v>
      </c>
      <c r="D160" s="2" t="n">
        <v>46343</v>
      </c>
      <c r="E160" s="1" t="inlineStr">
        <is>
          <t>HR-FLEET-CORE</t>
        </is>
      </c>
      <c r="F160" s="1" t="inlineStr">
        <is>
          <t>Fleet orchestration platform, annual site licence</t>
        </is>
      </c>
      <c r="G160" s="1" t="n">
        <v>12</v>
      </c>
      <c r="H160" s="1" t="n">
        <v>5</v>
      </c>
      <c r="I160" s="1">
        <f>G160-H160</f>
        <v/>
      </c>
      <c r="J160" s="1" t="n">
        <v>83520</v>
      </c>
      <c r="K160" s="1">
        <f>ROUND(I160*J160,2)</f>
        <v/>
      </c>
      <c r="L160" s="1" t="inlineStr">
        <is>
          <t>Reno assembly</t>
        </is>
      </c>
      <c r="M160" s="1" t="inlineStr">
        <is>
          <t>Open</t>
        </is>
      </c>
    </row>
    <row r="161">
      <c r="A161" s="1" t="inlineStr">
        <is>
          <t>PO-DBI-9635</t>
        </is>
      </c>
      <c r="B161" s="1" t="inlineStr">
        <is>
          <t>Dunbar Industrial</t>
        </is>
      </c>
      <c r="C161" s="2" t="n">
        <v>46042</v>
      </c>
      <c r="D161" s="2" t="n">
        <v>46337</v>
      </c>
      <c r="E161" s="1" t="inlineStr">
        <is>
          <t>HR-INT-WMS</t>
        </is>
      </c>
      <c r="F161" s="1" t="inlineStr">
        <is>
          <t>Warehouse management system connector</t>
        </is>
      </c>
      <c r="G161" s="1" t="n">
        <v>46</v>
      </c>
      <c r="H161" s="1" t="n">
        <v>2</v>
      </c>
      <c r="I161" s="1">
        <f>G161-H161</f>
        <v/>
      </c>
      <c r="J161" s="1" t="n">
        <v>33065</v>
      </c>
      <c r="K161" s="1">
        <f>ROUND(I161*J161,2)</f>
        <v/>
      </c>
      <c r="L161" s="1" t="inlineStr">
        <is>
          <t>Contract manufacturer</t>
        </is>
      </c>
      <c r="M161" s="1" t="inlineStr">
        <is>
          <t>Closed</t>
        </is>
      </c>
    </row>
    <row r="162">
      <c r="A162" s="1" t="inlineStr">
        <is>
          <t>PO-CFF-7236</t>
        </is>
      </c>
      <c r="B162" s="1" t="inlineStr">
        <is>
          <t>Crestline Fulfillment</t>
        </is>
      </c>
      <c r="C162" s="2" t="n">
        <v>46071</v>
      </c>
      <c r="D162" s="2" t="n">
        <v>46269</v>
      </c>
      <c r="E162" s="1" t="inlineStr">
        <is>
          <t>HR-AMR-450</t>
        </is>
      </c>
      <c r="F162" s="1" t="inlineStr">
        <is>
          <t>Autonomous mobile robot, 450 kg payload</t>
        </is>
      </c>
      <c r="G162" s="1" t="n">
        <v>24</v>
      </c>
      <c r="H162" s="1" t="n">
        <v>23</v>
      </c>
      <c r="I162" s="1">
        <f>G162-H162</f>
        <v/>
      </c>
      <c r="J162" s="1" t="n">
        <v>65664</v>
      </c>
      <c r="K162" s="1">
        <f>ROUND(I162*J162,2)</f>
        <v/>
      </c>
      <c r="L162" s="1" t="inlineStr">
        <is>
          <t>Reno assembly</t>
        </is>
      </c>
      <c r="M162" s="1" t="inlineStr">
        <is>
          <t>Open</t>
        </is>
      </c>
    </row>
    <row r="163">
      <c r="A163" s="1" t="inlineStr">
        <is>
          <t>PO-DGC-1933</t>
        </is>
      </c>
      <c r="B163" s="1" t="inlineStr">
        <is>
          <t>Dorsey Grain Cooperative</t>
        </is>
      </c>
      <c r="C163" s="2" t="n">
        <v>46097</v>
      </c>
      <c r="D163" s="2" t="n">
        <v>46401</v>
      </c>
      <c r="E163" s="1" t="inlineStr">
        <is>
          <t>HR-TELE-RET</t>
        </is>
      </c>
      <c r="F163" s="1" t="inlineStr">
        <is>
          <t>Telemetry retention tier, extended</t>
        </is>
      </c>
      <c r="G163" s="1" t="n">
        <v>21</v>
      </c>
      <c r="H163" s="1" t="n">
        <v>10</v>
      </c>
      <c r="I163" s="1">
        <f>G163-H163</f>
        <v/>
      </c>
      <c r="J163" s="1" t="n">
        <v>22295</v>
      </c>
      <c r="K163" s="1">
        <f>ROUND(I163*J163,2)</f>
        <v/>
      </c>
      <c r="L163" s="1" t="inlineStr">
        <is>
          <t>Reno assembly</t>
        </is>
      </c>
      <c r="M163" s="1" t="inlineStr">
        <is>
          <t>On credit hold</t>
        </is>
      </c>
    </row>
    <row r="164">
      <c r="A164" s="1" t="inlineStr">
        <is>
          <t>PO-TCE-7511</t>
        </is>
      </c>
      <c r="B164" s="1" t="inlineStr">
        <is>
          <t>Tamarack Electronics</t>
        </is>
      </c>
      <c r="C164" s="2" t="n">
        <v>46045</v>
      </c>
      <c r="D164" s="2" t="n">
        <v>46429</v>
      </c>
      <c r="E164" s="1" t="inlineStr">
        <is>
          <t>HR-REMOTE-OPS</t>
        </is>
      </c>
      <c r="F164" s="1" t="inlineStr">
        <is>
          <t>Remote operations desk coverage</t>
        </is>
      </c>
      <c r="G164" s="1" t="n">
        <v>23</v>
      </c>
      <c r="H164" s="1" t="n">
        <v>0</v>
      </c>
      <c r="I164" s="1">
        <f>G164-H164</f>
        <v/>
      </c>
      <c r="J164" s="1" t="n">
        <v>10962</v>
      </c>
      <c r="K164" s="1">
        <f>ROUND(I164*J164,2)</f>
        <v/>
      </c>
      <c r="L164" s="1" t="inlineStr">
        <is>
          <t>Reno assembly</t>
        </is>
      </c>
      <c r="M164" s="1" t="inlineStr">
        <is>
          <t>Closed</t>
        </is>
      </c>
    </row>
    <row r="165">
      <c r="A165" s="1" t="inlineStr">
        <is>
          <t>PO-ABT-7720</t>
        </is>
      </c>
      <c r="B165" s="1" t="inlineStr">
        <is>
          <t>Alderbrook Textiles</t>
        </is>
      </c>
      <c r="C165" s="2" t="n">
        <v>46100</v>
      </c>
      <c r="D165" s="2" t="n">
        <v>46174</v>
      </c>
      <c r="E165" s="1" t="inlineStr">
        <is>
          <t>HR-FLEET-EXP</t>
        </is>
      </c>
      <c r="F165" s="1" t="inlineStr">
        <is>
          <t>Fleet orchestration expansion pack, per robot</t>
        </is>
      </c>
      <c r="G165" s="1" t="n">
        <v>23</v>
      </c>
      <c r="H165" s="1" t="n">
        <v>19</v>
      </c>
      <c r="I165" s="1">
        <f>G165-H165</f>
        <v/>
      </c>
      <c r="J165" s="1" t="n">
        <v>3024</v>
      </c>
      <c r="K165" s="1">
        <f>ROUND(I165*J165,2)</f>
        <v/>
      </c>
      <c r="L165" s="1" t="inlineStr">
        <is>
          <t>Reno assembly</t>
        </is>
      </c>
      <c r="M165" s="1" t="inlineStr">
        <is>
          <t>Open</t>
        </is>
      </c>
    </row>
    <row r="166">
      <c r="A166" s="1" t="inlineStr">
        <is>
          <t>PO-HLS-8024</t>
        </is>
      </c>
      <c r="B166" s="1" t="inlineStr">
        <is>
          <t>Harborline Systems</t>
        </is>
      </c>
      <c r="C166" s="2" t="n">
        <v>46134</v>
      </c>
      <c r="D166" s="2" t="n">
        <v>46227</v>
      </c>
      <c r="E166" s="1" t="inlineStr">
        <is>
          <t>HR-TRAIN-OPS</t>
        </is>
      </c>
      <c r="F166" s="1" t="inlineStr">
        <is>
          <t>Operator training programme</t>
        </is>
      </c>
      <c r="G166" s="1" t="n">
        <v>29</v>
      </c>
      <c r="H166" s="1" t="n">
        <v>3</v>
      </c>
      <c r="I166" s="1">
        <f>G166-H166</f>
        <v/>
      </c>
      <c r="J166" s="1" t="n">
        <v>3360</v>
      </c>
      <c r="K166" s="1">
        <f>ROUND(I166*J166,2)</f>
        <v/>
      </c>
      <c r="L166" s="1" t="inlineStr">
        <is>
          <t>Columbus staging</t>
        </is>
      </c>
      <c r="M166" s="1" t="inlineStr">
        <is>
          <t>Awaiting customer date</t>
        </is>
      </c>
    </row>
    <row r="167">
      <c r="A167" s="1" t="inlineStr">
        <is>
          <t>PO-AST-1113</t>
        </is>
      </c>
      <c r="B167" s="1" t="inlineStr">
        <is>
          <t>Asterion Logistics</t>
        </is>
      </c>
      <c r="C167" s="2" t="n">
        <v>46185</v>
      </c>
      <c r="D167" s="2" t="n">
        <v>46182</v>
      </c>
      <c r="E167" s="1" t="inlineStr">
        <is>
          <t>HR-AMR-220</t>
        </is>
      </c>
      <c r="F167" s="1" t="inlineStr">
        <is>
          <t>Autonomous mobile robot, 220 kg payload</t>
        </is>
      </c>
      <c r="G167" s="1" t="n">
        <v>60</v>
      </c>
      <c r="H167" s="1" t="n">
        <v>8</v>
      </c>
      <c r="I167" s="1">
        <f>G167-H167</f>
        <v/>
      </c>
      <c r="J167" s="1" t="n">
        <v>32370</v>
      </c>
      <c r="K167" s="1">
        <f>ROUND(I167*J167,2)</f>
        <v/>
      </c>
      <c r="L167" s="1" t="inlineStr">
        <is>
          <t>Reno assembly</t>
        </is>
      </c>
      <c r="M167" s="1" t="inlineStr">
        <is>
          <t>Partially shipped</t>
        </is>
      </c>
    </row>
    <row r="168">
      <c r="A168" s="1" t="inlineStr">
        <is>
          <t>PO-MDY-8569</t>
        </is>
      </c>
      <c r="B168" s="1" t="inlineStr">
        <is>
          <t>Meridian Dynamics</t>
        </is>
      </c>
      <c r="C168" s="2" t="n">
        <v>46171</v>
      </c>
      <c r="D168" s="2" t="n">
        <v>46330</v>
      </c>
      <c r="E168" s="1" t="inlineStr">
        <is>
          <t>HR-CHG-DOCK</t>
        </is>
      </c>
      <c r="F168" s="1" t="inlineStr">
        <is>
          <t>Opportunity charging dock</t>
        </is>
      </c>
      <c r="G168" s="1" t="n">
        <v>22</v>
      </c>
      <c r="H168" s="1" t="n">
        <v>14</v>
      </c>
      <c r="I168" s="1">
        <f>G168-H168</f>
        <v/>
      </c>
      <c r="J168" s="1" t="n">
        <v>9794</v>
      </c>
      <c r="K168" s="1">
        <f>ROUND(I168*J168,2)</f>
        <v/>
      </c>
      <c r="L168" s="1" t="inlineStr">
        <is>
          <t>Reno assembly</t>
        </is>
      </c>
      <c r="M168" s="1" t="inlineStr">
        <is>
          <t>Open</t>
        </is>
      </c>
    </row>
    <row r="169">
      <c r="A169" s="1" t="inlineStr">
        <is>
          <t>PO-DBI-8754</t>
        </is>
      </c>
      <c r="B169" s="1" t="inlineStr">
        <is>
          <t>Dunbar Industrial</t>
        </is>
      </c>
      <c r="C169" s="2" t="n">
        <v>45924</v>
      </c>
      <c r="D169" s="2" t="n">
        <v>46465</v>
      </c>
      <c r="E169" s="1" t="inlineStr">
        <is>
          <t>HR-INT-WMS</t>
        </is>
      </c>
      <c r="F169" s="1" t="inlineStr">
        <is>
          <t>Warehouse management system connector</t>
        </is>
      </c>
      <c r="G169" s="1" t="n">
        <v>8</v>
      </c>
      <c r="H169" s="1" t="n">
        <v>4</v>
      </c>
      <c r="I169" s="1">
        <f>G169-H169</f>
        <v/>
      </c>
      <c r="J169" s="1" t="n">
        <v>37344</v>
      </c>
      <c r="K169" s="1">
        <f>ROUND(I169*J169,2)</f>
        <v/>
      </c>
      <c r="L169" s="1" t="inlineStr">
        <is>
          <t>Contract manufacturer</t>
        </is>
      </c>
      <c r="M169" s="1" t="inlineStr">
        <is>
          <t>Partially shipped</t>
        </is>
      </c>
    </row>
    <row r="170">
      <c r="A170" s="1" t="inlineStr">
        <is>
          <t>PO-RWO-9037</t>
        </is>
      </c>
      <c r="B170" s="1" t="inlineStr">
        <is>
          <t>Redwood Optics</t>
        </is>
      </c>
      <c r="C170" s="2" t="n">
        <v>46098</v>
      </c>
      <c r="D170" s="2" t="n">
        <v>46367</v>
      </c>
      <c r="E170" s="1" t="inlineStr">
        <is>
          <t>HR-SAFE-SCAN</t>
        </is>
      </c>
      <c r="F170" s="1" t="inlineStr">
        <is>
          <t>Safety scanner retrofit kit</t>
        </is>
      </c>
      <c r="G170" s="1" t="n">
        <v>4</v>
      </c>
      <c r="H170" s="1" t="n">
        <v>0</v>
      </c>
      <c r="I170" s="1">
        <f>G170-H170</f>
        <v/>
      </c>
      <c r="J170" s="1" t="n">
        <v>6090</v>
      </c>
      <c r="K170" s="1">
        <f>ROUND(I170*J170,2)</f>
        <v/>
      </c>
      <c r="L170" s="1" t="inlineStr">
        <is>
          <t>Reno assembly</t>
        </is>
      </c>
      <c r="M170" s="1" t="inlineStr">
        <is>
          <t>Awaiting customer date</t>
        </is>
      </c>
    </row>
    <row r="171">
      <c r="A171" s="1" t="inlineStr">
        <is>
          <t>PO-DBI-1448</t>
        </is>
      </c>
      <c r="B171" s="1" t="inlineStr">
        <is>
          <t>Dunbar Industrial</t>
        </is>
      </c>
      <c r="C171" s="2" t="n">
        <v>46016</v>
      </c>
      <c r="D171" s="2" t="n">
        <v>46174</v>
      </c>
      <c r="E171" s="1" t="inlineStr">
        <is>
          <t>HR-CHG-DOCK</t>
        </is>
      </c>
      <c r="F171" s="1" t="inlineStr">
        <is>
          <t>Opportunity charging dock</t>
        </is>
      </c>
      <c r="G171" s="1" t="n">
        <v>19</v>
      </c>
      <c r="H171" s="1" t="n">
        <v>18</v>
      </c>
      <c r="I171" s="1">
        <f>G171-H171</f>
        <v/>
      </c>
      <c r="J171" s="1" t="n">
        <v>9322</v>
      </c>
      <c r="K171" s="1">
        <f>ROUND(I171*J171,2)</f>
        <v/>
      </c>
      <c r="L171" s="1" t="inlineStr">
        <is>
          <t>Contract manufacturer</t>
        </is>
      </c>
      <c r="M171" s="1" t="inlineStr">
        <is>
          <t>Partially shipped</t>
        </is>
      </c>
    </row>
    <row r="172">
      <c r="A172" s="1" t="inlineStr">
        <is>
          <t>PO-ZAC-6649</t>
        </is>
      </c>
      <c r="B172" s="1" t="inlineStr">
        <is>
          <t>Zephyr Air Cargo</t>
        </is>
      </c>
      <c r="C172" s="2" t="n">
        <v>46157</v>
      </c>
      <c r="D172" s="2" t="n">
        <v>46421</v>
      </c>
      <c r="E172" s="1" t="inlineStr">
        <is>
          <t>HR-SAFE-SCAN</t>
        </is>
      </c>
      <c r="F172" s="1" t="inlineStr">
        <is>
          <t>Safety scanner retrofit kit</t>
        </is>
      </c>
      <c r="G172" s="1" t="n">
        <v>44</v>
      </c>
      <c r="H172" s="1" t="n">
        <v>15</v>
      </c>
      <c r="I172" s="1">
        <f>G172-H172</f>
        <v/>
      </c>
      <c r="J172" s="1" t="n">
        <v>5800</v>
      </c>
      <c r="K172" s="1">
        <f>ROUND(I172*J172,2)</f>
        <v/>
      </c>
      <c r="L172" s="1" t="inlineStr">
        <is>
          <t>Contract manufacturer</t>
        </is>
      </c>
      <c r="M172" s="1" t="inlineStr">
        <is>
          <t>Open</t>
        </is>
      </c>
    </row>
    <row r="173">
      <c r="A173" s="1" t="inlineStr">
        <is>
          <t>PO-RWO-3521</t>
        </is>
      </c>
      <c r="B173" s="1" t="inlineStr">
        <is>
          <t>Redwood Optics</t>
        </is>
      </c>
      <c r="C173" s="2" t="n">
        <v>45940</v>
      </c>
      <c r="D173" s="2" t="n">
        <v>46464</v>
      </c>
      <c r="E173" s="1" t="inlineStr">
        <is>
          <t>HR-AMR-220</t>
        </is>
      </c>
      <c r="F173" s="1" t="inlineStr">
        <is>
          <t>Autonomous mobile robot, 220 kg payload</t>
        </is>
      </c>
      <c r="G173" s="1" t="n">
        <v>11</v>
      </c>
      <c r="H173" s="1" t="n">
        <v>1</v>
      </c>
      <c r="I173" s="1">
        <f>G173-H173</f>
        <v/>
      </c>
      <c r="J173" s="1" t="n">
        <v>35690</v>
      </c>
      <c r="K173" s="1">
        <f>ROUND(I173*J173,2)</f>
        <v/>
      </c>
      <c r="L173" s="1" t="inlineStr">
        <is>
          <t>Columbus staging</t>
        </is>
      </c>
      <c r="M173" s="1" t="inlineStr">
        <is>
          <t>Partially shipped</t>
        </is>
      </c>
    </row>
    <row r="174">
      <c r="A174" s="1" t="inlineStr">
        <is>
          <t>PO-IVG-6920</t>
        </is>
      </c>
      <c r="B174" s="1" t="inlineStr">
        <is>
          <t>Ironvale Grocery Group</t>
        </is>
      </c>
      <c r="C174" s="2" t="n">
        <v>46066</v>
      </c>
      <c r="D174" s="2" t="n">
        <v>46317</v>
      </c>
      <c r="E174" s="1" t="inlineStr">
        <is>
          <t>HR-CHG-DOCK</t>
        </is>
      </c>
      <c r="F174" s="1" t="inlineStr">
        <is>
          <t>Opportunity charging dock</t>
        </is>
      </c>
      <c r="G174" s="1" t="n">
        <v>34</v>
      </c>
      <c r="H174" s="1" t="n">
        <v>18</v>
      </c>
      <c r="I174" s="1">
        <f>G174-H174</f>
        <v/>
      </c>
      <c r="J174" s="1" t="n">
        <v>9204</v>
      </c>
      <c r="K174" s="1">
        <f>ROUND(I174*J174,2)</f>
        <v/>
      </c>
      <c r="L174" s="1" t="inlineStr">
        <is>
          <t>Contract manufacturer</t>
        </is>
      </c>
      <c r="M174" s="1" t="inlineStr">
        <is>
          <t>Partially shipped</t>
        </is>
      </c>
    </row>
    <row r="175">
      <c r="A175" s="1" t="inlineStr">
        <is>
          <t>PO-GPD-1759</t>
        </is>
      </c>
      <c r="B175" s="1" t="inlineStr">
        <is>
          <t>Granite Peak Distribution</t>
        </is>
      </c>
      <c r="C175" s="2" t="n">
        <v>46150</v>
      </c>
      <c r="D175" s="2" t="n">
        <v>46360</v>
      </c>
      <c r="E175" s="1" t="inlineStr">
        <is>
          <t>HR-AMR-450</t>
        </is>
      </c>
      <c r="F175" s="1" t="inlineStr">
        <is>
          <t>Autonomous mobile robot, 450 kg payload</t>
        </is>
      </c>
      <c r="G175" s="1" t="n">
        <v>19</v>
      </c>
      <c r="H175" s="1" t="n">
        <v>0</v>
      </c>
      <c r="I175" s="1">
        <f>G175-H175</f>
        <v/>
      </c>
      <c r="J175" s="1" t="n">
        <v>58140</v>
      </c>
      <c r="K175" s="1">
        <f>ROUND(I175*J175,2)</f>
        <v/>
      </c>
      <c r="L175" s="1" t="inlineStr">
        <is>
          <t>Columbus staging</t>
        </is>
      </c>
      <c r="M175" s="1" t="inlineStr">
        <is>
          <t>Open</t>
        </is>
      </c>
    </row>
    <row r="176">
      <c r="A176" s="1" t="inlineStr">
        <is>
          <t>PO-EWP-4309</t>
        </is>
      </c>
      <c r="B176" s="1" t="inlineStr">
        <is>
          <t>Elmsworth Publishing</t>
        </is>
      </c>
      <c r="C176" s="2" t="n">
        <v>46126</v>
      </c>
      <c r="D176" s="2" t="n">
        <v>46393</v>
      </c>
      <c r="E176" s="1" t="inlineStr">
        <is>
          <t>HR-DEPLOY-SVC</t>
        </is>
      </c>
      <c r="F176" s="1" t="inlineStr">
        <is>
          <t>Deployment and commissioning services</t>
        </is>
      </c>
      <c r="G176" s="1" t="n">
        <v>17</v>
      </c>
      <c r="H176" s="1" t="n">
        <v>8</v>
      </c>
      <c r="I176" s="1">
        <f>G176-H176</f>
        <v/>
      </c>
      <c r="J176" s="1" t="n">
        <v>1554</v>
      </c>
      <c r="K176" s="1">
        <f>ROUND(I176*J176,2)</f>
        <v/>
      </c>
      <c r="L176" s="1" t="inlineStr">
        <is>
          <t>Contract manufacturer</t>
        </is>
      </c>
      <c r="M176" s="1" t="inlineStr">
        <is>
          <t>Open</t>
        </is>
      </c>
    </row>
    <row r="177">
      <c r="A177" s="1" t="inlineStr">
        <is>
          <t>PO-UVP-9457</t>
        </is>
      </c>
      <c r="B177" s="1" t="inlineStr">
        <is>
          <t>Union Vale Pharma</t>
        </is>
      </c>
      <c r="C177" s="2" t="n">
        <v>46073</v>
      </c>
      <c r="D177" s="2" t="n">
        <v>46274</v>
      </c>
      <c r="E177" s="1" t="inlineStr">
        <is>
          <t>HR-AMR-450</t>
        </is>
      </c>
      <c r="F177" s="1" t="inlineStr">
        <is>
          <t>Autonomous mobile robot, 450 kg payload</t>
        </is>
      </c>
      <c r="G177" s="1" t="n">
        <v>44</v>
      </c>
      <c r="H177" s="1" t="n">
        <v>14</v>
      </c>
      <c r="I177" s="1">
        <f>G177-H177</f>
        <v/>
      </c>
      <c r="J177" s="1" t="n">
        <v>53352</v>
      </c>
      <c r="K177" s="1">
        <f>ROUND(I177*J177,2)</f>
        <v/>
      </c>
      <c r="L177" s="1" t="inlineStr">
        <is>
          <t>Contract manufacturer</t>
        </is>
      </c>
      <c r="M177" s="1" t="inlineStr">
        <is>
          <t>Awaiting customer date</t>
        </is>
      </c>
    </row>
    <row r="178">
      <c r="A178" s="1" t="inlineStr">
        <is>
          <t>PO-JHS-9304</t>
        </is>
      </c>
      <c r="B178" s="1" t="inlineStr">
        <is>
          <t>Juniper Health Supply</t>
        </is>
      </c>
      <c r="C178" s="2" t="n">
        <v>45979</v>
      </c>
      <c r="D178" s="2" t="n">
        <v>46346</v>
      </c>
      <c r="E178" s="1" t="inlineStr">
        <is>
          <t>HR-FLEET-CORE</t>
        </is>
      </c>
      <c r="F178" s="1" t="inlineStr">
        <is>
          <t>Fleet orchestration platform, annual site licence</t>
        </is>
      </c>
      <c r="G178" s="1" t="n">
        <v>4</v>
      </c>
      <c r="H178" s="1" t="n">
        <v>0</v>
      </c>
      <c r="I178" s="1">
        <f>G178-H178</f>
        <v/>
      </c>
      <c r="J178" s="1" t="n">
        <v>86400</v>
      </c>
      <c r="K178" s="1">
        <f>ROUND(I178*J178,2)</f>
        <v/>
      </c>
      <c r="L178" s="1" t="inlineStr">
        <is>
          <t>Reno assembly</t>
        </is>
      </c>
      <c r="M178" s="1" t="inlineStr">
        <is>
          <t>Awaiting customer date</t>
        </is>
      </c>
    </row>
    <row r="179">
      <c r="A179" s="1" t="inlineStr">
        <is>
          <t>PO-DBI-3772</t>
        </is>
      </c>
      <c r="B179" s="1" t="inlineStr">
        <is>
          <t>Dunbar Industrial</t>
        </is>
      </c>
      <c r="C179" s="2" t="n">
        <v>45930</v>
      </c>
      <c r="D179" s="2" t="n">
        <v>46356</v>
      </c>
      <c r="E179" s="1" t="inlineStr">
        <is>
          <t>HR-TELE-RET</t>
        </is>
      </c>
      <c r="F179" s="1" t="inlineStr">
        <is>
          <t>Telemetry retention tier, extended</t>
        </is>
      </c>
      <c r="G179" s="1" t="n">
        <v>19</v>
      </c>
      <c r="H179" s="1" t="n">
        <v>18</v>
      </c>
      <c r="I179" s="1">
        <f>G179-H179</f>
        <v/>
      </c>
      <c r="J179" s="1" t="n">
        <v>19355</v>
      </c>
      <c r="K179" s="1">
        <f>ROUND(I179*J179,2)</f>
        <v/>
      </c>
      <c r="L179" s="1" t="inlineStr">
        <is>
          <t>Contract manufacturer</t>
        </is>
      </c>
      <c r="M179" s="1" t="inlineStr">
        <is>
          <t>Open</t>
        </is>
      </c>
    </row>
    <row r="180">
      <c r="A180" s="1" t="inlineStr">
        <is>
          <t>PO-LKA-2347</t>
        </is>
      </c>
      <c r="B180" s="1" t="inlineStr">
        <is>
          <t>Larkspur Apparel</t>
        </is>
      </c>
      <c r="C180" s="2" t="n">
        <v>46084</v>
      </c>
      <c r="D180" s="2" t="n">
        <v>46421</v>
      </c>
      <c r="E180" s="1" t="inlineStr">
        <is>
          <t>HR-CHG-DOCK</t>
        </is>
      </c>
      <c r="F180" s="1" t="inlineStr">
        <is>
          <t>Opportunity charging dock</t>
        </is>
      </c>
      <c r="G180" s="1" t="n">
        <v>50</v>
      </c>
      <c r="H180" s="1" t="n">
        <v>4</v>
      </c>
      <c r="I180" s="1">
        <f>G180-H180</f>
        <v/>
      </c>
      <c r="J180" s="1" t="n">
        <v>11328</v>
      </c>
      <c r="K180" s="1">
        <f>ROUND(I180*J180,2)</f>
        <v/>
      </c>
      <c r="L180" s="1" t="inlineStr">
        <is>
          <t>Reno assembly</t>
        </is>
      </c>
      <c r="M180" s="1" t="inlineStr">
        <is>
          <t>Open</t>
        </is>
      </c>
    </row>
    <row r="181">
      <c r="A181" s="1" t="inlineStr">
        <is>
          <t>PO-YHG-4780</t>
        </is>
      </c>
      <c r="B181" s="1" t="inlineStr">
        <is>
          <t>Yarrow Home Goods</t>
        </is>
      </c>
      <c r="C181" s="2" t="n">
        <v>46161</v>
      </c>
      <c r="D181" s="2" t="n">
        <v>46427</v>
      </c>
      <c r="E181" s="1" t="inlineStr">
        <is>
          <t>HR-AMR-450</t>
        </is>
      </c>
      <c r="F181" s="1" t="inlineStr">
        <is>
          <t>Autonomous mobile robot, 450 kg payload</t>
        </is>
      </c>
      <c r="G181" s="1" t="n">
        <v>37</v>
      </c>
      <c r="H181" s="1" t="n">
        <v>19</v>
      </c>
      <c r="I181" s="1">
        <f>G181-H181</f>
        <v/>
      </c>
      <c r="J181" s="1" t="n">
        <v>66348</v>
      </c>
      <c r="K181" s="1">
        <f>ROUND(I181*J181,2)</f>
        <v/>
      </c>
      <c r="L181" s="1" t="inlineStr">
        <is>
          <t>Contract manufacturer</t>
        </is>
      </c>
      <c r="M181" s="1" t="inlineStr">
        <is>
          <t>Closed</t>
        </is>
      </c>
    </row>
    <row r="182">
      <c r="A182" s="1" t="inlineStr">
        <is>
          <t>PO-UVP-2721</t>
        </is>
      </c>
      <c r="B182" s="1" t="inlineStr">
        <is>
          <t>Union Vale Pharma</t>
        </is>
      </c>
      <c r="C182" s="2" t="n">
        <v>46195</v>
      </c>
      <c r="D182" s="2" t="n">
        <v>46191</v>
      </c>
      <c r="E182" s="1" t="inlineStr">
        <is>
          <t>HR-CHG-DOCK</t>
        </is>
      </c>
      <c r="F182" s="1" t="inlineStr">
        <is>
          <t>Opportunity charging dock</t>
        </is>
      </c>
      <c r="G182" s="1" t="n">
        <v>48</v>
      </c>
      <c r="H182" s="1" t="n">
        <v>23</v>
      </c>
      <c r="I182" s="1">
        <f>G182-H182</f>
        <v/>
      </c>
      <c r="J182" s="1" t="n">
        <v>9558</v>
      </c>
      <c r="K182" s="1">
        <f>ROUND(I182*J182,2)</f>
        <v/>
      </c>
      <c r="L182" s="1" t="inlineStr">
        <is>
          <t>Reno assembly</t>
        </is>
      </c>
      <c r="M182" s="1" t="inlineStr">
        <is>
          <t>Awaiting customer date</t>
        </is>
      </c>
    </row>
    <row r="183">
      <c r="A183" s="1" t="inlineStr">
        <is>
          <t>PO-IVG-7369</t>
        </is>
      </c>
      <c r="B183" s="1" t="inlineStr">
        <is>
          <t>Ironvale Grocery Group</t>
        </is>
      </c>
      <c r="C183" s="2" t="n">
        <v>45972</v>
      </c>
      <c r="D183" s="2" t="n">
        <v>46419</v>
      </c>
      <c r="E183" s="1" t="inlineStr">
        <is>
          <t>HR-TRAIN-OPS</t>
        </is>
      </c>
      <c r="F183" s="1" t="inlineStr">
        <is>
          <t>Operator training programme</t>
        </is>
      </c>
      <c r="G183" s="1" t="n">
        <v>23</v>
      </c>
      <c r="H183" s="1" t="n">
        <v>11</v>
      </c>
      <c r="I183" s="1">
        <f>G183-H183</f>
        <v/>
      </c>
      <c r="J183" s="1" t="n">
        <v>3990</v>
      </c>
      <c r="K183" s="1">
        <f>ROUND(I183*J183,2)</f>
        <v/>
      </c>
      <c r="L183" s="1" t="inlineStr">
        <is>
          <t>Columbus staging</t>
        </is>
      </c>
      <c r="M183" s="1" t="inlineStr">
        <is>
          <t>On credit hold</t>
        </is>
      </c>
    </row>
    <row r="184">
      <c r="A184" s="1" t="inlineStr">
        <is>
          <t>PO-AST-6314</t>
        </is>
      </c>
      <c r="B184" s="1" t="inlineStr">
        <is>
          <t>Asterion Logistics</t>
        </is>
      </c>
      <c r="C184" s="2" t="n">
        <v>46024</v>
      </c>
      <c r="D184" s="2" t="n">
        <v>46399</v>
      </c>
      <c r="E184" s="1" t="inlineStr">
        <is>
          <t>HR-TELE-RET</t>
        </is>
      </c>
      <c r="F184" s="1" t="inlineStr">
        <is>
          <t>Telemetry retention tier, extended</t>
        </is>
      </c>
      <c r="G184" s="1" t="n">
        <v>8</v>
      </c>
      <c r="H184" s="1" t="n">
        <v>7</v>
      </c>
      <c r="I184" s="1">
        <f>G184-H184</f>
        <v/>
      </c>
      <c r="J184" s="1" t="n">
        <v>19845</v>
      </c>
      <c r="K184" s="1">
        <f>ROUND(I184*J184,2)</f>
        <v/>
      </c>
      <c r="L184" s="1" t="inlineStr">
        <is>
          <t>Reno assembly</t>
        </is>
      </c>
      <c r="M184" s="1" t="inlineStr">
        <is>
          <t>Open</t>
        </is>
      </c>
    </row>
    <row r="185">
      <c r="A185" s="1" t="inlineStr">
        <is>
          <t>PO-GPD-1401</t>
        </is>
      </c>
      <c r="B185" s="1" t="inlineStr">
        <is>
          <t>Granite Peak Distribution</t>
        </is>
      </c>
      <c r="C185" s="2" t="n">
        <v>46066</v>
      </c>
      <c r="D185" s="2" t="n">
        <v>46280</v>
      </c>
      <c r="E185" s="1" t="inlineStr">
        <is>
          <t>HR-REMOTE-OPS</t>
        </is>
      </c>
      <c r="F185" s="1" t="inlineStr">
        <is>
          <t>Remote operations desk coverage</t>
        </is>
      </c>
      <c r="G185" s="1" t="n">
        <v>53</v>
      </c>
      <c r="H185" s="1" t="n">
        <v>15</v>
      </c>
      <c r="I185" s="1">
        <f>G185-H185</f>
        <v/>
      </c>
      <c r="J185" s="1" t="n">
        <v>10080</v>
      </c>
      <c r="K185" s="1">
        <f>ROUND(I185*J185,2)</f>
        <v/>
      </c>
      <c r="L185" s="1" t="inlineStr">
        <is>
          <t>Reno assembly</t>
        </is>
      </c>
      <c r="M185" s="1" t="inlineStr">
        <is>
          <t>Partially shipped</t>
        </is>
      </c>
    </row>
    <row r="186">
      <c r="A186" s="1" t="inlineStr">
        <is>
          <t>PO-JHS-6565</t>
        </is>
      </c>
      <c r="B186" s="1" t="inlineStr">
        <is>
          <t>Juniper Health Supply</t>
        </is>
      </c>
      <c r="C186" s="2" t="n">
        <v>46204</v>
      </c>
      <c r="D186" s="2" t="n">
        <v>46400</v>
      </c>
      <c r="E186" s="1" t="inlineStr">
        <is>
          <t>HR-REMOTE-OPS</t>
        </is>
      </c>
      <c r="F186" s="1" t="inlineStr">
        <is>
          <t>Remote operations desk coverage</t>
        </is>
      </c>
      <c r="G186" s="1" t="n">
        <v>2</v>
      </c>
      <c r="H186" s="1" t="n">
        <v>0</v>
      </c>
      <c r="I186" s="1">
        <f>G186-H186</f>
        <v/>
      </c>
      <c r="J186" s="1" t="n">
        <v>10584</v>
      </c>
      <c r="K186" s="1">
        <f>ROUND(I186*J186,2)</f>
        <v/>
      </c>
      <c r="L186" s="1" t="inlineStr">
        <is>
          <t>Reno assembly</t>
        </is>
      </c>
      <c r="M186" s="1" t="inlineStr">
        <is>
          <t>Open</t>
        </is>
      </c>
    </row>
    <row r="187">
      <c r="A187" s="1" t="inlineStr">
        <is>
          <t>PO-SRR-5951</t>
        </is>
      </c>
      <c r="B187" s="1" t="inlineStr">
        <is>
          <t>Summit Ridge Retail</t>
        </is>
      </c>
      <c r="C187" s="2" t="n">
        <v>46134</v>
      </c>
      <c r="D187" s="2" t="n">
        <v>46451</v>
      </c>
      <c r="E187" s="1" t="inlineStr">
        <is>
          <t>HR-REMOTE-OPS</t>
        </is>
      </c>
      <c r="F187" s="1" t="inlineStr">
        <is>
          <t>Remote operations desk coverage</t>
        </is>
      </c>
      <c r="G187" s="1" t="n">
        <v>34</v>
      </c>
      <c r="H187" s="1" t="n">
        <v>14</v>
      </c>
      <c r="I187" s="1">
        <f>G187-H187</f>
        <v/>
      </c>
      <c r="J187" s="1" t="n">
        <v>10458</v>
      </c>
      <c r="K187" s="1">
        <f>ROUND(I187*J187,2)</f>
        <v/>
      </c>
      <c r="L187" s="1" t="inlineStr">
        <is>
          <t>Columbus staging</t>
        </is>
      </c>
      <c r="M187" s="1" t="inlineStr">
        <is>
          <t>Awaiting customer date</t>
        </is>
      </c>
    </row>
    <row r="188">
      <c r="A188" s="1" t="inlineStr">
        <is>
          <t>PO-JHS-8354</t>
        </is>
      </c>
      <c r="B188" s="1" t="inlineStr">
        <is>
          <t>Juniper Health Supply</t>
        </is>
      </c>
      <c r="C188" s="2" t="n">
        <v>46209</v>
      </c>
      <c r="D188" s="2" t="n">
        <v>46192</v>
      </c>
      <c r="E188" s="1" t="inlineStr">
        <is>
          <t>HR-TRAIN-OPS</t>
        </is>
      </c>
      <c r="F188" s="1" t="inlineStr">
        <is>
          <t>Operator training programme</t>
        </is>
      </c>
      <c r="G188" s="1" t="n">
        <v>39</v>
      </c>
      <c r="H188" s="1" t="n">
        <v>16</v>
      </c>
      <c r="I188" s="1">
        <f>G188-H188</f>
        <v/>
      </c>
      <c r="J188" s="1" t="n">
        <v>3612</v>
      </c>
      <c r="K188" s="1">
        <f>ROUND(I188*J188,2)</f>
        <v/>
      </c>
      <c r="L188" s="1" t="inlineStr">
        <is>
          <t>Columbus staging</t>
        </is>
      </c>
      <c r="M188" s="1" t="inlineStr">
        <is>
          <t>On credit hold</t>
        </is>
      </c>
    </row>
    <row r="189">
      <c r="A189" s="1" t="inlineStr">
        <is>
          <t>PO-DBI-6315</t>
        </is>
      </c>
      <c r="B189" s="1" t="inlineStr">
        <is>
          <t>Dunbar Industrial</t>
        </is>
      </c>
      <c r="C189" s="2" t="n">
        <v>45916</v>
      </c>
      <c r="D189" s="2" t="n">
        <v>46370</v>
      </c>
      <c r="E189" s="1" t="inlineStr">
        <is>
          <t>HR-REMOTE-OPS</t>
        </is>
      </c>
      <c r="F189" s="1" t="inlineStr">
        <is>
          <t>Remote operations desk coverage</t>
        </is>
      </c>
      <c r="G189" s="1" t="n">
        <v>47</v>
      </c>
      <c r="H189" s="1" t="n">
        <v>9</v>
      </c>
      <c r="I189" s="1">
        <f>G189-H189</f>
        <v/>
      </c>
      <c r="J189" s="1" t="n">
        <v>10458</v>
      </c>
      <c r="K189" s="1">
        <f>ROUND(I189*J189,2)</f>
        <v/>
      </c>
      <c r="L189" s="1" t="inlineStr">
        <is>
          <t>Contract manufacturer</t>
        </is>
      </c>
      <c r="M189" s="1" t="inlineStr">
        <is>
          <t>Closed</t>
        </is>
      </c>
    </row>
    <row r="190">
      <c r="A190" s="1" t="inlineStr">
        <is>
          <t>PO-PFU-1057</t>
        </is>
      </c>
      <c r="B190" s="1" t="inlineStr">
        <is>
          <t>Pioneer Freight Union</t>
        </is>
      </c>
      <c r="C190" s="2" t="n">
        <v>46196</v>
      </c>
      <c r="D190" s="2" t="n">
        <v>46304</v>
      </c>
      <c r="E190" s="1" t="inlineStr">
        <is>
          <t>HR-AMR-220</t>
        </is>
      </c>
      <c r="F190" s="1" t="inlineStr">
        <is>
          <t>Autonomous mobile robot, 220 kg payload</t>
        </is>
      </c>
      <c r="G190" s="1" t="n">
        <v>16</v>
      </c>
      <c r="H190" s="1" t="n">
        <v>16</v>
      </c>
      <c r="I190" s="1">
        <f>G190-H190</f>
        <v/>
      </c>
      <c r="J190" s="1" t="n">
        <v>34860</v>
      </c>
      <c r="K190" s="1">
        <f>ROUND(I190*J190,2)</f>
        <v/>
      </c>
      <c r="L190" s="1" t="inlineStr">
        <is>
          <t>Reno assembly</t>
        </is>
      </c>
      <c r="M190" s="1" t="inlineStr">
        <is>
          <t>Partially shipped</t>
        </is>
      </c>
    </row>
    <row r="191">
      <c r="A191" s="1" t="inlineStr">
        <is>
          <t>PO-BMC-7407</t>
        </is>
      </c>
      <c r="B191" s="1" t="inlineStr">
        <is>
          <t>Blue Mesa Components</t>
        </is>
      </c>
      <c r="C191" s="2" t="n">
        <v>45938</v>
      </c>
      <c r="D191" s="2" t="n">
        <v>46262</v>
      </c>
      <c r="E191" s="1" t="inlineStr">
        <is>
          <t>HR-CHG-DOCK</t>
        </is>
      </c>
      <c r="F191" s="1" t="inlineStr">
        <is>
          <t>Opportunity charging dock</t>
        </is>
      </c>
      <c r="G191" s="1" t="n">
        <v>8</v>
      </c>
      <c r="H191" s="1" t="n">
        <v>6</v>
      </c>
      <c r="I191" s="1">
        <f>G191-H191</f>
        <v/>
      </c>
      <c r="J191" s="1" t="n">
        <v>11092</v>
      </c>
      <c r="K191" s="1">
        <f>ROUND(I191*J191,2)</f>
        <v/>
      </c>
      <c r="L191" s="1" t="inlineStr">
        <is>
          <t>Contract manufacturer</t>
        </is>
      </c>
      <c r="M191" s="1" t="inlineStr">
        <is>
          <t>Open</t>
        </is>
      </c>
    </row>
    <row r="192">
      <c r="A192" s="1" t="inlineStr">
        <is>
          <t>PO-EVW-3594</t>
        </is>
      </c>
      <c r="B192" s="1" t="inlineStr">
        <is>
          <t>Evergreen Warehousing</t>
        </is>
      </c>
      <c r="C192" s="2" t="n">
        <v>45961</v>
      </c>
      <c r="D192" s="2" t="n">
        <v>46337</v>
      </c>
      <c r="E192" s="1" t="inlineStr">
        <is>
          <t>HR-TELE-RET</t>
        </is>
      </c>
      <c r="F192" s="1" t="inlineStr">
        <is>
          <t>Telemetry retention tier, extended</t>
        </is>
      </c>
      <c r="G192" s="1" t="n">
        <v>11</v>
      </c>
      <c r="H192" s="1" t="n">
        <v>7</v>
      </c>
      <c r="I192" s="1">
        <f>G192-H192</f>
        <v/>
      </c>
      <c r="J192" s="1" t="n">
        <v>23765</v>
      </c>
      <c r="K192" s="1">
        <f>ROUND(I192*J192,2)</f>
        <v/>
      </c>
      <c r="L192" s="1" t="inlineStr">
        <is>
          <t>Contract manufacturer</t>
        </is>
      </c>
      <c r="M192" s="1" t="inlineStr">
        <is>
          <t>Open</t>
        </is>
      </c>
    </row>
    <row r="193">
      <c r="A193" s="1" t="inlineStr">
        <is>
          <t>PO-EVW-3059</t>
        </is>
      </c>
      <c r="B193" s="1" t="inlineStr">
        <is>
          <t>Evergreen Warehousing</t>
        </is>
      </c>
      <c r="C193" s="2" t="n">
        <v>46196</v>
      </c>
      <c r="D193" s="2" t="n">
        <v>46370</v>
      </c>
      <c r="E193" s="1" t="inlineStr">
        <is>
          <t>HR-INT-WMS</t>
        </is>
      </c>
      <c r="F193" s="1" t="inlineStr">
        <is>
          <t>Warehouse management system connector</t>
        </is>
      </c>
      <c r="G193" s="1" t="n">
        <v>20</v>
      </c>
      <c r="H193" s="1" t="n">
        <v>19</v>
      </c>
      <c r="I193" s="1">
        <f>G193-H193</f>
        <v/>
      </c>
      <c r="J193" s="1" t="n">
        <v>37344</v>
      </c>
      <c r="K193" s="1">
        <f>ROUND(I193*J193,2)</f>
        <v/>
      </c>
      <c r="L193" s="1" t="inlineStr">
        <is>
          <t>Contract manufacturer</t>
        </is>
      </c>
      <c r="M193" s="1" t="inlineStr">
        <is>
          <t>Awaiting customer date</t>
        </is>
      </c>
    </row>
    <row r="194">
      <c r="A194" s="1" t="inlineStr">
        <is>
          <t>PO-YHG-1947</t>
        </is>
      </c>
      <c r="B194" s="1" t="inlineStr">
        <is>
          <t>Yarrow Home Goods</t>
        </is>
      </c>
      <c r="C194" s="2" t="n">
        <v>46028</v>
      </c>
      <c r="D194" s="2" t="n">
        <v>46261</v>
      </c>
      <c r="E194" s="1" t="inlineStr">
        <is>
          <t>HR-FLEET-EXP</t>
        </is>
      </c>
      <c r="F194" s="1" t="inlineStr">
        <is>
          <t>Fleet orchestration expansion pack, per robot</t>
        </is>
      </c>
      <c r="G194" s="1" t="n">
        <v>48</v>
      </c>
      <c r="H194" s="1" t="n">
        <v>17</v>
      </c>
      <c r="I194" s="1">
        <f>G194-H194</f>
        <v/>
      </c>
      <c r="J194" s="1" t="n">
        <v>2992.5</v>
      </c>
      <c r="K194" s="1">
        <f>ROUND(I194*J194,2)</f>
        <v/>
      </c>
      <c r="L194" s="1" t="inlineStr">
        <is>
          <t>Contract manufacturer</t>
        </is>
      </c>
      <c r="M194" s="1" t="inlineStr">
        <is>
          <t>Partially shipped</t>
        </is>
      </c>
    </row>
    <row r="195">
      <c r="A195" s="1" t="inlineStr">
        <is>
          <t>PO-WCD-5567</t>
        </is>
      </c>
      <c r="B195" s="1" t="inlineStr">
        <is>
          <t>Westlake Chemical Depot</t>
        </is>
      </c>
      <c r="C195" s="2" t="n">
        <v>45958</v>
      </c>
      <c r="D195" s="2" t="n">
        <v>46218</v>
      </c>
      <c r="E195" s="1" t="inlineStr">
        <is>
          <t>HR-CHG-DOCK</t>
        </is>
      </c>
      <c r="F195" s="1" t="inlineStr">
        <is>
          <t>Opportunity charging dock</t>
        </is>
      </c>
      <c r="G195" s="1" t="n">
        <v>18</v>
      </c>
      <c r="H195" s="1" t="n">
        <v>17</v>
      </c>
      <c r="I195" s="1">
        <f>G195-H195</f>
        <v/>
      </c>
      <c r="J195" s="1" t="n">
        <v>10856</v>
      </c>
      <c r="K195" s="1">
        <f>ROUND(I195*J195,2)</f>
        <v/>
      </c>
      <c r="L195" s="1" t="inlineStr">
        <is>
          <t>Reno assembly</t>
        </is>
      </c>
      <c r="M195" s="1" t="inlineStr">
        <is>
          <t>On credit hold</t>
        </is>
      </c>
    </row>
    <row r="196">
      <c r="A196" s="1" t="inlineStr">
        <is>
          <t>PO-AST-2537</t>
        </is>
      </c>
      <c r="B196" s="1" t="inlineStr">
        <is>
          <t>Asterion Logistics</t>
        </is>
      </c>
      <c r="C196" s="2" t="n">
        <v>46010</v>
      </c>
      <c r="D196" s="2" t="n">
        <v>46276</v>
      </c>
      <c r="E196" s="1" t="inlineStr">
        <is>
          <t>HR-DEPLOY-SVC</t>
        </is>
      </c>
      <c r="F196" s="1" t="inlineStr">
        <is>
          <t>Deployment and commissioning services</t>
        </is>
      </c>
      <c r="G196" s="1" t="n">
        <v>12</v>
      </c>
      <c r="H196" s="1" t="n">
        <v>2</v>
      </c>
      <c r="I196" s="1">
        <f>G196-H196</f>
        <v/>
      </c>
      <c r="J196" s="1" t="n">
        <v>1609.5</v>
      </c>
      <c r="K196" s="1">
        <f>ROUND(I196*J196,2)</f>
        <v/>
      </c>
      <c r="L196" s="1" t="inlineStr">
        <is>
          <t>Reno assembly</t>
        </is>
      </c>
      <c r="M196" s="1" t="inlineStr">
        <is>
          <t>Awaiting customer date</t>
        </is>
      </c>
    </row>
    <row r="197">
      <c r="A197" s="1" t="inlineStr">
        <is>
          <t>PO-MDY-7468</t>
        </is>
      </c>
      <c r="B197" s="1" t="inlineStr">
        <is>
          <t>Meridian Dynamics</t>
        </is>
      </c>
      <c r="C197" s="2" t="n">
        <v>45961</v>
      </c>
      <c r="D197" s="2" t="n">
        <v>46325</v>
      </c>
      <c r="E197" s="1" t="inlineStr">
        <is>
          <t>HR-AMR-220</t>
        </is>
      </c>
      <c r="F197" s="1" t="inlineStr">
        <is>
          <t>Autonomous mobile robot, 220 kg payload</t>
        </is>
      </c>
      <c r="G197" s="1" t="n">
        <v>41</v>
      </c>
      <c r="H197" s="1" t="n">
        <v>19</v>
      </c>
      <c r="I197" s="1">
        <f>G197-H197</f>
        <v/>
      </c>
      <c r="J197" s="1" t="n">
        <v>34445</v>
      </c>
      <c r="K197" s="1">
        <f>ROUND(I197*J197,2)</f>
        <v/>
      </c>
      <c r="L197" s="1" t="inlineStr">
        <is>
          <t>Contract manufacturer</t>
        </is>
      </c>
      <c r="M197" s="1" t="inlineStr">
        <is>
          <t>Closed</t>
        </is>
      </c>
    </row>
    <row r="198">
      <c r="A198" s="1" t="inlineStr">
        <is>
          <t>PO-EWP-4533</t>
        </is>
      </c>
      <c r="B198" s="1" t="inlineStr">
        <is>
          <t>Elmsworth Publishing</t>
        </is>
      </c>
      <c r="C198" s="2" t="n">
        <v>45964</v>
      </c>
      <c r="D198" s="2" t="n">
        <v>46293</v>
      </c>
      <c r="E198" s="1" t="inlineStr">
        <is>
          <t>HR-TRAIN-OPS</t>
        </is>
      </c>
      <c r="F198" s="1" t="inlineStr">
        <is>
          <t>Operator training programme</t>
        </is>
      </c>
      <c r="G198" s="1" t="n">
        <v>41</v>
      </c>
      <c r="H198" s="1" t="n">
        <v>9</v>
      </c>
      <c r="I198" s="1">
        <f>G198-H198</f>
        <v/>
      </c>
      <c r="J198" s="1" t="n">
        <v>3360</v>
      </c>
      <c r="K198" s="1">
        <f>ROUND(I198*J198,2)</f>
        <v/>
      </c>
      <c r="L198" s="1" t="inlineStr">
        <is>
          <t>Contract manufacturer</t>
        </is>
      </c>
      <c r="M198" s="1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backlog_id</t>
        </is>
      </c>
      <c r="B1" s="1" t="inlineStr">
        <is>
          <t>contract_ref</t>
        </is>
      </c>
      <c r="C1" s="1" t="inlineStr">
        <is>
          <t>customer</t>
        </is>
      </c>
      <c r="D1" s="1" t="inlineStr">
        <is>
          <t>backlog_category</t>
        </is>
      </c>
      <c r="E1" s="1" t="inlineStr">
        <is>
          <t>contracted_value</t>
        </is>
      </c>
      <c r="F1" s="1" t="inlineStr">
        <is>
          <t>recognized_to_date</t>
        </is>
      </c>
      <c r="G1" s="1" t="inlineStr">
        <is>
          <t>remaining_backlog</t>
        </is>
      </c>
      <c r="H1" s="1" t="inlineStr">
        <is>
          <t>expected_recognition_start</t>
        </is>
      </c>
      <c r="I1" s="1" t="inlineStr">
        <is>
          <t>expected_recognition_end</t>
        </is>
      </c>
      <c r="J1" s="1" t="inlineStr">
        <is>
          <t>months_remaining</t>
        </is>
      </c>
      <c r="K1" s="1" t="inlineStr">
        <is>
          <t>cancellable</t>
        </is>
      </c>
      <c r="L1" s="1" t="inlineStr">
        <is>
          <t>backlog_note</t>
        </is>
      </c>
    </row>
    <row r="2">
      <c r="A2" s="1" t="inlineStr">
        <is>
          <t>BL-2026-0001</t>
        </is>
      </c>
      <c r="B2" s="1" t="inlineStr">
        <is>
          <t>DBI-MSA-2025-68</t>
        </is>
      </c>
      <c r="C2" s="1" t="inlineStr">
        <is>
          <t>Dunbar Industrial</t>
        </is>
      </c>
      <c r="D2" s="1" t="inlineStr">
        <is>
          <t>Support and spares</t>
        </is>
      </c>
      <c r="E2" s="1" t="n">
        <v>1749407.78</v>
      </c>
      <c r="F2" s="1" t="n">
        <v>927186.12</v>
      </c>
      <c r="G2" s="1">
        <f>ROUND(E2-F2,2)</f>
        <v/>
      </c>
      <c r="H2" s="2" t="n">
        <v>45978</v>
      </c>
      <c r="I2" s="2" t="n">
        <v>46282</v>
      </c>
      <c r="J2" s="1">
        <f>ROUND((I2-H2)/30.4,1)</f>
        <v/>
      </c>
      <c r="K2" s="1" t="inlineStr">
        <is>
          <t>Yes with 90 days notice</t>
        </is>
      </c>
      <c r="L2" s="1" t="inlineStr">
        <is>
          <t>Recognized as milestones are accepted</t>
        </is>
      </c>
    </row>
    <row r="3">
      <c r="A3" s="1" t="inlineStr">
        <is>
          <t>BL-2026-0002</t>
        </is>
      </c>
      <c r="B3" s="1" t="inlineStr">
        <is>
          <t>SRR-MSA-2025-50</t>
        </is>
      </c>
      <c r="C3" s="1" t="inlineStr">
        <is>
          <t>Summit Ridge Retail</t>
        </is>
      </c>
      <c r="D3" s="1" t="inlineStr">
        <is>
          <t>Platform subscription</t>
        </is>
      </c>
      <c r="E3" s="1" t="n">
        <v>3145080.11</v>
      </c>
      <c r="F3" s="1" t="n">
        <v>1509638.45</v>
      </c>
      <c r="G3" s="1">
        <f>ROUND(E3-F3,2)</f>
        <v/>
      </c>
      <c r="H3" s="2" t="n">
        <v>45996</v>
      </c>
      <c r="I3" s="2" t="n">
        <v>46573</v>
      </c>
      <c r="J3" s="1">
        <f>ROUND((I3-H3)/30.4,1)</f>
        <v/>
      </c>
      <c r="K3" s="1" t="inlineStr">
        <is>
          <t>No</t>
        </is>
      </c>
      <c r="L3" s="1" t="inlineStr">
        <is>
          <t>Includes a renewal option not yet exercised</t>
        </is>
      </c>
    </row>
    <row r="4">
      <c r="A4" s="1" t="inlineStr">
        <is>
          <t>BL-2026-0003</t>
        </is>
      </c>
      <c r="B4" s="1" t="inlineStr">
        <is>
          <t>BWA-MSA-2025-54</t>
        </is>
      </c>
      <c r="C4" s="1" t="inlineStr">
        <is>
          <t>Bellweather Auto Group</t>
        </is>
      </c>
      <c r="D4" s="1" t="inlineStr">
        <is>
          <t>Platform subscription</t>
        </is>
      </c>
      <c r="E4" s="1" t="n">
        <v>1214187.14</v>
      </c>
      <c r="F4" s="1" t="n">
        <v>376398.01</v>
      </c>
      <c r="G4" s="1">
        <f>ROUND(E4-F4,2)</f>
        <v/>
      </c>
      <c r="H4" s="2" t="n">
        <v>45751</v>
      </c>
      <c r="I4" s="2" t="n">
        <v>46787</v>
      </c>
      <c r="J4" s="1">
        <f>ROUND((I4-H4)/30.4,1)</f>
        <v/>
      </c>
      <c r="K4" s="1" t="inlineStr">
        <is>
          <t>No</t>
        </is>
      </c>
      <c r="L4" s="1" t="inlineStr">
        <is>
          <t>Recognized as milestones are accepted</t>
        </is>
      </c>
    </row>
    <row r="5">
      <c r="A5" s="1" t="inlineStr">
        <is>
          <t>BL-2026-0004</t>
        </is>
      </c>
      <c r="B5" s="1" t="inlineStr">
        <is>
          <t>JHS-MSA-2026-47</t>
        </is>
      </c>
      <c r="C5" s="1" t="inlineStr">
        <is>
          <t>Juniper Health Supply</t>
        </is>
      </c>
      <c r="D5" s="1" t="inlineStr">
        <is>
          <t>Platform subscription</t>
        </is>
      </c>
      <c r="E5" s="1" t="n">
        <v>1269769.05</v>
      </c>
      <c r="F5" s="1" t="n">
        <v>88883.83</v>
      </c>
      <c r="G5" s="1">
        <f>ROUND(E5-F5,2)</f>
        <v/>
      </c>
      <c r="H5" s="2" t="n">
        <v>46084</v>
      </c>
      <c r="I5" s="2" t="n">
        <v>46298</v>
      </c>
      <c r="J5" s="1">
        <f>ROUND((I5-H5)/30.4,1)</f>
        <v/>
      </c>
      <c r="K5" s="1" t="inlineStr">
        <is>
          <t>No</t>
        </is>
      </c>
      <c r="L5" s="1" t="inlineStr">
        <is>
          <t>Includes a renewal option not yet exercised</t>
        </is>
      </c>
    </row>
    <row r="6">
      <c r="A6" s="1" t="inlineStr">
        <is>
          <t>BL-2026-0005</t>
        </is>
      </c>
      <c r="B6" s="1" t="inlineStr">
        <is>
          <t>DBI-MSA-2025-57</t>
        </is>
      </c>
      <c r="C6" s="1" t="inlineStr">
        <is>
          <t>Dunbar Industrial</t>
        </is>
      </c>
      <c r="D6" s="1" t="inlineStr">
        <is>
          <t>Support and spares</t>
        </is>
      </c>
      <c r="E6" s="1" t="n">
        <v>3822654.93</v>
      </c>
      <c r="F6" s="1" t="n">
        <v>1108569.93</v>
      </c>
      <c r="G6" s="1">
        <f>ROUND(E6-F6,2)</f>
        <v/>
      </c>
      <c r="H6" s="2" t="n">
        <v>45818</v>
      </c>
      <c r="I6" s="2" t="n">
        <v>46793</v>
      </c>
      <c r="J6" s="1">
        <f>ROUND((I6-H6)/30.4,1)</f>
        <v/>
      </c>
      <c r="K6" s="1" t="inlineStr">
        <is>
          <t>Yes on convenience</t>
        </is>
      </c>
      <c r="L6" s="1" t="inlineStr">
        <is>
          <t>Partially invoiced in advance</t>
        </is>
      </c>
    </row>
    <row r="7">
      <c r="A7" s="1" t="inlineStr">
        <is>
          <t>BL-2026-0006</t>
        </is>
      </c>
      <c r="B7" s="1" t="inlineStr">
        <is>
          <t>FTM-MSA-2025-82</t>
        </is>
      </c>
      <c r="C7" s="1" t="inlineStr">
        <is>
          <t>Fathom Mobility</t>
        </is>
      </c>
      <c r="D7" s="1" t="inlineStr">
        <is>
          <t>Platform subscription</t>
        </is>
      </c>
      <c r="E7" s="1" t="n">
        <v>2421909.79</v>
      </c>
      <c r="F7" s="1" t="n">
        <v>775011.13</v>
      </c>
      <c r="G7" s="1">
        <f>ROUND(E7-F7,2)</f>
        <v/>
      </c>
      <c r="H7" s="2" t="n">
        <v>45911</v>
      </c>
      <c r="I7" s="2" t="n">
        <v>46823</v>
      </c>
      <c r="J7" s="1">
        <f>ROUND((I7-H7)/30.4,1)</f>
        <v/>
      </c>
      <c r="K7" s="1" t="inlineStr">
        <is>
          <t>No</t>
        </is>
      </c>
      <c r="L7" s="1" t="inlineStr">
        <is>
          <t>Includes a renewal option not yet exercised</t>
        </is>
      </c>
    </row>
    <row r="8">
      <c r="A8" s="1" t="inlineStr">
        <is>
          <t>BL-2026-0007</t>
        </is>
      </c>
      <c r="B8" s="1" t="inlineStr">
        <is>
          <t>HLS-MSA-2026-24</t>
        </is>
      </c>
      <c r="C8" s="1" t="inlineStr">
        <is>
          <t>Harborline Systems</t>
        </is>
      </c>
      <c r="D8" s="1" t="inlineStr">
        <is>
          <t>Deployment services</t>
        </is>
      </c>
      <c r="E8" s="1" t="n">
        <v>677044.26</v>
      </c>
      <c r="F8" s="1" t="n">
        <v>352063.02</v>
      </c>
      <c r="G8" s="1">
        <f>ROUND(E8-F8,2)</f>
        <v/>
      </c>
      <c r="H8" s="2" t="n">
        <v>46140</v>
      </c>
      <c r="I8" s="2" t="n">
        <v>47115</v>
      </c>
      <c r="J8" s="1">
        <f>ROUND((I8-H8)/30.4,1)</f>
        <v/>
      </c>
      <c r="K8" s="1" t="inlineStr">
        <is>
          <t>No</t>
        </is>
      </c>
      <c r="L8" s="1" t="inlineStr">
        <is>
          <t>Awaiting site readiness before recognition starts</t>
        </is>
      </c>
    </row>
    <row r="9">
      <c r="A9" s="1" t="inlineStr">
        <is>
          <t>BL-2026-0008</t>
        </is>
      </c>
      <c r="B9" s="1" t="inlineStr">
        <is>
          <t>EWP-MSA-2025-44</t>
        </is>
      </c>
      <c r="C9" s="1" t="inlineStr">
        <is>
          <t>Elmsworth Publishing</t>
        </is>
      </c>
      <c r="D9" s="1" t="inlineStr">
        <is>
          <t>Remote operations</t>
        </is>
      </c>
      <c r="E9" s="1" t="n">
        <v>2752177.94</v>
      </c>
      <c r="F9" s="1" t="n">
        <v>1733872.1</v>
      </c>
      <c r="G9" s="1">
        <f>ROUND(E9-F9,2)</f>
        <v/>
      </c>
      <c r="H9" s="2" t="n">
        <v>45862</v>
      </c>
      <c r="I9" s="2" t="n">
        <v>46319</v>
      </c>
      <c r="J9" s="1">
        <f>ROUND((I9-H9)/30.4,1)</f>
        <v/>
      </c>
      <c r="K9" s="1" t="inlineStr">
        <is>
          <t>Yes with 90 days notice</t>
        </is>
      </c>
      <c r="L9" s="1" t="inlineStr">
        <is>
          <t>Includes a renewal option not yet exercised</t>
        </is>
      </c>
    </row>
    <row r="10">
      <c r="A10" s="1" t="inlineStr">
        <is>
          <t>BL-2026-0009</t>
        </is>
      </c>
      <c r="B10" s="1" t="inlineStr">
        <is>
          <t>CMS-MSA-2025-65</t>
        </is>
      </c>
      <c r="C10" s="1" t="inlineStr">
        <is>
          <t>Calder Marine Supply</t>
        </is>
      </c>
      <c r="D10" s="1" t="inlineStr">
        <is>
          <t>Robot systems</t>
        </is>
      </c>
      <c r="E10" s="1" t="n">
        <v>1102173.81</v>
      </c>
      <c r="F10" s="1" t="n">
        <v>484956.48</v>
      </c>
      <c r="G10" s="1">
        <f>ROUND(E10-F10,2)</f>
        <v/>
      </c>
      <c r="H10" s="2" t="n">
        <v>45915</v>
      </c>
      <c r="I10" s="2" t="n">
        <v>46341</v>
      </c>
      <c r="J10" s="1">
        <f>ROUND((I10-H10)/30.4,1)</f>
        <v/>
      </c>
      <c r="K10" s="1" t="inlineStr">
        <is>
          <t>Yes on convenience</t>
        </is>
      </c>
      <c r="L10" s="1" t="inlineStr">
        <is>
          <t>Partially invoiced in advance</t>
        </is>
      </c>
    </row>
    <row r="11">
      <c r="A11" s="1" t="inlineStr">
        <is>
          <t>BL-2026-0010</t>
        </is>
      </c>
      <c r="B11" s="1" t="inlineStr">
        <is>
          <t>MDY-MSA-2025-62</t>
        </is>
      </c>
      <c r="C11" s="1" t="inlineStr">
        <is>
          <t>Meridian Dynamics</t>
        </is>
      </c>
      <c r="D11" s="1" t="inlineStr">
        <is>
          <t>Support and spares</t>
        </is>
      </c>
      <c r="E11" s="1" t="n">
        <v>2783653.43</v>
      </c>
      <c r="F11" s="1" t="n">
        <v>1308317.11</v>
      </c>
      <c r="G11" s="1">
        <f>ROUND(E11-F11,2)</f>
        <v/>
      </c>
      <c r="H11" s="2" t="n">
        <v>46000</v>
      </c>
      <c r="I11" s="2" t="n">
        <v>46212</v>
      </c>
      <c r="J11" s="1">
        <f>ROUND((I11-H11)/30.4,1)</f>
        <v/>
      </c>
      <c r="K11" s="1" t="inlineStr">
        <is>
          <t>Yes with 90 days notice</t>
        </is>
      </c>
      <c r="L11" s="1" t="inlineStr">
        <is>
          <t>Partially invoiced in advance</t>
        </is>
      </c>
    </row>
    <row r="12">
      <c r="A12" s="1" t="inlineStr">
        <is>
          <t>BL-2026-0011</t>
        </is>
      </c>
      <c r="B12" s="1" t="inlineStr">
        <is>
          <t>MDY-MSA-2025-33</t>
        </is>
      </c>
      <c r="C12" s="1" t="inlineStr">
        <is>
          <t>Meridian Dynamics</t>
        </is>
      </c>
      <c r="D12" s="1" t="inlineStr">
        <is>
          <t>Support and spares</t>
        </is>
      </c>
      <c r="E12" s="1" t="n">
        <v>4032304.46</v>
      </c>
      <c r="F12" s="1" t="n">
        <v>766137.85</v>
      </c>
      <c r="G12" s="1">
        <f>ROUND(E12-F12,2)</f>
        <v/>
      </c>
      <c r="H12" s="2" t="n">
        <v>45827</v>
      </c>
      <c r="I12" s="2" t="n">
        <v>46131</v>
      </c>
      <c r="J12" s="1">
        <f>ROUND((I12-H12)/30.4,1)</f>
        <v/>
      </c>
      <c r="K12" s="1" t="inlineStr">
        <is>
          <t>No</t>
        </is>
      </c>
      <c r="L12" s="1" t="inlineStr">
        <is>
          <t>Includes a renewal option not yet exercised</t>
        </is>
      </c>
    </row>
    <row r="13">
      <c r="A13" s="1" t="inlineStr">
        <is>
          <t>BL-2026-0012</t>
        </is>
      </c>
      <c r="B13" s="1" t="inlineStr">
        <is>
          <t>EVW-MSA-2025-31</t>
        </is>
      </c>
      <c r="C13" s="1" t="inlineStr">
        <is>
          <t>Evergreen Warehousing</t>
        </is>
      </c>
      <c r="D13" s="1" t="inlineStr">
        <is>
          <t>Remote operations</t>
        </is>
      </c>
      <c r="E13" s="1" t="n">
        <v>3762745.21</v>
      </c>
      <c r="F13" s="1" t="n">
        <v>752549.04</v>
      </c>
      <c r="G13" s="1">
        <f>ROUND(E13-F13,2)</f>
        <v/>
      </c>
      <c r="H13" s="2" t="n">
        <v>45890</v>
      </c>
      <c r="I13" s="2" t="n">
        <v>46712</v>
      </c>
      <c r="J13" s="1">
        <f>ROUND((I13-H13)/30.4,1)</f>
        <v/>
      </c>
      <c r="K13" s="1" t="inlineStr">
        <is>
          <t>Yes with 90 days notice</t>
        </is>
      </c>
      <c r="L13" s="1" t="inlineStr">
        <is>
          <t>Straight-line over the subscription term</t>
        </is>
      </c>
    </row>
    <row r="14">
      <c r="A14" s="1" t="inlineStr">
        <is>
          <t>BL-2026-0013</t>
        </is>
      </c>
      <c r="B14" s="1" t="inlineStr">
        <is>
          <t>CMS-MSA-2025-42</t>
        </is>
      </c>
      <c r="C14" s="1" t="inlineStr">
        <is>
          <t>Calder Marine Supply</t>
        </is>
      </c>
      <c r="D14" s="1" t="inlineStr">
        <is>
          <t>Platform subscription</t>
        </is>
      </c>
      <c r="E14" s="1" t="n">
        <v>2676992.09</v>
      </c>
      <c r="F14" s="1" t="n">
        <v>0</v>
      </c>
      <c r="G14" s="1">
        <f>ROUND(E14-F14,2)</f>
        <v/>
      </c>
      <c r="H14" s="2" t="n">
        <v>46017</v>
      </c>
      <c r="I14" s="2" t="n">
        <v>47052</v>
      </c>
      <c r="J14" s="1">
        <f>ROUND((I14-H14)/30.4,1)</f>
        <v/>
      </c>
      <c r="K14" s="1" t="inlineStr">
        <is>
          <t>No</t>
        </is>
      </c>
      <c r="L14" s="1" t="inlineStr">
        <is>
          <t>Recognized as milestones are accepted</t>
        </is>
      </c>
    </row>
    <row r="15">
      <c r="A15" s="1" t="inlineStr">
        <is>
          <t>BL-2026-0014</t>
        </is>
      </c>
      <c r="B15" s="1" t="inlineStr">
        <is>
          <t>FTM-MSA-2025-49</t>
        </is>
      </c>
      <c r="C15" s="1" t="inlineStr">
        <is>
          <t>Fathom Mobility</t>
        </is>
      </c>
      <c r="D15" s="1" t="inlineStr">
        <is>
          <t>Deployment services</t>
        </is>
      </c>
      <c r="E15" s="1" t="n">
        <v>718495.55</v>
      </c>
      <c r="F15" s="1" t="n">
        <v>459837.15</v>
      </c>
      <c r="G15" s="1">
        <f>ROUND(E15-F15,2)</f>
        <v/>
      </c>
      <c r="H15" s="2" t="n">
        <v>45831</v>
      </c>
      <c r="I15" s="2" t="n">
        <v>46379</v>
      </c>
      <c r="J15" s="1">
        <f>ROUND((I15-H15)/30.4,1)</f>
        <v/>
      </c>
      <c r="K15" s="1" t="inlineStr">
        <is>
          <t>Yes on convenience</t>
        </is>
      </c>
      <c r="L15" s="1" t="inlineStr">
        <is>
          <t>Partially invoiced in advance</t>
        </is>
      </c>
    </row>
    <row r="16">
      <c r="A16" s="1" t="inlineStr">
        <is>
          <t>BL-2026-0015</t>
        </is>
      </c>
      <c r="B16" s="1" t="inlineStr">
        <is>
          <t>AST-MSA-2026-69</t>
        </is>
      </c>
      <c r="C16" s="1" t="inlineStr">
        <is>
          <t>Asterion Logistics</t>
        </is>
      </c>
      <c r="D16" s="1" t="inlineStr">
        <is>
          <t>Robot systems</t>
        </is>
      </c>
      <c r="E16" s="1" t="n">
        <v>1434808.17</v>
      </c>
      <c r="F16" s="1" t="n">
        <v>918277.23</v>
      </c>
      <c r="G16" s="1">
        <f>ROUND(E16-F16,2)</f>
        <v/>
      </c>
      <c r="H16" s="2" t="n">
        <v>46139</v>
      </c>
      <c r="I16" s="2" t="n">
        <v>46504</v>
      </c>
      <c r="J16" s="1">
        <f>ROUND((I16-H16)/30.4,1)</f>
        <v/>
      </c>
      <c r="K16" s="1" t="inlineStr">
        <is>
          <t>No</t>
        </is>
      </c>
      <c r="L16" s="1" t="inlineStr">
        <is>
          <t>Awaiting site readiness before recognition starts</t>
        </is>
      </c>
    </row>
    <row r="17">
      <c r="A17" s="1" t="inlineStr">
        <is>
          <t>BL-2026-0016</t>
        </is>
      </c>
      <c r="B17" s="1" t="inlineStr">
        <is>
          <t>ABT-MSA-2026-26</t>
        </is>
      </c>
      <c r="C17" s="1" t="inlineStr">
        <is>
          <t>Alderbrook Textiles</t>
        </is>
      </c>
      <c r="D17" s="1" t="inlineStr">
        <is>
          <t>Remote operations</t>
        </is>
      </c>
      <c r="E17" s="1" t="n">
        <v>4160423.87</v>
      </c>
      <c r="F17" s="1" t="n">
        <v>2080211.94</v>
      </c>
      <c r="G17" s="1">
        <f>ROUND(E17-F17,2)</f>
        <v/>
      </c>
      <c r="H17" s="2" t="n">
        <v>46126</v>
      </c>
      <c r="I17" s="2" t="n">
        <v>47010</v>
      </c>
      <c r="J17" s="1">
        <f>ROUND((I17-H17)/30.4,1)</f>
        <v/>
      </c>
      <c r="K17" s="1" t="inlineStr">
        <is>
          <t>No</t>
        </is>
      </c>
      <c r="L17" s="1" t="inlineStr">
        <is>
          <t>Includes a renewal option not yet exercised</t>
        </is>
      </c>
    </row>
    <row r="18">
      <c r="A18" s="1" t="inlineStr">
        <is>
          <t>BL-2026-0017</t>
        </is>
      </c>
      <c r="B18" s="1" t="inlineStr">
        <is>
          <t>CFF-MSA-2025-86</t>
        </is>
      </c>
      <c r="C18" s="1" t="inlineStr">
        <is>
          <t>Crestline Fulfillment</t>
        </is>
      </c>
      <c r="D18" s="1" t="inlineStr">
        <is>
          <t>Robot systems</t>
        </is>
      </c>
      <c r="E18" s="1" t="n">
        <v>193760.44</v>
      </c>
      <c r="F18" s="1" t="n">
        <v>87192.2</v>
      </c>
      <c r="G18" s="1">
        <f>ROUND(E18-F18,2)</f>
        <v/>
      </c>
      <c r="H18" s="2" t="n">
        <v>45806</v>
      </c>
      <c r="I18" s="2" t="n">
        <v>46597</v>
      </c>
      <c r="J18" s="1">
        <f>ROUND((I18-H18)/30.4,1)</f>
        <v/>
      </c>
      <c r="K18" s="1" t="inlineStr">
        <is>
          <t>No</t>
        </is>
      </c>
      <c r="L18" s="1" t="inlineStr">
        <is>
          <t>Straight-line over the subscription term</t>
        </is>
      </c>
    </row>
    <row r="19">
      <c r="A19" s="1" t="inlineStr">
        <is>
          <t>BL-2026-0018</t>
        </is>
      </c>
      <c r="B19" s="1" t="inlineStr">
        <is>
          <t>CMS-MSA-2025-29</t>
        </is>
      </c>
      <c r="C19" s="1" t="inlineStr">
        <is>
          <t>Calder Marine Supply</t>
        </is>
      </c>
      <c r="D19" s="1" t="inlineStr">
        <is>
          <t>Support and spares</t>
        </is>
      </c>
      <c r="E19" s="1" t="n">
        <v>847940.75</v>
      </c>
      <c r="F19" s="1" t="n">
        <v>262861.63</v>
      </c>
      <c r="G19" s="1">
        <f>ROUND(E19-F19,2)</f>
        <v/>
      </c>
      <c r="H19" s="2" t="n">
        <v>45909</v>
      </c>
      <c r="I19" s="2" t="n">
        <v>47096</v>
      </c>
      <c r="J19" s="1">
        <f>ROUND((I19-H19)/30.4,1)</f>
        <v/>
      </c>
      <c r="K19" s="1" t="inlineStr">
        <is>
          <t>Yes on convenience</t>
        </is>
      </c>
      <c r="L19" s="1" t="inlineStr">
        <is>
          <t>Awaiting site readiness before recognition starts</t>
        </is>
      </c>
    </row>
    <row r="20">
      <c r="A20" s="1" t="inlineStr">
        <is>
          <t>BL-2026-0019</t>
        </is>
      </c>
      <c r="B20" s="1" t="inlineStr">
        <is>
          <t>KPP-MSA-2026-65</t>
        </is>
      </c>
      <c r="C20" s="1" t="inlineStr">
        <is>
          <t>Keystone Paper &amp; Pack</t>
        </is>
      </c>
      <c r="D20" s="1" t="inlineStr">
        <is>
          <t>Remote operations</t>
        </is>
      </c>
      <c r="E20" s="1" t="n">
        <v>400559.95</v>
      </c>
      <c r="F20" s="1" t="n">
        <v>324453.56</v>
      </c>
      <c r="G20" s="1">
        <f>ROUND(E20-F20,2)</f>
        <v/>
      </c>
      <c r="H20" s="2" t="n">
        <v>46086</v>
      </c>
      <c r="I20" s="2" t="n">
        <v>46817</v>
      </c>
      <c r="J20" s="1">
        <f>ROUND((I20-H20)/30.4,1)</f>
        <v/>
      </c>
      <c r="K20" s="1" t="inlineStr">
        <is>
          <t>Yes with 90 days notice</t>
        </is>
      </c>
      <c r="L20" s="1" t="inlineStr">
        <is>
          <t>Partially invoiced in advance</t>
        </is>
      </c>
    </row>
    <row r="21">
      <c r="A21" s="1" t="inlineStr">
        <is>
          <t>BL-2026-0020</t>
        </is>
      </c>
      <c r="B21" s="1" t="inlineStr">
        <is>
          <t>DGC-MSA-2026-83</t>
        </is>
      </c>
      <c r="C21" s="1" t="inlineStr">
        <is>
          <t>Dorsey Grain Cooperative</t>
        </is>
      </c>
      <c r="D21" s="1" t="inlineStr">
        <is>
          <t>Robot systems</t>
        </is>
      </c>
      <c r="E21" s="1" t="n">
        <v>1228171.71</v>
      </c>
      <c r="F21" s="1" t="n">
        <v>491268.68</v>
      </c>
      <c r="G21" s="1">
        <f>ROUND(E21-F21,2)</f>
        <v/>
      </c>
      <c r="H21" s="2" t="n">
        <v>46160</v>
      </c>
      <c r="I21" s="2" t="n">
        <v>46770</v>
      </c>
      <c r="J21" s="1">
        <f>ROUND((I21-H21)/30.4,1)</f>
        <v/>
      </c>
      <c r="K21" s="1" t="inlineStr">
        <is>
          <t>Yes on convenience</t>
        </is>
      </c>
      <c r="L21" s="1" t="inlineStr">
        <is>
          <t>Straight-line over the subscription term</t>
        </is>
      </c>
    </row>
    <row r="22">
      <c r="A22" s="1" t="inlineStr">
        <is>
          <t>BL-2026-0021</t>
        </is>
      </c>
      <c r="B22" s="1" t="inlineStr">
        <is>
          <t>AST-MSA-2025-45</t>
        </is>
      </c>
      <c r="C22" s="1" t="inlineStr">
        <is>
          <t>Asterion Logistics</t>
        </is>
      </c>
      <c r="D22" s="1" t="inlineStr">
        <is>
          <t>Deployment services</t>
        </is>
      </c>
      <c r="E22" s="1" t="n">
        <v>2197337.79</v>
      </c>
      <c r="F22" s="1" t="n">
        <v>878935.12</v>
      </c>
      <c r="G22" s="1">
        <f>ROUND(E22-F22,2)</f>
        <v/>
      </c>
      <c r="H22" s="2" t="n">
        <v>45835</v>
      </c>
      <c r="I22" s="2" t="n">
        <v>46534</v>
      </c>
      <c r="J22" s="1">
        <f>ROUND((I22-H22)/30.4,1)</f>
        <v/>
      </c>
      <c r="K22" s="1" t="inlineStr">
        <is>
          <t>No</t>
        </is>
      </c>
      <c r="L22" s="1" t="inlineStr">
        <is>
          <t>Partially invoiced in advance</t>
        </is>
      </c>
    </row>
    <row r="23">
      <c r="A23" s="1" t="inlineStr">
        <is>
          <t>BL-2026-0022</t>
        </is>
      </c>
      <c r="B23" s="1" t="inlineStr">
        <is>
          <t>CFF-MSA-2025-36</t>
        </is>
      </c>
      <c r="C23" s="1" t="inlineStr">
        <is>
          <t>Crestline Fulfillment</t>
        </is>
      </c>
      <c r="D23" s="1" t="inlineStr">
        <is>
          <t>Robot systems</t>
        </is>
      </c>
      <c r="E23" s="1" t="n">
        <v>1511567.1</v>
      </c>
      <c r="F23" s="1" t="n">
        <v>302313.42</v>
      </c>
      <c r="G23" s="1">
        <f>ROUND(E23-F23,2)</f>
        <v/>
      </c>
      <c r="H23" s="2" t="n">
        <v>45779</v>
      </c>
      <c r="I23" s="2" t="n">
        <v>47059</v>
      </c>
      <c r="J23" s="1">
        <f>ROUND((I23-H23)/30.4,1)</f>
        <v/>
      </c>
      <c r="K23" s="1" t="inlineStr">
        <is>
          <t>Yes with 90 days notice</t>
        </is>
      </c>
      <c r="L23" s="1" t="inlineStr">
        <is>
          <t>Awaiting site readiness before recognition starts</t>
        </is>
      </c>
    </row>
    <row r="24">
      <c r="A24" s="1" t="inlineStr">
        <is>
          <t>BL-2026-0023</t>
        </is>
      </c>
      <c r="B24" s="1" t="inlineStr">
        <is>
          <t>CMS-MSA-2025-31</t>
        </is>
      </c>
      <c r="C24" s="1" t="inlineStr">
        <is>
          <t>Calder Marine Supply</t>
        </is>
      </c>
      <c r="D24" s="1" t="inlineStr">
        <is>
          <t>Deployment services</t>
        </is>
      </c>
      <c r="E24" s="1" t="n">
        <v>1889308.54</v>
      </c>
      <c r="F24" s="1" t="n">
        <v>18893.09</v>
      </c>
      <c r="G24" s="1">
        <f>ROUND(E24-F24,2)</f>
        <v/>
      </c>
      <c r="H24" s="2" t="n">
        <v>45926</v>
      </c>
      <c r="I24" s="2" t="n">
        <v>47113</v>
      </c>
      <c r="J24" s="1">
        <f>ROUND((I24-H24)/30.4,1)</f>
        <v/>
      </c>
      <c r="K24" s="1" t="inlineStr">
        <is>
          <t>No</t>
        </is>
      </c>
      <c r="L24" s="1" t="inlineStr">
        <is>
          <t>Straight-line over the subscription term</t>
        </is>
      </c>
    </row>
    <row r="25">
      <c r="A25" s="1" t="inlineStr">
        <is>
          <t>BL-2026-0024</t>
        </is>
      </c>
      <c r="B25" s="1" t="inlineStr">
        <is>
          <t>OGF-MSA-2025-33</t>
        </is>
      </c>
      <c r="C25" s="1" t="inlineStr">
        <is>
          <t>Orchard Grove Foods</t>
        </is>
      </c>
      <c r="D25" s="1" t="inlineStr">
        <is>
          <t>Platform subscription</t>
        </is>
      </c>
      <c r="E25" s="1" t="n">
        <v>603493.97</v>
      </c>
      <c r="F25" s="1" t="n">
        <v>187083.13</v>
      </c>
      <c r="G25" s="1">
        <f>ROUND(E25-F25,2)</f>
        <v/>
      </c>
      <c r="H25" s="2" t="n">
        <v>45926</v>
      </c>
      <c r="I25" s="2" t="n">
        <v>46747</v>
      </c>
      <c r="J25" s="1">
        <f>ROUND((I25-H25)/30.4,1)</f>
        <v/>
      </c>
      <c r="K25" s="1" t="inlineStr">
        <is>
          <t>No</t>
        </is>
      </c>
      <c r="L25" s="1" t="inlineStr">
        <is>
          <t>Straight-line over the subscription term</t>
        </is>
      </c>
    </row>
    <row r="26">
      <c r="A26" s="1" t="inlineStr">
        <is>
          <t>BL-2026-0025</t>
        </is>
      </c>
      <c r="B26" s="1" t="inlineStr">
        <is>
          <t>IVG-MSA-2025-32</t>
        </is>
      </c>
      <c r="C26" s="1" t="inlineStr">
        <is>
          <t>Ironvale Grocery Group</t>
        </is>
      </c>
      <c r="D26" s="1" t="inlineStr">
        <is>
          <t>Robot systems</t>
        </is>
      </c>
      <c r="E26" s="1" t="n">
        <v>3245998.81</v>
      </c>
      <c r="F26" s="1" t="n">
        <v>2304659.16</v>
      </c>
      <c r="G26" s="1">
        <f>ROUND(E26-F26,2)</f>
        <v/>
      </c>
      <c r="H26" s="2" t="n">
        <v>45905</v>
      </c>
      <c r="I26" s="2" t="n">
        <v>46696</v>
      </c>
      <c r="J26" s="1">
        <f>ROUND((I26-H26)/30.4,1)</f>
        <v/>
      </c>
      <c r="K26" s="1" t="inlineStr">
        <is>
          <t>Yes with 90 days notice</t>
        </is>
      </c>
      <c r="L26" s="1" t="inlineStr">
        <is>
          <t>Straight-line over the subscription term</t>
        </is>
      </c>
    </row>
    <row r="27">
      <c r="A27" s="1" t="inlineStr">
        <is>
          <t>BL-2026-0026</t>
        </is>
      </c>
      <c r="B27" s="1" t="inlineStr">
        <is>
          <t>VRS-MSA-2025-56</t>
        </is>
      </c>
      <c r="C27" s="1" t="inlineStr">
        <is>
          <t>Vantage Robotics Supply</t>
        </is>
      </c>
      <c r="D27" s="1" t="inlineStr">
        <is>
          <t>Robot systems</t>
        </is>
      </c>
      <c r="E27" s="1" t="n">
        <v>872414.8</v>
      </c>
      <c r="F27" s="1" t="n">
        <v>514724.73</v>
      </c>
      <c r="G27" s="1">
        <f>ROUND(E27-F27,2)</f>
        <v/>
      </c>
      <c r="H27" s="2" t="n">
        <v>45770</v>
      </c>
      <c r="I27" s="2" t="n">
        <v>46196</v>
      </c>
      <c r="J27" s="1">
        <f>ROUND((I27-H27)/30.4,1)</f>
        <v/>
      </c>
      <c r="K27" s="1" t="inlineStr">
        <is>
          <t>Yes on convenience</t>
        </is>
      </c>
      <c r="L27" s="1" t="inlineStr">
        <is>
          <t>Includes a renewal option not yet exercised</t>
        </is>
      </c>
    </row>
    <row r="28">
      <c r="A28" s="1" t="inlineStr">
        <is>
          <t>BL-2026-0027</t>
        </is>
      </c>
      <c r="B28" s="1" t="inlineStr">
        <is>
          <t>EVW-MSA-2025-82</t>
        </is>
      </c>
      <c r="C28" s="1" t="inlineStr">
        <is>
          <t>Evergreen Warehousing</t>
        </is>
      </c>
      <c r="D28" s="1" t="inlineStr">
        <is>
          <t>Support and spares</t>
        </is>
      </c>
      <c r="E28" s="1" t="n">
        <v>3069541.8</v>
      </c>
      <c r="F28" s="1" t="n">
        <v>2117983.84</v>
      </c>
      <c r="G28" s="1">
        <f>ROUND(E28-F28,2)</f>
        <v/>
      </c>
      <c r="H28" s="2" t="n">
        <v>45960</v>
      </c>
      <c r="I28" s="2" t="n">
        <v>46446</v>
      </c>
      <c r="J28" s="1">
        <f>ROUND((I28-H28)/30.4,1)</f>
        <v/>
      </c>
      <c r="K28" s="1" t="inlineStr">
        <is>
          <t>Yes with 90 days notice</t>
        </is>
      </c>
      <c r="L28" s="1" t="inlineStr">
        <is>
          <t>Awaiting site readiness before recognition starts</t>
        </is>
      </c>
    </row>
    <row r="29">
      <c r="A29" s="1" t="inlineStr">
        <is>
          <t>BL-2026-0028</t>
        </is>
      </c>
      <c r="B29" s="1" t="inlineStr">
        <is>
          <t>EWP-MSA-2025-68</t>
        </is>
      </c>
      <c r="C29" s="1" t="inlineStr">
        <is>
          <t>Elmsworth Publishing</t>
        </is>
      </c>
      <c r="D29" s="1" t="inlineStr">
        <is>
          <t>Platform subscription</t>
        </is>
      </c>
      <c r="E29" s="1" t="n">
        <v>588186.33</v>
      </c>
      <c r="F29" s="1" t="n">
        <v>141164.72</v>
      </c>
      <c r="G29" s="1">
        <f>ROUND(E29-F29,2)</f>
        <v/>
      </c>
      <c r="H29" s="2" t="n">
        <v>45785</v>
      </c>
      <c r="I29" s="2" t="n">
        <v>47004</v>
      </c>
      <c r="J29" s="1">
        <f>ROUND((I29-H29)/30.4,1)</f>
        <v/>
      </c>
      <c r="K29" s="1" t="inlineStr">
        <is>
          <t>No</t>
        </is>
      </c>
      <c r="L29" s="1" t="inlineStr">
        <is>
          <t>Includes a renewal option not yet exercised</t>
        </is>
      </c>
    </row>
    <row r="30">
      <c r="A30" s="1" t="inlineStr">
        <is>
          <t>BL-2026-0029</t>
        </is>
      </c>
      <c r="B30" s="1" t="inlineStr">
        <is>
          <t>WCD-MSA-2025-18</t>
        </is>
      </c>
      <c r="C30" s="1" t="inlineStr">
        <is>
          <t>Westlake Chemical Depot</t>
        </is>
      </c>
      <c r="D30" s="1" t="inlineStr">
        <is>
          <t>Deployment services</t>
        </is>
      </c>
      <c r="E30" s="1" t="n">
        <v>1210518.54</v>
      </c>
      <c r="F30" s="1" t="n">
        <v>714205.9399999999</v>
      </c>
      <c r="G30" s="1">
        <f>ROUND(E30-F30,2)</f>
        <v/>
      </c>
      <c r="H30" s="2" t="n">
        <v>45798</v>
      </c>
      <c r="I30" s="2" t="n">
        <v>46012</v>
      </c>
      <c r="J30" s="1">
        <f>ROUND((I30-H30)/30.4,1)</f>
        <v/>
      </c>
      <c r="K30" s="1" t="inlineStr">
        <is>
          <t>Yes on convenience</t>
        </is>
      </c>
      <c r="L30" s="1" t="inlineStr">
        <is>
          <t>Includes a renewal option not yet exercised</t>
        </is>
      </c>
    </row>
    <row r="31">
      <c r="A31" s="1" t="inlineStr">
        <is>
          <t>BL-2026-0030</t>
        </is>
      </c>
      <c r="B31" s="1" t="inlineStr">
        <is>
          <t>YHG-MSA-2026-51</t>
        </is>
      </c>
      <c r="C31" s="1" t="inlineStr">
        <is>
          <t>Yarrow Home Goods</t>
        </is>
      </c>
      <c r="D31" s="1" t="inlineStr">
        <is>
          <t>Platform subscription</t>
        </is>
      </c>
      <c r="E31" s="1" t="n">
        <v>442181.4</v>
      </c>
      <c r="F31" s="1" t="n">
        <v>291839.72</v>
      </c>
      <c r="G31" s="1">
        <f>ROUND(E31-F31,2)</f>
        <v/>
      </c>
      <c r="H31" s="2" t="n">
        <v>46023</v>
      </c>
      <c r="I31" s="2" t="n">
        <v>46753</v>
      </c>
      <c r="J31" s="1">
        <f>ROUND((I31-H31)/30.4,1)</f>
        <v/>
      </c>
      <c r="K31" s="1" t="inlineStr">
        <is>
          <t>Yes with 90 days notice</t>
        </is>
      </c>
      <c r="L31" s="1" t="inlineStr">
        <is>
          <t>Awaiting site readiness before recognition starts</t>
        </is>
      </c>
    </row>
    <row r="32">
      <c r="A32" s="1" t="inlineStr">
        <is>
          <t>BL-2026-0031</t>
        </is>
      </c>
      <c r="B32" s="1" t="inlineStr">
        <is>
          <t>AST-MSA-2025-71</t>
        </is>
      </c>
      <c r="C32" s="1" t="inlineStr">
        <is>
          <t>Asterion Logistics</t>
        </is>
      </c>
      <c r="D32" s="1" t="inlineStr">
        <is>
          <t>Support and spares</t>
        </is>
      </c>
      <c r="E32" s="1" t="n">
        <v>1286169.76</v>
      </c>
      <c r="F32" s="1" t="n">
        <v>913180.53</v>
      </c>
      <c r="G32" s="1">
        <f>ROUND(E32-F32,2)</f>
        <v/>
      </c>
      <c r="H32" s="2" t="n">
        <v>45856</v>
      </c>
      <c r="I32" s="2" t="n">
        <v>46525</v>
      </c>
      <c r="J32" s="1">
        <f>ROUND((I32-H32)/30.4,1)</f>
        <v/>
      </c>
      <c r="K32" s="1" t="inlineStr">
        <is>
          <t>No</t>
        </is>
      </c>
      <c r="L32" s="1" t="inlineStr">
        <is>
          <t>Awaiting site readiness before recognition starts</t>
        </is>
      </c>
    </row>
    <row r="33">
      <c r="A33" s="1" t="inlineStr">
        <is>
          <t>BL-2026-0032</t>
        </is>
      </c>
      <c r="B33" s="1" t="inlineStr">
        <is>
          <t>BWA-MSA-2025-32</t>
        </is>
      </c>
      <c r="C33" s="1" t="inlineStr">
        <is>
          <t>Bellweather Auto Group</t>
        </is>
      </c>
      <c r="D33" s="1" t="inlineStr">
        <is>
          <t>Robot systems</t>
        </is>
      </c>
      <c r="E33" s="1" t="n">
        <v>1527074.8</v>
      </c>
      <c r="F33" s="1" t="n">
        <v>1114764.6</v>
      </c>
      <c r="G33" s="1">
        <f>ROUND(E33-F33,2)</f>
        <v/>
      </c>
      <c r="H33" s="2" t="n">
        <v>45905</v>
      </c>
      <c r="I33" s="2" t="n">
        <v>46512</v>
      </c>
      <c r="J33" s="1">
        <f>ROUND((I33-H33)/30.4,1)</f>
        <v/>
      </c>
      <c r="K33" s="1" t="inlineStr">
        <is>
          <t>Yes with 90 days notice</t>
        </is>
      </c>
      <c r="L33" s="1" t="inlineStr">
        <is>
          <t>Partially invoiced in advance</t>
        </is>
      </c>
    </row>
    <row r="34">
      <c r="A34" s="1" t="inlineStr">
        <is>
          <t>BL-2026-0033</t>
        </is>
      </c>
      <c r="B34" s="1" t="inlineStr">
        <is>
          <t>VRS-MSA-2025-73</t>
        </is>
      </c>
      <c r="C34" s="1" t="inlineStr">
        <is>
          <t>Vantage Robotics Supply</t>
        </is>
      </c>
      <c r="D34" s="1" t="inlineStr">
        <is>
          <t>Platform subscription</t>
        </is>
      </c>
      <c r="E34" s="1" t="n">
        <v>4234548</v>
      </c>
      <c r="F34" s="1" t="n">
        <v>338763.84</v>
      </c>
      <c r="G34" s="1">
        <f>ROUND(E34-F34,2)</f>
        <v/>
      </c>
      <c r="H34" s="2" t="n">
        <v>45775</v>
      </c>
      <c r="I34" s="2" t="n">
        <v>46354</v>
      </c>
      <c r="J34" s="1">
        <f>ROUND((I34-H34)/30.4,1)</f>
        <v/>
      </c>
      <c r="K34" s="1" t="inlineStr">
        <is>
          <t>No</t>
        </is>
      </c>
      <c r="L34" s="1" t="inlineStr">
        <is>
          <t>Straight-line over the subscription term</t>
        </is>
      </c>
    </row>
    <row r="35">
      <c r="A35" s="1" t="inlineStr">
        <is>
          <t>BL-2026-0034</t>
        </is>
      </c>
      <c r="B35" s="1" t="inlineStr">
        <is>
          <t>EWP-MSA-2025-47</t>
        </is>
      </c>
      <c r="C35" s="1" t="inlineStr">
        <is>
          <t>Elmsworth Publishing</t>
        </is>
      </c>
      <c r="D35" s="1" t="inlineStr">
        <is>
          <t>Platform subscription</t>
        </is>
      </c>
      <c r="E35" s="1" t="n">
        <v>1273062.24</v>
      </c>
      <c r="F35" s="1" t="n">
        <v>572878.01</v>
      </c>
      <c r="G35" s="1">
        <f>ROUND(E35-F35,2)</f>
        <v/>
      </c>
      <c r="H35" s="2" t="n">
        <v>46000</v>
      </c>
      <c r="I35" s="2" t="n">
        <v>47217</v>
      </c>
      <c r="J35" s="1">
        <f>ROUND((I35-H35)/30.4,1)</f>
        <v/>
      </c>
      <c r="K35" s="1" t="inlineStr">
        <is>
          <t>No</t>
        </is>
      </c>
      <c r="L35" s="1" t="inlineStr">
        <is>
          <t>Includes a renewal option not yet exercised</t>
        </is>
      </c>
    </row>
    <row r="36">
      <c r="A36" s="1" t="inlineStr">
        <is>
          <t>BL-2026-0035</t>
        </is>
      </c>
      <c r="B36" s="1" t="inlineStr">
        <is>
          <t>SRR-MSA-2025-30</t>
        </is>
      </c>
      <c r="C36" s="1" t="inlineStr">
        <is>
          <t>Summit Ridge Retail</t>
        </is>
      </c>
      <c r="D36" s="1" t="inlineStr">
        <is>
          <t>Deployment services</t>
        </is>
      </c>
      <c r="E36" s="1" t="n">
        <v>2377093.5</v>
      </c>
      <c r="F36" s="1" t="n">
        <v>309022.16</v>
      </c>
      <c r="G36" s="1">
        <f>ROUND(E36-F36,2)</f>
        <v/>
      </c>
      <c r="H36" s="2" t="n">
        <v>45930</v>
      </c>
      <c r="I36" s="2" t="n">
        <v>46598</v>
      </c>
      <c r="J36" s="1">
        <f>ROUND((I36-H36)/30.4,1)</f>
        <v/>
      </c>
      <c r="K36" s="1" t="inlineStr">
        <is>
          <t>No</t>
        </is>
      </c>
      <c r="L36" s="1" t="inlineStr">
        <is>
          <t>Includes a renewal option not yet exercised</t>
        </is>
      </c>
    </row>
    <row r="37">
      <c r="A37" s="1" t="inlineStr">
        <is>
          <t>BL-2026-0036</t>
        </is>
      </c>
      <c r="B37" s="1" t="inlineStr">
        <is>
          <t>CMS-MSA-2025-20</t>
        </is>
      </c>
      <c r="C37" s="1" t="inlineStr">
        <is>
          <t>Calder Marine Supply</t>
        </is>
      </c>
      <c r="D37" s="1" t="inlineStr">
        <is>
          <t>Support and spares</t>
        </is>
      </c>
      <c r="E37" s="1" t="n">
        <v>1870982.55</v>
      </c>
      <c r="F37" s="1" t="n">
        <v>860651.97</v>
      </c>
      <c r="G37" s="1">
        <f>ROUND(E37-F37,2)</f>
        <v/>
      </c>
      <c r="H37" s="2" t="n">
        <v>45800</v>
      </c>
      <c r="I37" s="2" t="n">
        <v>46775</v>
      </c>
      <c r="J37" s="1">
        <f>ROUND((I37-H37)/30.4,1)</f>
        <v/>
      </c>
      <c r="K37" s="1" t="inlineStr">
        <is>
          <t>No</t>
        </is>
      </c>
      <c r="L37" s="1" t="inlineStr">
        <is>
          <t>Recognized as milestones are accepted</t>
        </is>
      </c>
    </row>
    <row r="38">
      <c r="A38" s="1" t="inlineStr">
        <is>
          <t>BL-2026-0037</t>
        </is>
      </c>
      <c r="B38" s="1" t="inlineStr">
        <is>
          <t>KPP-MSA-2025-63</t>
        </is>
      </c>
      <c r="C38" s="1" t="inlineStr">
        <is>
          <t>Keystone Paper &amp; Pack</t>
        </is>
      </c>
      <c r="D38" s="1" t="inlineStr">
        <is>
          <t>Deployment services</t>
        </is>
      </c>
      <c r="E38" s="1" t="n">
        <v>918135.1800000001</v>
      </c>
      <c r="F38" s="1" t="n">
        <v>321347.31</v>
      </c>
      <c r="G38" s="1">
        <f>ROUND(E38-F38,2)</f>
        <v/>
      </c>
      <c r="H38" s="2" t="n">
        <v>45756</v>
      </c>
      <c r="I38" s="2" t="n">
        <v>47005</v>
      </c>
      <c r="J38" s="1">
        <f>ROUND((I38-H38)/30.4,1)</f>
        <v/>
      </c>
      <c r="K38" s="1" t="inlineStr">
        <is>
          <t>No</t>
        </is>
      </c>
      <c r="L38" s="1" t="inlineStr">
        <is>
          <t>Includes a renewal option not yet exercised</t>
        </is>
      </c>
    </row>
    <row r="39">
      <c r="A39" s="1" t="inlineStr">
        <is>
          <t>BL-2026-0038</t>
        </is>
      </c>
      <c r="B39" s="1" t="inlineStr">
        <is>
          <t>YHG-MSA-2025-80</t>
        </is>
      </c>
      <c r="C39" s="1" t="inlineStr">
        <is>
          <t>Yarrow Home Goods</t>
        </is>
      </c>
      <c r="D39" s="1" t="inlineStr">
        <is>
          <t>Deployment services</t>
        </is>
      </c>
      <c r="E39" s="1" t="n">
        <v>2000101.68</v>
      </c>
      <c r="F39" s="1" t="n">
        <v>780039.66</v>
      </c>
      <c r="G39" s="1">
        <f>ROUND(E39-F39,2)</f>
        <v/>
      </c>
      <c r="H39" s="2" t="n">
        <v>45940</v>
      </c>
      <c r="I39" s="2" t="n">
        <v>46578</v>
      </c>
      <c r="J39" s="1">
        <f>ROUND((I39-H39)/30.4,1)</f>
        <v/>
      </c>
      <c r="K39" s="1" t="inlineStr">
        <is>
          <t>Yes on convenience</t>
        </is>
      </c>
      <c r="L39" s="1" t="inlineStr">
        <is>
          <t>Straight-line over the subscription term</t>
        </is>
      </c>
    </row>
    <row r="40">
      <c r="A40" s="1" t="inlineStr">
        <is>
          <t>BL-2026-0039</t>
        </is>
      </c>
      <c r="B40" s="1" t="inlineStr">
        <is>
          <t>IVG-MSA-2025-69</t>
        </is>
      </c>
      <c r="C40" s="1" t="inlineStr">
        <is>
          <t>Ironvale Grocery Group</t>
        </is>
      </c>
      <c r="D40" s="1" t="inlineStr">
        <is>
          <t>Remote operations</t>
        </is>
      </c>
      <c r="E40" s="1" t="n">
        <v>1155051.32</v>
      </c>
      <c r="F40" s="1" t="n">
        <v>46202.05</v>
      </c>
      <c r="G40" s="1">
        <f>ROUND(E40-F40,2)</f>
        <v/>
      </c>
      <c r="H40" s="2" t="n">
        <v>45967</v>
      </c>
      <c r="I40" s="2" t="n">
        <v>46452</v>
      </c>
      <c r="J40" s="1">
        <f>ROUND((I40-H40)/30.4,1)</f>
        <v/>
      </c>
      <c r="K40" s="1" t="inlineStr">
        <is>
          <t>No</t>
        </is>
      </c>
      <c r="L40" s="1" t="inlineStr">
        <is>
          <t>Includes a renewal option not yet exercised</t>
        </is>
      </c>
    </row>
    <row r="41">
      <c r="A41" s="1" t="inlineStr">
        <is>
          <t>BL-2026-0040</t>
        </is>
      </c>
      <c r="B41" s="1" t="inlineStr">
        <is>
          <t>FTM-MSA-2026-51</t>
        </is>
      </c>
      <c r="C41" s="1" t="inlineStr">
        <is>
          <t>Fathom Mobility</t>
        </is>
      </c>
      <c r="D41" s="1" t="inlineStr">
        <is>
          <t>Platform subscription</t>
        </is>
      </c>
      <c r="E41" s="1" t="n">
        <v>3916390.32</v>
      </c>
      <c r="F41" s="1" t="n">
        <v>1801539.55</v>
      </c>
      <c r="G41" s="1">
        <f>ROUND(E41-F41,2)</f>
        <v/>
      </c>
      <c r="H41" s="2" t="n">
        <v>46122</v>
      </c>
      <c r="I41" s="2" t="n">
        <v>47128</v>
      </c>
      <c r="J41" s="1">
        <f>ROUND((I41-H41)/30.4,1)</f>
        <v/>
      </c>
      <c r="K41" s="1" t="inlineStr">
        <is>
          <t>No</t>
        </is>
      </c>
      <c r="L41" s="1" t="inlineStr">
        <is>
          <t>Recognized as milestones are accepted</t>
        </is>
      </c>
    </row>
    <row r="42">
      <c r="A42" s="1" t="inlineStr">
        <is>
          <t>BL-2026-0041</t>
        </is>
      </c>
      <c r="B42" s="1" t="inlineStr">
        <is>
          <t>AST-MSA-2025-56</t>
        </is>
      </c>
      <c r="C42" s="1" t="inlineStr">
        <is>
          <t>Asterion Logistics</t>
        </is>
      </c>
      <c r="D42" s="1" t="inlineStr">
        <is>
          <t>Remote operations</t>
        </is>
      </c>
      <c r="E42" s="1" t="n">
        <v>551696.98</v>
      </c>
      <c r="F42" s="1" t="n">
        <v>237229.7</v>
      </c>
      <c r="G42" s="1">
        <f>ROUND(E42-F42,2)</f>
        <v/>
      </c>
      <c r="H42" s="2" t="n">
        <v>45758</v>
      </c>
      <c r="I42" s="2" t="n">
        <v>46184</v>
      </c>
      <c r="J42" s="1">
        <f>ROUND((I42-H42)/30.4,1)</f>
        <v/>
      </c>
      <c r="K42" s="1" t="inlineStr">
        <is>
          <t>Yes with 90 days notice</t>
        </is>
      </c>
      <c r="L42" s="1" t="inlineStr">
        <is>
          <t>Recognized as milestones are accepted</t>
        </is>
      </c>
    </row>
    <row r="43">
      <c r="A43" s="1" t="inlineStr">
        <is>
          <t>BL-2026-0042</t>
        </is>
      </c>
      <c r="B43" s="1" t="inlineStr">
        <is>
          <t>BWA-MSA-2026-67</t>
        </is>
      </c>
      <c r="C43" s="1" t="inlineStr">
        <is>
          <t>Bellweather Auto Group</t>
        </is>
      </c>
      <c r="D43" s="1" t="inlineStr">
        <is>
          <t>Platform subscription</t>
        </is>
      </c>
      <c r="E43" s="1" t="n">
        <v>3206481.36</v>
      </c>
      <c r="F43" s="1" t="n">
        <v>2597249.9</v>
      </c>
      <c r="G43" s="1">
        <f>ROUND(E43-F43,2)</f>
        <v/>
      </c>
      <c r="H43" s="2" t="n">
        <v>46114</v>
      </c>
      <c r="I43" s="2" t="n">
        <v>46845</v>
      </c>
      <c r="J43" s="1">
        <f>ROUND((I43-H43)/30.4,1)</f>
        <v/>
      </c>
      <c r="K43" s="1" t="inlineStr">
        <is>
          <t>Yes on convenience</t>
        </is>
      </c>
      <c r="L43" s="1" t="inlineStr">
        <is>
          <t>Recognized as milestones are accepted</t>
        </is>
      </c>
    </row>
    <row r="44">
      <c r="A44" s="1" t="inlineStr">
        <is>
          <t>BL-2026-0043</t>
        </is>
      </c>
      <c r="B44" s="1" t="inlineStr">
        <is>
          <t>KPP-MSA-2025-16</t>
        </is>
      </c>
      <c r="C44" s="1" t="inlineStr">
        <is>
          <t>Keystone Paper &amp; Pack</t>
        </is>
      </c>
      <c r="D44" s="1" t="inlineStr">
        <is>
          <t>Robot systems</t>
        </is>
      </c>
      <c r="E44" s="1" t="n">
        <v>1399722.5</v>
      </c>
      <c r="F44" s="1" t="n">
        <v>797841.8199999999</v>
      </c>
      <c r="G44" s="1">
        <f>ROUND(E44-F44,2)</f>
        <v/>
      </c>
      <c r="H44" s="2" t="n">
        <v>45821</v>
      </c>
      <c r="I44" s="2" t="n">
        <v>46066</v>
      </c>
      <c r="J44" s="1">
        <f>ROUND((I44-H44)/30.4,1)</f>
        <v/>
      </c>
      <c r="K44" s="1" t="inlineStr">
        <is>
          <t>No</t>
        </is>
      </c>
      <c r="L44" s="1" t="inlineStr">
        <is>
          <t>Partially invoiced in advance</t>
        </is>
      </c>
    </row>
    <row r="45">
      <c r="A45" s="1" t="inlineStr">
        <is>
          <t>BL-2026-0044</t>
        </is>
      </c>
      <c r="B45" s="1" t="inlineStr">
        <is>
          <t>BWA-MSA-2025-15</t>
        </is>
      </c>
      <c r="C45" s="1" t="inlineStr">
        <is>
          <t>Bellweather Auto Group</t>
        </is>
      </c>
      <c r="D45" s="1" t="inlineStr">
        <is>
          <t>Deployment services</t>
        </is>
      </c>
      <c r="E45" s="1" t="n">
        <v>3398097.72</v>
      </c>
      <c r="F45" s="1" t="n">
        <v>0</v>
      </c>
      <c r="G45" s="1">
        <f>ROUND(E45-F45,2)</f>
        <v/>
      </c>
      <c r="H45" s="2" t="n">
        <v>45895</v>
      </c>
      <c r="I45" s="2" t="n">
        <v>46656</v>
      </c>
      <c r="J45" s="1">
        <f>ROUND((I45-H45)/30.4,1)</f>
        <v/>
      </c>
      <c r="K45" s="1" t="inlineStr">
        <is>
          <t>No</t>
        </is>
      </c>
      <c r="L45" s="1" t="inlineStr">
        <is>
          <t>Straight-line over the subscription term</t>
        </is>
      </c>
    </row>
    <row r="46">
      <c r="A46" s="1" t="inlineStr">
        <is>
          <t>BL-2026-0045</t>
        </is>
      </c>
      <c r="B46" s="1" t="inlineStr">
        <is>
          <t>VRS-MSA-2025-87</t>
        </is>
      </c>
      <c r="C46" s="1" t="inlineStr">
        <is>
          <t>Vantage Robotics Supply</t>
        </is>
      </c>
      <c r="D46" s="1" t="inlineStr">
        <is>
          <t>Robot systems</t>
        </is>
      </c>
      <c r="E46" s="1" t="n">
        <v>2550802.31</v>
      </c>
      <c r="F46" s="1" t="n">
        <v>1530481.39</v>
      </c>
      <c r="G46" s="1">
        <f>ROUND(E46-F46,2)</f>
        <v/>
      </c>
      <c r="H46" s="2" t="n">
        <v>45926</v>
      </c>
      <c r="I46" s="2" t="n">
        <v>46107</v>
      </c>
      <c r="J46" s="1">
        <f>ROUND((I46-H46)/30.4,1)</f>
        <v/>
      </c>
      <c r="K46" s="1" t="inlineStr">
        <is>
          <t>No</t>
        </is>
      </c>
      <c r="L46" s="1" t="inlineStr">
        <is>
          <t>Includes a renewal option not yet exercised</t>
        </is>
      </c>
    </row>
    <row r="47">
      <c r="A47" s="1" t="inlineStr">
        <is>
          <t>BL-2026-0046</t>
        </is>
      </c>
      <c r="B47" s="1" t="inlineStr">
        <is>
          <t>VRS-MSA-2025-38</t>
        </is>
      </c>
      <c r="C47" s="1" t="inlineStr">
        <is>
          <t>Vantage Robotics Supply</t>
        </is>
      </c>
      <c r="D47" s="1" t="inlineStr">
        <is>
          <t>Support and spares</t>
        </is>
      </c>
      <c r="E47" s="1" t="n">
        <v>1686784.72</v>
      </c>
      <c r="F47" s="1" t="n">
        <v>134942.78</v>
      </c>
      <c r="G47" s="1">
        <f>ROUND(E47-F47,2)</f>
        <v/>
      </c>
      <c r="H47" s="2" t="n">
        <v>45952</v>
      </c>
      <c r="I47" s="2" t="n">
        <v>47171</v>
      </c>
      <c r="J47" s="1">
        <f>ROUND((I47-H47)/30.4,1)</f>
        <v/>
      </c>
      <c r="K47" s="1" t="inlineStr">
        <is>
          <t>Yes on convenience</t>
        </is>
      </c>
      <c r="L47" s="1" t="inlineStr">
        <is>
          <t>Partially invoiced in advance</t>
        </is>
      </c>
    </row>
    <row r="48">
      <c r="A48" s="1" t="inlineStr">
        <is>
          <t>BL-2026-0047</t>
        </is>
      </c>
      <c r="B48" s="1" t="inlineStr">
        <is>
          <t>CFF-MSA-2026-50</t>
        </is>
      </c>
      <c r="C48" s="1" t="inlineStr">
        <is>
          <t>Crestline Fulfillment</t>
        </is>
      </c>
      <c r="D48" s="1" t="inlineStr">
        <is>
          <t>Remote operations</t>
        </is>
      </c>
      <c r="E48" s="1" t="n">
        <v>1152123.43</v>
      </c>
      <c r="F48" s="1" t="n">
        <v>115212.34</v>
      </c>
      <c r="G48" s="1">
        <f>ROUND(E48-F48,2)</f>
        <v/>
      </c>
      <c r="H48" s="2" t="n">
        <v>46059</v>
      </c>
      <c r="I48" s="2" t="n">
        <v>47063</v>
      </c>
      <c r="J48" s="1">
        <f>ROUND((I48-H48)/30.4,1)</f>
        <v/>
      </c>
      <c r="K48" s="1" t="inlineStr">
        <is>
          <t>No</t>
        </is>
      </c>
      <c r="L48" s="1" t="inlineStr">
        <is>
          <t>Recognized as milestones are accepted</t>
        </is>
      </c>
    </row>
    <row r="49">
      <c r="A49" s="1" t="inlineStr">
        <is>
          <t>BL-2026-0048</t>
        </is>
      </c>
      <c r="B49" s="1" t="inlineStr">
        <is>
          <t>RWO-MSA-2025-29</t>
        </is>
      </c>
      <c r="C49" s="1" t="inlineStr">
        <is>
          <t>Redwood Optics</t>
        </is>
      </c>
      <c r="D49" s="1" t="inlineStr">
        <is>
          <t>Robot systems</t>
        </is>
      </c>
      <c r="E49" s="1" t="n">
        <v>4283856.52</v>
      </c>
      <c r="F49" s="1" t="n">
        <v>471224.22</v>
      </c>
      <c r="G49" s="1">
        <f>ROUND(E49-F49,2)</f>
        <v/>
      </c>
      <c r="H49" s="2" t="n">
        <v>45800</v>
      </c>
      <c r="I49" s="2" t="n">
        <v>46835</v>
      </c>
      <c r="J49" s="1">
        <f>ROUND((I49-H49)/30.4,1)</f>
        <v/>
      </c>
      <c r="K49" s="1" t="inlineStr">
        <is>
          <t>Yes on convenience</t>
        </is>
      </c>
      <c r="L49" s="1" t="inlineStr">
        <is>
          <t>Partially invoiced in advance</t>
        </is>
      </c>
    </row>
    <row r="50">
      <c r="A50" s="1" t="inlineStr">
        <is>
          <t>BL-2026-0049</t>
        </is>
      </c>
      <c r="B50" s="1" t="inlineStr">
        <is>
          <t>ZAC-MSA-2026-32</t>
        </is>
      </c>
      <c r="C50" s="1" t="inlineStr">
        <is>
          <t>Zephyr Air Cargo</t>
        </is>
      </c>
      <c r="D50" s="1" t="inlineStr">
        <is>
          <t>Deployment services</t>
        </is>
      </c>
      <c r="E50" s="1" t="n">
        <v>2000762.41</v>
      </c>
      <c r="F50" s="1" t="n">
        <v>1460556.56</v>
      </c>
      <c r="G50" s="1">
        <f>ROUND(E50-F50,2)</f>
        <v/>
      </c>
      <c r="H50" s="2" t="n">
        <v>46141</v>
      </c>
      <c r="I50" s="2" t="n">
        <v>47147</v>
      </c>
      <c r="J50" s="1">
        <f>ROUND((I50-H50)/30.4,1)</f>
        <v/>
      </c>
      <c r="K50" s="1" t="inlineStr">
        <is>
          <t>Yes with 90 days notice</t>
        </is>
      </c>
      <c r="L50" s="1" t="inlineStr">
        <is>
          <t>Partially invoiced in advance</t>
        </is>
      </c>
    </row>
    <row r="51">
      <c r="A51" s="1" t="inlineStr">
        <is>
          <t>BL-2026-0050</t>
        </is>
      </c>
      <c r="B51" s="1" t="inlineStr">
        <is>
          <t>TCE-MSA-2026-20</t>
        </is>
      </c>
      <c r="C51" s="1" t="inlineStr">
        <is>
          <t>Tamarack Electronics</t>
        </is>
      </c>
      <c r="D51" s="1" t="inlineStr">
        <is>
          <t>Platform subscription</t>
        </is>
      </c>
      <c r="E51" s="1" t="n">
        <v>1942015.58</v>
      </c>
      <c r="F51" s="1" t="n">
        <v>1534192.31</v>
      </c>
      <c r="G51" s="1">
        <f>ROUND(E51-F51,2)</f>
        <v/>
      </c>
      <c r="H51" s="2" t="n">
        <v>46136</v>
      </c>
      <c r="I51" s="2" t="n">
        <v>46380</v>
      </c>
      <c r="J51" s="1">
        <f>ROUND((I51-H51)/30.4,1)</f>
        <v/>
      </c>
      <c r="K51" s="1" t="inlineStr">
        <is>
          <t>No</t>
        </is>
      </c>
      <c r="L51" s="1" t="inlineStr">
        <is>
          <t>Recognized as milestones are accepted</t>
        </is>
      </c>
    </row>
    <row r="52">
      <c r="A52" s="1" t="inlineStr">
        <is>
          <t>BL-2026-0051</t>
        </is>
      </c>
      <c r="B52" s="1" t="inlineStr">
        <is>
          <t>KPP-MSA-2025-42</t>
        </is>
      </c>
      <c r="C52" s="1" t="inlineStr">
        <is>
          <t>Keystone Paper &amp; Pack</t>
        </is>
      </c>
      <c r="D52" s="1" t="inlineStr">
        <is>
          <t>Robot systems</t>
        </is>
      </c>
      <c r="E52" s="1" t="n">
        <v>3448487.95</v>
      </c>
      <c r="F52" s="1" t="n">
        <v>103454.64</v>
      </c>
      <c r="G52" s="1">
        <f>ROUND(E52-F52,2)</f>
        <v/>
      </c>
      <c r="H52" s="2" t="n">
        <v>45855</v>
      </c>
      <c r="I52" s="2" t="n">
        <v>46616</v>
      </c>
      <c r="J52" s="1">
        <f>ROUND((I52-H52)/30.4,1)</f>
        <v/>
      </c>
      <c r="K52" s="1" t="inlineStr">
        <is>
          <t>No</t>
        </is>
      </c>
      <c r="L52" s="1" t="inlineStr">
        <is>
          <t>Recognized as milestones are accepted</t>
        </is>
      </c>
    </row>
    <row r="53">
      <c r="A53" s="1" t="inlineStr">
        <is>
          <t>BL-2026-0052</t>
        </is>
      </c>
      <c r="B53" s="1" t="inlineStr">
        <is>
          <t>MDY-MSA-2025-72</t>
        </is>
      </c>
      <c r="C53" s="1" t="inlineStr">
        <is>
          <t>Meridian Dynamics</t>
        </is>
      </c>
      <c r="D53" s="1" t="inlineStr">
        <is>
          <t>Support and spares</t>
        </is>
      </c>
      <c r="E53" s="1" t="n">
        <v>701801.0699999999</v>
      </c>
      <c r="F53" s="1" t="n">
        <v>329846.5</v>
      </c>
      <c r="G53" s="1">
        <f>ROUND(E53-F53,2)</f>
        <v/>
      </c>
      <c r="H53" s="2" t="n">
        <v>45840</v>
      </c>
      <c r="I53" s="2" t="n">
        <v>46236</v>
      </c>
      <c r="J53" s="1">
        <f>ROUND((I53-H53)/30.4,1)</f>
        <v/>
      </c>
      <c r="K53" s="1" t="inlineStr">
        <is>
          <t>No</t>
        </is>
      </c>
      <c r="L53" s="1" t="inlineStr">
        <is>
          <t>Recognized as milestones are accepted</t>
        </is>
      </c>
    </row>
    <row r="54">
      <c r="A54" s="1" t="inlineStr">
        <is>
          <t>BL-2026-0053</t>
        </is>
      </c>
      <c r="B54" s="1" t="inlineStr">
        <is>
          <t>CMS-MSA-2026-49</t>
        </is>
      </c>
      <c r="C54" s="1" t="inlineStr">
        <is>
          <t>Calder Marine Supply</t>
        </is>
      </c>
      <c r="D54" s="1" t="inlineStr">
        <is>
          <t>Platform subscription</t>
        </is>
      </c>
      <c r="E54" s="1" t="n">
        <v>4210621.61</v>
      </c>
      <c r="F54" s="1" t="n">
        <v>1684248.64</v>
      </c>
      <c r="G54" s="1">
        <f>ROUND(E54-F54,2)</f>
        <v/>
      </c>
      <c r="H54" s="2" t="n">
        <v>46052</v>
      </c>
      <c r="I54" s="2" t="n">
        <v>46690</v>
      </c>
      <c r="J54" s="1">
        <f>ROUND((I54-H54)/30.4,1)</f>
        <v/>
      </c>
      <c r="K54" s="1" t="inlineStr">
        <is>
          <t>Yes on convenience</t>
        </is>
      </c>
      <c r="L54" s="1" t="inlineStr">
        <is>
          <t>Straight-line over the subscription term</t>
        </is>
      </c>
    </row>
    <row r="55">
      <c r="A55" s="1" t="inlineStr">
        <is>
          <t>BL-2026-0054</t>
        </is>
      </c>
      <c r="B55" s="1" t="inlineStr">
        <is>
          <t>PFU-MSA-2025-60</t>
        </is>
      </c>
      <c r="C55" s="1" t="inlineStr">
        <is>
          <t>Pioneer Freight Union</t>
        </is>
      </c>
      <c r="D55" s="1" t="inlineStr">
        <is>
          <t>Support and spares</t>
        </is>
      </c>
      <c r="E55" s="1" t="n">
        <v>134846.36</v>
      </c>
      <c r="F55" s="1" t="n">
        <v>53938.54</v>
      </c>
      <c r="G55" s="1">
        <f>ROUND(E55-F55,2)</f>
        <v/>
      </c>
      <c r="H55" s="2" t="n">
        <v>45926</v>
      </c>
      <c r="I55" s="2" t="n">
        <v>46686</v>
      </c>
      <c r="J55" s="1">
        <f>ROUND((I55-H55)/30.4,1)</f>
        <v/>
      </c>
      <c r="K55" s="1" t="inlineStr">
        <is>
          <t>No</t>
        </is>
      </c>
      <c r="L55" s="1" t="inlineStr">
        <is>
          <t>Recognized as milestones are accepted</t>
        </is>
      </c>
    </row>
    <row r="56">
      <c r="A56" s="1" t="inlineStr">
        <is>
          <t>BL-2026-0055</t>
        </is>
      </c>
      <c r="B56" s="1" t="inlineStr">
        <is>
          <t>GPD-MSA-2025-46</t>
        </is>
      </c>
      <c r="C56" s="1" t="inlineStr">
        <is>
          <t>Granite Peak Distribution</t>
        </is>
      </c>
      <c r="D56" s="1" t="inlineStr">
        <is>
          <t>Support and spares</t>
        </is>
      </c>
      <c r="E56" s="1" t="n">
        <v>3108394.61</v>
      </c>
      <c r="F56" s="1" t="n">
        <v>497343.14</v>
      </c>
      <c r="G56" s="1">
        <f>ROUND(E56-F56,2)</f>
        <v/>
      </c>
      <c r="H56" s="2" t="n">
        <v>45953</v>
      </c>
      <c r="I56" s="2" t="n">
        <v>46441</v>
      </c>
      <c r="J56" s="1">
        <f>ROUND((I56-H56)/30.4,1)</f>
        <v/>
      </c>
      <c r="K56" s="1" t="inlineStr">
        <is>
          <t>Yes on convenience</t>
        </is>
      </c>
      <c r="L56" s="1" t="inlineStr">
        <is>
          <t>Awaiting site readiness before recognition starts</t>
        </is>
      </c>
    </row>
    <row r="57">
      <c r="A57" s="1" t="inlineStr">
        <is>
          <t>BL-2026-0056</t>
        </is>
      </c>
      <c r="B57" s="1" t="inlineStr">
        <is>
          <t>IVG-MSA-2026-88</t>
        </is>
      </c>
      <c r="C57" s="1" t="inlineStr">
        <is>
          <t>Ironvale Grocery Group</t>
        </is>
      </c>
      <c r="D57" s="1" t="inlineStr">
        <is>
          <t>Remote operations</t>
        </is>
      </c>
      <c r="E57" s="1" t="n">
        <v>4036004.74</v>
      </c>
      <c r="F57" s="1" t="n">
        <v>2179442.56</v>
      </c>
      <c r="G57" s="1">
        <f>ROUND(E57-F57,2)</f>
        <v/>
      </c>
      <c r="H57" s="2" t="n">
        <v>46129</v>
      </c>
      <c r="I57" s="2" t="n">
        <v>47166</v>
      </c>
      <c r="J57" s="1">
        <f>ROUND((I57-H57)/30.4,1)</f>
        <v/>
      </c>
      <c r="K57" s="1" t="inlineStr">
        <is>
          <t>Yes with 90 days notice</t>
        </is>
      </c>
      <c r="L57" s="1" t="inlineStr">
        <is>
          <t>Straight-line over the subscription term</t>
        </is>
      </c>
    </row>
    <row r="58">
      <c r="A58" s="1" t="inlineStr">
        <is>
          <t>BL-2026-0057</t>
        </is>
      </c>
      <c r="B58" s="1" t="inlineStr">
        <is>
          <t>UVP-MSA-2026-55</t>
        </is>
      </c>
      <c r="C58" s="1" t="inlineStr">
        <is>
          <t>Union Vale Pharma</t>
        </is>
      </c>
      <c r="D58" s="1" t="inlineStr">
        <is>
          <t>Remote operations</t>
        </is>
      </c>
      <c r="E58" s="1" t="n">
        <v>3411597.44</v>
      </c>
      <c r="F58" s="1" t="n">
        <v>1944610.54</v>
      </c>
      <c r="G58" s="1">
        <f>ROUND(E58-F58,2)</f>
        <v/>
      </c>
      <c r="H58" s="2" t="n">
        <v>46034</v>
      </c>
      <c r="I58" s="2" t="n">
        <v>47161</v>
      </c>
      <c r="J58" s="1">
        <f>ROUND((I58-H58)/30.4,1)</f>
        <v/>
      </c>
      <c r="K58" s="1" t="inlineStr">
        <is>
          <t>Yes on convenience</t>
        </is>
      </c>
      <c r="L58" s="1" t="inlineStr">
        <is>
          <t>Includes a renewal option not yet exercised</t>
        </is>
      </c>
    </row>
    <row r="59">
      <c r="A59" s="1" t="inlineStr">
        <is>
          <t>BL-2026-0058</t>
        </is>
      </c>
      <c r="B59" s="1" t="inlineStr">
        <is>
          <t>IVG-MSA-2025-82</t>
        </is>
      </c>
      <c r="C59" s="1" t="inlineStr">
        <is>
          <t>Ironvale Grocery Group</t>
        </is>
      </c>
      <c r="D59" s="1" t="inlineStr">
        <is>
          <t>Deployment services</t>
        </is>
      </c>
      <c r="E59" s="1" t="n">
        <v>1533948.08</v>
      </c>
      <c r="F59" s="1" t="n">
        <v>122715.85</v>
      </c>
      <c r="G59" s="1">
        <f>ROUND(E59-F59,2)</f>
        <v/>
      </c>
      <c r="H59" s="2" t="n">
        <v>45922</v>
      </c>
      <c r="I59" s="2" t="n">
        <v>46499</v>
      </c>
      <c r="J59" s="1">
        <f>ROUND((I59-H59)/30.4,1)</f>
        <v/>
      </c>
      <c r="K59" s="1" t="inlineStr">
        <is>
          <t>No</t>
        </is>
      </c>
      <c r="L59" s="1" t="inlineStr">
        <is>
          <t>Partially invoiced in advance</t>
        </is>
      </c>
    </row>
    <row r="60">
      <c r="A60" s="1" t="inlineStr">
        <is>
          <t>BL-2026-0059</t>
        </is>
      </c>
      <c r="B60" s="1" t="inlineStr">
        <is>
          <t>EVW-MSA-2025-85</t>
        </is>
      </c>
      <c r="C60" s="1" t="inlineStr">
        <is>
          <t>Evergreen Warehousing</t>
        </is>
      </c>
      <c r="D60" s="1" t="inlineStr">
        <is>
          <t>Deployment services</t>
        </is>
      </c>
      <c r="E60" s="1" t="n">
        <v>276682.02</v>
      </c>
      <c r="F60" s="1" t="n">
        <v>96838.71000000001</v>
      </c>
      <c r="G60" s="1">
        <f>ROUND(E60-F60,2)</f>
        <v/>
      </c>
      <c r="H60" s="2" t="n">
        <v>45884</v>
      </c>
      <c r="I60" s="2" t="n">
        <v>46433</v>
      </c>
      <c r="J60" s="1">
        <f>ROUND((I60-H60)/30.4,1)</f>
        <v/>
      </c>
      <c r="K60" s="1" t="inlineStr">
        <is>
          <t>No</t>
        </is>
      </c>
      <c r="L60" s="1" t="inlineStr">
        <is>
          <t>Partially invoiced in advance</t>
        </is>
      </c>
    </row>
    <row r="61">
      <c r="A61" s="1" t="inlineStr">
        <is>
          <t>BL-2026-0060</t>
        </is>
      </c>
      <c r="B61" s="1" t="inlineStr">
        <is>
          <t>ZAC-MSA-2025-52</t>
        </is>
      </c>
      <c r="C61" s="1" t="inlineStr">
        <is>
          <t>Zephyr Air Cargo</t>
        </is>
      </c>
      <c r="D61" s="1" t="inlineStr">
        <is>
          <t>Platform subscription</t>
        </is>
      </c>
      <c r="E61" s="1" t="n">
        <v>2116272.7</v>
      </c>
      <c r="F61" s="1" t="n">
        <v>1481390.89</v>
      </c>
      <c r="G61" s="1">
        <f>ROUND(E61-F61,2)</f>
        <v/>
      </c>
      <c r="H61" s="2" t="n">
        <v>46014</v>
      </c>
      <c r="I61" s="2" t="n">
        <v>47141</v>
      </c>
      <c r="J61" s="1">
        <f>ROUND((I61-H61)/30.4,1)</f>
        <v/>
      </c>
      <c r="K61" s="1" t="inlineStr">
        <is>
          <t>No</t>
        </is>
      </c>
      <c r="L61" s="1" t="inlineStr">
        <is>
          <t>Partially invoiced in advance</t>
        </is>
      </c>
    </row>
    <row r="62">
      <c r="A62" s="1" t="inlineStr">
        <is>
          <t>BL-2026-0061</t>
        </is>
      </c>
      <c r="B62" s="1" t="inlineStr">
        <is>
          <t>DBI-MSA-2026-83</t>
        </is>
      </c>
      <c r="C62" s="1" t="inlineStr">
        <is>
          <t>Dunbar Industrial</t>
        </is>
      </c>
      <c r="D62" s="1" t="inlineStr">
        <is>
          <t>Remote operations</t>
        </is>
      </c>
      <c r="E62" s="1" t="n">
        <v>2070120.89</v>
      </c>
      <c r="F62" s="1" t="n">
        <v>1635395.5</v>
      </c>
      <c r="G62" s="1">
        <f>ROUND(E62-F62,2)</f>
        <v/>
      </c>
      <c r="H62" s="2" t="n">
        <v>46038</v>
      </c>
      <c r="I62" s="2" t="n">
        <v>46584</v>
      </c>
      <c r="J62" s="1">
        <f>ROUND((I62-H62)/30.4,1)</f>
        <v/>
      </c>
      <c r="K62" s="1" t="inlineStr">
        <is>
          <t>Yes on convenience</t>
        </is>
      </c>
      <c r="L62" s="1" t="inlineStr">
        <is>
          <t>Partially invoiced in advance</t>
        </is>
      </c>
    </row>
    <row r="63">
      <c r="A63" s="1" t="inlineStr">
        <is>
          <t>BL-2026-0062</t>
        </is>
      </c>
      <c r="B63" s="1" t="inlineStr">
        <is>
          <t>HLS-MSA-2026-69</t>
        </is>
      </c>
      <c r="C63" s="1" t="inlineStr">
        <is>
          <t>Harborline Systems</t>
        </is>
      </c>
      <c r="D63" s="1" t="inlineStr">
        <is>
          <t>Deployment services</t>
        </is>
      </c>
      <c r="E63" s="1" t="n">
        <v>1432226.67</v>
      </c>
      <c r="F63" s="1" t="n">
        <v>759080.14</v>
      </c>
      <c r="G63" s="1">
        <f>ROUND(E63-F63,2)</f>
        <v/>
      </c>
      <c r="H63" s="2" t="n">
        <v>46097</v>
      </c>
      <c r="I63" s="2" t="n">
        <v>46950</v>
      </c>
      <c r="J63" s="1">
        <f>ROUND((I63-H63)/30.4,1)</f>
        <v/>
      </c>
      <c r="K63" s="1" t="inlineStr">
        <is>
          <t>Yes with 90 days notice</t>
        </is>
      </c>
      <c r="L63" s="1" t="inlineStr">
        <is>
          <t>Awaiting site readiness before recognition starts</t>
        </is>
      </c>
    </row>
    <row r="64">
      <c r="A64" s="1" t="inlineStr">
        <is>
          <t>BL-2026-0063</t>
        </is>
      </c>
      <c r="B64" s="1" t="inlineStr">
        <is>
          <t>GPD-MSA-2025-23</t>
        </is>
      </c>
      <c r="C64" s="1" t="inlineStr">
        <is>
          <t>Granite Peak Distribution</t>
        </is>
      </c>
      <c r="D64" s="1" t="inlineStr">
        <is>
          <t>Remote operations</t>
        </is>
      </c>
      <c r="E64" s="1" t="n">
        <v>4531120.99</v>
      </c>
      <c r="F64" s="1" t="n">
        <v>2628050.17</v>
      </c>
      <c r="G64" s="1">
        <f>ROUND(E64-F64,2)</f>
        <v/>
      </c>
      <c r="H64" s="2" t="n">
        <v>45915</v>
      </c>
      <c r="I64" s="2" t="n">
        <v>47011</v>
      </c>
      <c r="J64" s="1">
        <f>ROUND((I64-H64)/30.4,1)</f>
        <v/>
      </c>
      <c r="K64" s="1" t="inlineStr">
        <is>
          <t>No</t>
        </is>
      </c>
      <c r="L64" s="1" t="inlineStr">
        <is>
          <t>Partially invoiced in advance</t>
        </is>
      </c>
    </row>
    <row r="65">
      <c r="A65" s="1" t="inlineStr">
        <is>
          <t>BL-2026-0064</t>
        </is>
      </c>
      <c r="B65" s="1" t="inlineStr">
        <is>
          <t>CFF-MSA-2026-20</t>
        </is>
      </c>
      <c r="C65" s="1" t="inlineStr">
        <is>
          <t>Crestline Fulfillment</t>
        </is>
      </c>
      <c r="D65" s="1" t="inlineStr">
        <is>
          <t>Platform subscription</t>
        </is>
      </c>
      <c r="E65" s="1" t="n">
        <v>3585346.32</v>
      </c>
      <c r="F65" s="1" t="n">
        <v>1075603.9</v>
      </c>
      <c r="G65" s="1">
        <f>ROUND(E65-F65,2)</f>
        <v/>
      </c>
      <c r="H65" s="2" t="n">
        <v>46143</v>
      </c>
      <c r="I65" s="2" t="n">
        <v>47423</v>
      </c>
      <c r="J65" s="1">
        <f>ROUND((I65-H65)/30.4,1)</f>
        <v/>
      </c>
      <c r="K65" s="1" t="inlineStr">
        <is>
          <t>No</t>
        </is>
      </c>
      <c r="L65" s="1" t="inlineStr">
        <is>
          <t>Recognized as milestones are accepted</t>
        </is>
      </c>
    </row>
    <row r="66">
      <c r="A66" s="1" t="inlineStr">
        <is>
          <t>BL-2026-0065</t>
        </is>
      </c>
      <c r="B66" s="1" t="inlineStr">
        <is>
          <t>FTM-MSA-2025-31</t>
        </is>
      </c>
      <c r="C66" s="1" t="inlineStr">
        <is>
          <t>Fathom Mobility</t>
        </is>
      </c>
      <c r="D66" s="1" t="inlineStr">
        <is>
          <t>Support and spares</t>
        </is>
      </c>
      <c r="E66" s="1" t="n">
        <v>3754177</v>
      </c>
      <c r="F66" s="1" t="n">
        <v>1163794.87</v>
      </c>
      <c r="G66" s="1">
        <f>ROUND(E66-F66,2)</f>
        <v/>
      </c>
      <c r="H66" s="2" t="n">
        <v>45918</v>
      </c>
      <c r="I66" s="2" t="n">
        <v>46770</v>
      </c>
      <c r="J66" s="1">
        <f>ROUND((I66-H66)/30.4,1)</f>
        <v/>
      </c>
      <c r="K66" s="1" t="inlineStr">
        <is>
          <t>Yes on convenience</t>
        </is>
      </c>
      <c r="L66" s="1" t="inlineStr">
        <is>
          <t>Straight-line over the subscription term</t>
        </is>
      </c>
    </row>
    <row r="67">
      <c r="A67" s="1" t="inlineStr">
        <is>
          <t>BL-2026-0066</t>
        </is>
      </c>
      <c r="B67" s="1" t="inlineStr">
        <is>
          <t>EWP-MSA-2025-74</t>
        </is>
      </c>
      <c r="C67" s="1" t="inlineStr">
        <is>
          <t>Elmsworth Publishing</t>
        </is>
      </c>
      <c r="D67" s="1" t="inlineStr">
        <is>
          <t>Deployment services</t>
        </is>
      </c>
      <c r="E67" s="1" t="n">
        <v>3821267.78</v>
      </c>
      <c r="F67" s="1" t="n">
        <v>2292760.67</v>
      </c>
      <c r="G67" s="1">
        <f>ROUND(E67-F67,2)</f>
        <v/>
      </c>
      <c r="H67" s="2" t="n">
        <v>45916</v>
      </c>
      <c r="I67" s="2" t="n">
        <v>46981</v>
      </c>
      <c r="J67" s="1">
        <f>ROUND((I67-H67)/30.4,1)</f>
        <v/>
      </c>
      <c r="K67" s="1" t="inlineStr">
        <is>
          <t>No</t>
        </is>
      </c>
      <c r="L67" s="1" t="inlineStr">
        <is>
          <t>Straight-line over the subscription term</t>
        </is>
      </c>
    </row>
    <row r="68">
      <c r="A68" s="1" t="inlineStr">
        <is>
          <t>BL-2026-0067</t>
        </is>
      </c>
      <c r="B68" s="1" t="inlineStr">
        <is>
          <t>IVG-MSA-2025-32</t>
        </is>
      </c>
      <c r="C68" s="1" t="inlineStr">
        <is>
          <t>Ironvale Grocery Group</t>
        </is>
      </c>
      <c r="D68" s="1" t="inlineStr">
        <is>
          <t>Robot systems</t>
        </is>
      </c>
      <c r="E68" s="1" t="n">
        <v>1315351.15</v>
      </c>
      <c r="F68" s="1" t="n">
        <v>736596.64</v>
      </c>
      <c r="G68" s="1">
        <f>ROUND(E68-F68,2)</f>
        <v/>
      </c>
      <c r="H68" s="2" t="n">
        <v>45862</v>
      </c>
      <c r="I68" s="2" t="n">
        <v>46807</v>
      </c>
      <c r="J68" s="1">
        <f>ROUND((I68-H68)/30.4,1)</f>
        <v/>
      </c>
      <c r="K68" s="1" t="inlineStr">
        <is>
          <t>No</t>
        </is>
      </c>
      <c r="L68" s="1" t="inlineStr">
        <is>
          <t>Recognized as milestones are accepted</t>
        </is>
      </c>
    </row>
    <row r="69">
      <c r="A69" s="1" t="inlineStr">
        <is>
          <t>BL-2026-0068</t>
        </is>
      </c>
      <c r="B69" s="1" t="inlineStr">
        <is>
          <t>TCE-MSA-2026-49</t>
        </is>
      </c>
      <c r="C69" s="1" t="inlineStr">
        <is>
          <t>Tamarack Electronics</t>
        </is>
      </c>
      <c r="D69" s="1" t="inlineStr">
        <is>
          <t>Remote operations</t>
        </is>
      </c>
      <c r="E69" s="1" t="n">
        <v>4297889.77</v>
      </c>
      <c r="F69" s="1" t="n">
        <v>1332345.83</v>
      </c>
      <c r="G69" s="1">
        <f>ROUND(E69-F69,2)</f>
        <v/>
      </c>
      <c r="H69" s="2" t="n">
        <v>46041</v>
      </c>
      <c r="I69" s="2" t="n">
        <v>46406</v>
      </c>
      <c r="J69" s="1">
        <f>ROUND((I69-H69)/30.4,1)</f>
        <v/>
      </c>
      <c r="K69" s="1" t="inlineStr">
        <is>
          <t>No</t>
        </is>
      </c>
      <c r="L69" s="1" t="inlineStr">
        <is>
          <t>Recognized as milestones are accepted</t>
        </is>
      </c>
    </row>
    <row r="70">
      <c r="A70" s="1" t="inlineStr">
        <is>
          <t>BL-2026-0069</t>
        </is>
      </c>
      <c r="B70" s="1" t="inlineStr">
        <is>
          <t>QBM-MSA-2025-47</t>
        </is>
      </c>
      <c r="C70" s="1" t="inlineStr">
        <is>
          <t>Quarrybridge Materials</t>
        </is>
      </c>
      <c r="D70" s="1" t="inlineStr">
        <is>
          <t>Robot systems</t>
        </is>
      </c>
      <c r="E70" s="1" t="n">
        <v>1893217.89</v>
      </c>
      <c r="F70" s="1" t="n">
        <v>340779.22</v>
      </c>
      <c r="G70" s="1">
        <f>ROUND(E70-F70,2)</f>
        <v/>
      </c>
      <c r="H70" s="2" t="n">
        <v>45925</v>
      </c>
      <c r="I70" s="2" t="n">
        <v>46929</v>
      </c>
      <c r="J70" s="1">
        <f>ROUND((I70-H70)/30.4,1)</f>
        <v/>
      </c>
      <c r="K70" s="1" t="inlineStr">
        <is>
          <t>No</t>
        </is>
      </c>
      <c r="L70" s="1" t="inlineStr">
        <is>
          <t>Includes a renewal option not yet exercised</t>
        </is>
      </c>
    </row>
    <row r="71">
      <c r="A71" s="1" t="inlineStr">
        <is>
          <t>BL-2026-0070</t>
        </is>
      </c>
      <c r="B71" s="1" t="inlineStr">
        <is>
          <t>CMS-MSA-2025-68</t>
        </is>
      </c>
      <c r="C71" s="1" t="inlineStr">
        <is>
          <t>Calder Marine Supply</t>
        </is>
      </c>
      <c r="D71" s="1" t="inlineStr">
        <is>
          <t>Deployment services</t>
        </is>
      </c>
      <c r="E71" s="1" t="n">
        <v>1517903.21</v>
      </c>
      <c r="F71" s="1" t="n">
        <v>106253.22</v>
      </c>
      <c r="G71" s="1">
        <f>ROUND(E71-F71,2)</f>
        <v/>
      </c>
      <c r="H71" s="2" t="n">
        <v>46021</v>
      </c>
      <c r="I71" s="2" t="n">
        <v>47056</v>
      </c>
      <c r="J71" s="1">
        <f>ROUND((I71-H71)/30.4,1)</f>
        <v/>
      </c>
      <c r="K71" s="1" t="inlineStr">
        <is>
          <t>Yes on convenience</t>
        </is>
      </c>
      <c r="L71" s="1" t="inlineStr">
        <is>
          <t>Partially invoiced in advance</t>
        </is>
      </c>
    </row>
    <row r="72">
      <c r="A72" s="1" t="inlineStr">
        <is>
          <t>BL-2026-0071</t>
        </is>
      </c>
      <c r="B72" s="1" t="inlineStr">
        <is>
          <t>CFF-MSA-2025-41</t>
        </is>
      </c>
      <c r="C72" s="1" t="inlineStr">
        <is>
          <t>Crestline Fulfillment</t>
        </is>
      </c>
      <c r="D72" s="1" t="inlineStr">
        <is>
          <t>Support and spares</t>
        </is>
      </c>
      <c r="E72" s="1" t="n">
        <v>3907348.84</v>
      </c>
      <c r="F72" s="1" t="n">
        <v>2539776.75</v>
      </c>
      <c r="G72" s="1">
        <f>ROUND(E72-F72,2)</f>
        <v/>
      </c>
      <c r="H72" s="2" t="n">
        <v>45800</v>
      </c>
      <c r="I72" s="2" t="n">
        <v>46196</v>
      </c>
      <c r="J72" s="1">
        <f>ROUND((I72-H72)/30.4,1)</f>
        <v/>
      </c>
      <c r="K72" s="1" t="inlineStr">
        <is>
          <t>Yes with 90 days notice</t>
        </is>
      </c>
      <c r="L72" s="1" t="inlineStr">
        <is>
          <t>Includes a renewal option not yet exercised</t>
        </is>
      </c>
    </row>
    <row r="73">
      <c r="A73" s="1" t="inlineStr">
        <is>
          <t>BL-2026-0072</t>
        </is>
      </c>
      <c r="B73" s="1" t="inlineStr">
        <is>
          <t>QBM-MSA-2025-74</t>
        </is>
      </c>
      <c r="C73" s="1" t="inlineStr">
        <is>
          <t>Quarrybridge Materials</t>
        </is>
      </c>
      <c r="D73" s="1" t="inlineStr">
        <is>
          <t>Remote operations</t>
        </is>
      </c>
      <c r="E73" s="1" t="n">
        <v>4477682.44</v>
      </c>
      <c r="F73" s="1" t="n">
        <v>492545.07</v>
      </c>
      <c r="G73" s="1">
        <f>ROUND(E73-F73,2)</f>
        <v/>
      </c>
      <c r="H73" s="2" t="n">
        <v>45912</v>
      </c>
      <c r="I73" s="2" t="n">
        <v>46368</v>
      </c>
      <c r="J73" s="1">
        <f>ROUND((I73-H73)/30.4,1)</f>
        <v/>
      </c>
      <c r="K73" s="1" t="inlineStr">
        <is>
          <t>Yes on convenience</t>
        </is>
      </c>
      <c r="L73" s="1" t="inlineStr">
        <is>
          <t>Straight-line over the subscription term</t>
        </is>
      </c>
    </row>
    <row r="74">
      <c r="A74" s="1" t="inlineStr">
        <is>
          <t>BL-2026-0073</t>
        </is>
      </c>
      <c r="B74" s="1" t="inlineStr">
        <is>
          <t>EWP-MSA-2026-17</t>
        </is>
      </c>
      <c r="C74" s="1" t="inlineStr">
        <is>
          <t>Elmsworth Publishing</t>
        </is>
      </c>
      <c r="D74" s="1" t="inlineStr">
        <is>
          <t>Deployment services</t>
        </is>
      </c>
      <c r="E74" s="1" t="n">
        <v>3045565.43</v>
      </c>
      <c r="F74" s="1" t="n">
        <v>1492327.06</v>
      </c>
      <c r="G74" s="1">
        <f>ROUND(E74-F74,2)</f>
        <v/>
      </c>
      <c r="H74" s="2" t="n">
        <v>46094</v>
      </c>
      <c r="I74" s="2" t="n">
        <v>46917</v>
      </c>
      <c r="J74" s="1">
        <f>ROUND((I74-H74)/30.4,1)</f>
        <v/>
      </c>
      <c r="K74" s="1" t="inlineStr">
        <is>
          <t>No</t>
        </is>
      </c>
      <c r="L74" s="1" t="inlineStr">
        <is>
          <t>Awaiting site readiness before recognition starts</t>
        </is>
      </c>
    </row>
    <row r="75">
      <c r="A75" s="1" t="inlineStr">
        <is>
          <t>BL-2026-0074</t>
        </is>
      </c>
      <c r="B75" s="1" t="inlineStr">
        <is>
          <t>FTM-MSA-2026-64</t>
        </is>
      </c>
      <c r="C75" s="1" t="inlineStr">
        <is>
          <t>Fathom Mobility</t>
        </is>
      </c>
      <c r="D75" s="1" t="inlineStr">
        <is>
          <t>Support and spares</t>
        </is>
      </c>
      <c r="E75" s="1" t="n">
        <v>4091386.35</v>
      </c>
      <c r="F75" s="1" t="n">
        <v>2250262.49</v>
      </c>
      <c r="G75" s="1">
        <f>ROUND(E75-F75,2)</f>
        <v/>
      </c>
      <c r="H75" s="2" t="n">
        <v>46120</v>
      </c>
      <c r="I75" s="2" t="n">
        <v>46546</v>
      </c>
      <c r="J75" s="1">
        <f>ROUND((I75-H75)/30.4,1)</f>
        <v/>
      </c>
      <c r="K75" s="1" t="inlineStr">
        <is>
          <t>No</t>
        </is>
      </c>
      <c r="L75" s="1" t="inlineStr">
        <is>
          <t>Recognized as milestones are accepted</t>
        </is>
      </c>
    </row>
    <row r="76">
      <c r="A76" s="1" t="inlineStr">
        <is>
          <t>BL-2026-0075</t>
        </is>
      </c>
      <c r="B76" s="1" t="inlineStr">
        <is>
          <t>WCD-MSA-2026-23</t>
        </is>
      </c>
      <c r="C76" s="1" t="inlineStr">
        <is>
          <t>Westlake Chemical Depot</t>
        </is>
      </c>
      <c r="D76" s="1" t="inlineStr">
        <is>
          <t>Remote operations</t>
        </is>
      </c>
      <c r="E76" s="1" t="n">
        <v>3393489.07</v>
      </c>
      <c r="F76" s="1" t="n">
        <v>2375442.35</v>
      </c>
      <c r="G76" s="1">
        <f>ROUND(E76-F76,2)</f>
        <v/>
      </c>
      <c r="H76" s="2" t="n">
        <v>46093</v>
      </c>
      <c r="I76" s="2" t="n">
        <v>47373</v>
      </c>
      <c r="J76" s="1">
        <f>ROUND((I76-H76)/30.4,1)</f>
        <v/>
      </c>
      <c r="K76" s="1" t="inlineStr">
        <is>
          <t>Yes on convenience</t>
        </is>
      </c>
      <c r="L76" s="1" t="inlineStr">
        <is>
          <t>Includes a renewal option not yet exercised</t>
        </is>
      </c>
    </row>
    <row r="77">
      <c r="A77" s="1" t="inlineStr">
        <is>
          <t>BL-2026-0076</t>
        </is>
      </c>
      <c r="B77" s="1" t="inlineStr">
        <is>
          <t>AST-MSA-2025-76</t>
        </is>
      </c>
      <c r="C77" s="1" t="inlineStr">
        <is>
          <t>Asterion Logistics</t>
        </is>
      </c>
      <c r="D77" s="1" t="inlineStr">
        <is>
          <t>Support and spares</t>
        </is>
      </c>
      <c r="E77" s="1" t="n">
        <v>3721308.64</v>
      </c>
      <c r="F77" s="1" t="n">
        <v>2902620.74</v>
      </c>
      <c r="G77" s="1">
        <f>ROUND(E77-F77,2)</f>
        <v/>
      </c>
      <c r="H77" s="2" t="n">
        <v>45968</v>
      </c>
      <c r="I77" s="2" t="n">
        <v>46149</v>
      </c>
      <c r="J77" s="1">
        <f>ROUND((I77-H77)/30.4,1)</f>
        <v/>
      </c>
      <c r="K77" s="1" t="inlineStr">
        <is>
          <t>Yes on convenience</t>
        </is>
      </c>
      <c r="L77" s="1" t="inlineStr">
        <is>
          <t>Recognized as milestones are accepted</t>
        </is>
      </c>
    </row>
    <row r="78">
      <c r="A78" s="1" t="inlineStr">
        <is>
          <t>BL-2026-0077</t>
        </is>
      </c>
      <c r="B78" s="1" t="inlineStr">
        <is>
          <t>EVW-MSA-2026-89</t>
        </is>
      </c>
      <c r="C78" s="1" t="inlineStr">
        <is>
          <t>Evergreen Warehousing</t>
        </is>
      </c>
      <c r="D78" s="1" t="inlineStr">
        <is>
          <t>Robot systems</t>
        </is>
      </c>
      <c r="E78" s="1" t="n">
        <v>685183.98</v>
      </c>
      <c r="F78" s="1" t="n">
        <v>116481.28</v>
      </c>
      <c r="G78" s="1">
        <f>ROUND(E78-F78,2)</f>
        <v/>
      </c>
      <c r="H78" s="2" t="n">
        <v>46143</v>
      </c>
      <c r="I78" s="2" t="n">
        <v>46874</v>
      </c>
      <c r="J78" s="1">
        <f>ROUND((I78-H78)/30.4,1)</f>
        <v/>
      </c>
      <c r="K78" s="1" t="inlineStr">
        <is>
          <t>No</t>
        </is>
      </c>
      <c r="L78" s="1" t="inlineStr">
        <is>
          <t>Includes a renewal option not yet exercised</t>
        </is>
      </c>
    </row>
    <row r="79">
      <c r="A79" s="1" t="inlineStr">
        <is>
          <t>BL-2026-0078</t>
        </is>
      </c>
      <c r="B79" s="1" t="inlineStr">
        <is>
          <t>DBI-MSA-2025-58</t>
        </is>
      </c>
      <c r="C79" s="1" t="inlineStr">
        <is>
          <t>Dunbar Industrial</t>
        </is>
      </c>
      <c r="D79" s="1" t="inlineStr">
        <is>
          <t>Robot systems</t>
        </is>
      </c>
      <c r="E79" s="1" t="n">
        <v>243359.5</v>
      </c>
      <c r="F79" s="1" t="n">
        <v>70574.25</v>
      </c>
      <c r="G79" s="1">
        <f>ROUND(E79-F79,2)</f>
        <v/>
      </c>
      <c r="H79" s="2" t="n">
        <v>45890</v>
      </c>
      <c r="I79" s="2" t="n">
        <v>46620</v>
      </c>
      <c r="J79" s="1">
        <f>ROUND((I79-H79)/30.4,1)</f>
        <v/>
      </c>
      <c r="K79" s="1" t="inlineStr">
        <is>
          <t>No</t>
        </is>
      </c>
      <c r="L79" s="1" t="inlineStr">
        <is>
          <t>Includes a renewal option not yet exercised</t>
        </is>
      </c>
    </row>
    <row r="80">
      <c r="A80" s="1" t="inlineStr">
        <is>
          <t>BL-2026-0079</t>
        </is>
      </c>
      <c r="B80" s="1" t="inlineStr">
        <is>
          <t>HLS-MSA-2025-13</t>
        </is>
      </c>
      <c r="C80" s="1" t="inlineStr">
        <is>
          <t>Harborline Systems</t>
        </is>
      </c>
      <c r="D80" s="1" t="inlineStr">
        <is>
          <t>Platform subscription</t>
        </is>
      </c>
      <c r="E80" s="1" t="n">
        <v>172704.05</v>
      </c>
      <c r="F80" s="1" t="n">
        <v>96714.27</v>
      </c>
      <c r="G80" s="1">
        <f>ROUND(E80-F80,2)</f>
        <v/>
      </c>
      <c r="H80" s="2" t="n">
        <v>45957</v>
      </c>
      <c r="I80" s="2" t="n">
        <v>46900</v>
      </c>
      <c r="J80" s="1">
        <f>ROUND((I80-H80)/30.4,1)</f>
        <v/>
      </c>
      <c r="K80" s="1" t="inlineStr">
        <is>
          <t>No</t>
        </is>
      </c>
      <c r="L80" s="1" t="inlineStr">
        <is>
          <t>Partially invoiced in advance</t>
        </is>
      </c>
    </row>
    <row r="81">
      <c r="A81" s="1" t="inlineStr">
        <is>
          <t>BL-2026-0080</t>
        </is>
      </c>
      <c r="B81" s="1" t="inlineStr">
        <is>
          <t>IVG-MSA-2026-71</t>
        </is>
      </c>
      <c r="C81" s="1" t="inlineStr">
        <is>
          <t>Ironvale Grocery Group</t>
        </is>
      </c>
      <c r="D81" s="1" t="inlineStr">
        <is>
          <t>Platform subscription</t>
        </is>
      </c>
      <c r="E81" s="1" t="n">
        <v>1765661.07</v>
      </c>
      <c r="F81" s="1" t="n">
        <v>335475.6</v>
      </c>
      <c r="G81" s="1">
        <f>ROUND(E81-F81,2)</f>
        <v/>
      </c>
      <c r="H81" s="2" t="n">
        <v>46136</v>
      </c>
      <c r="I81" s="2" t="n">
        <v>46531</v>
      </c>
      <c r="J81" s="1">
        <f>ROUND((I81-H81)/30.4,1)</f>
        <v/>
      </c>
      <c r="K81" s="1" t="inlineStr">
        <is>
          <t>No</t>
        </is>
      </c>
      <c r="L81" s="1" t="inlineStr">
        <is>
          <t>Awaiting site readiness before recognition starts</t>
        </is>
      </c>
    </row>
    <row r="82">
      <c r="A82" s="1" t="inlineStr">
        <is>
          <t>BL-2026-0081</t>
        </is>
      </c>
      <c r="B82" s="1" t="inlineStr">
        <is>
          <t>BWA-MSA-2026-60</t>
        </is>
      </c>
      <c r="C82" s="1" t="inlineStr">
        <is>
          <t>Bellweather Auto Group</t>
        </is>
      </c>
      <c r="D82" s="1" t="inlineStr">
        <is>
          <t>Platform subscription</t>
        </is>
      </c>
      <c r="E82" s="1" t="n">
        <v>3911665.67</v>
      </c>
      <c r="F82" s="1" t="n">
        <v>508516.54</v>
      </c>
      <c r="G82" s="1">
        <f>ROUND(E82-F82,2)</f>
        <v/>
      </c>
      <c r="H82" s="2" t="n">
        <v>46140</v>
      </c>
      <c r="I82" s="2" t="n">
        <v>47266</v>
      </c>
      <c r="J82" s="1">
        <f>ROUND((I82-H82)/30.4,1)</f>
        <v/>
      </c>
      <c r="K82" s="1" t="inlineStr">
        <is>
          <t>No</t>
        </is>
      </c>
      <c r="L82" s="1" t="inlineStr">
        <is>
          <t>Recognized as milestones are accepted</t>
        </is>
      </c>
    </row>
    <row r="83">
      <c r="A83" s="1" t="inlineStr">
        <is>
          <t>BL-2026-0082</t>
        </is>
      </c>
      <c r="B83" s="1" t="inlineStr">
        <is>
          <t>MDY-MSA-2025-30</t>
        </is>
      </c>
      <c r="C83" s="1" t="inlineStr">
        <is>
          <t>Meridian Dynamics</t>
        </is>
      </c>
      <c r="D83" s="1" t="inlineStr">
        <is>
          <t>Robot systems</t>
        </is>
      </c>
      <c r="E83" s="1" t="n">
        <v>2752918.07</v>
      </c>
      <c r="F83" s="1" t="n">
        <v>2202334.46</v>
      </c>
      <c r="G83" s="1">
        <f>ROUND(E83-F83,2)</f>
        <v/>
      </c>
      <c r="H83" s="2" t="n">
        <v>45875</v>
      </c>
      <c r="I83" s="2" t="n">
        <v>46910</v>
      </c>
      <c r="J83" s="1">
        <f>ROUND((I83-H83)/30.4,1)</f>
        <v/>
      </c>
      <c r="K83" s="1" t="inlineStr">
        <is>
          <t>No</t>
        </is>
      </c>
      <c r="L83" s="1" t="inlineStr">
        <is>
          <t>Partially invoiced in advance</t>
        </is>
      </c>
    </row>
    <row r="84">
      <c r="A84" s="1" t="inlineStr">
        <is>
          <t>BL-2026-0083</t>
        </is>
      </c>
      <c r="B84" s="1" t="inlineStr">
        <is>
          <t>NFB-MSA-2026-65</t>
        </is>
      </c>
      <c r="C84" s="1" t="inlineStr">
        <is>
          <t>Northfield Beverage</t>
        </is>
      </c>
      <c r="D84" s="1" t="inlineStr">
        <is>
          <t>Remote operations</t>
        </is>
      </c>
      <c r="E84" s="1" t="n">
        <v>588381.17</v>
      </c>
      <c r="F84" s="1" t="n">
        <v>82373.36</v>
      </c>
      <c r="G84" s="1">
        <f>ROUND(E84-F84,2)</f>
        <v/>
      </c>
      <c r="H84" s="2" t="n">
        <v>46083</v>
      </c>
      <c r="I84" s="2" t="n">
        <v>47120</v>
      </c>
      <c r="J84" s="1">
        <f>ROUND((I84-H84)/30.4,1)</f>
        <v/>
      </c>
      <c r="K84" s="1" t="inlineStr">
        <is>
          <t>Yes on convenience</t>
        </is>
      </c>
      <c r="L84" s="1" t="inlineStr">
        <is>
          <t>Straight-line over the subscription term</t>
        </is>
      </c>
    </row>
    <row r="85">
      <c r="A85" s="1" t="inlineStr">
        <is>
          <t>BL-2026-0084</t>
        </is>
      </c>
      <c r="B85" s="1" t="inlineStr">
        <is>
          <t>IVG-MSA-2025-64</t>
        </is>
      </c>
      <c r="C85" s="1" t="inlineStr">
        <is>
          <t>Ironvale Grocery Group</t>
        </is>
      </c>
      <c r="D85" s="1" t="inlineStr">
        <is>
          <t>Support and spares</t>
        </is>
      </c>
      <c r="E85" s="1" t="n">
        <v>1447825.26</v>
      </c>
      <c r="F85" s="1" t="n">
        <v>72391.25999999999</v>
      </c>
      <c r="G85" s="1">
        <f>ROUND(E85-F85,2)</f>
        <v/>
      </c>
      <c r="H85" s="2" t="n">
        <v>45821</v>
      </c>
      <c r="I85" s="2" t="n">
        <v>46400</v>
      </c>
      <c r="J85" s="1">
        <f>ROUND((I85-H85)/30.4,1)</f>
        <v/>
      </c>
      <c r="K85" s="1" t="inlineStr">
        <is>
          <t>Yes with 90 days notice</t>
        </is>
      </c>
      <c r="L85" s="1" t="inlineStr">
        <is>
          <t>Partially invoiced in advance</t>
        </is>
      </c>
    </row>
    <row r="86">
      <c r="A86" s="1" t="inlineStr">
        <is>
          <t>BL-2026-0085</t>
        </is>
      </c>
      <c r="B86" s="1" t="inlineStr">
        <is>
          <t>RWO-MSA-2026-12</t>
        </is>
      </c>
      <c r="C86" s="1" t="inlineStr">
        <is>
          <t>Redwood Optics</t>
        </is>
      </c>
      <c r="D86" s="1" t="inlineStr">
        <is>
          <t>Deployment services</t>
        </is>
      </c>
      <c r="E86" s="1" t="n">
        <v>2632296.13</v>
      </c>
      <c r="F86" s="1" t="n">
        <v>1237179.18</v>
      </c>
      <c r="G86" s="1">
        <f>ROUND(E86-F86,2)</f>
        <v/>
      </c>
      <c r="H86" s="2" t="n">
        <v>46073</v>
      </c>
      <c r="I86" s="2" t="n">
        <v>46803</v>
      </c>
      <c r="J86" s="1">
        <f>ROUND((I86-H86)/30.4,1)</f>
        <v/>
      </c>
      <c r="K86" s="1" t="inlineStr">
        <is>
          <t>No</t>
        </is>
      </c>
      <c r="L86" s="1" t="inlineStr">
        <is>
          <t>Recognized as milestones are accepted</t>
        </is>
      </c>
    </row>
    <row r="87">
      <c r="A87" s="1" t="inlineStr">
        <is>
          <t>BL-2026-0086</t>
        </is>
      </c>
      <c r="B87" s="1" t="inlineStr">
        <is>
          <t>AST-MSA-2025-72</t>
        </is>
      </c>
      <c r="C87" s="1" t="inlineStr">
        <is>
          <t>Asterion Logistics</t>
        </is>
      </c>
      <c r="D87" s="1" t="inlineStr">
        <is>
          <t>Deployment services</t>
        </is>
      </c>
      <c r="E87" s="1" t="n">
        <v>2742702.05</v>
      </c>
      <c r="F87" s="1" t="n">
        <v>2057026.54</v>
      </c>
      <c r="G87" s="1">
        <f>ROUND(E87-F87,2)</f>
        <v/>
      </c>
      <c r="H87" s="2" t="n">
        <v>45974</v>
      </c>
      <c r="I87" s="2" t="n">
        <v>46520</v>
      </c>
      <c r="J87" s="1">
        <f>ROUND((I87-H87)/30.4,1)</f>
        <v/>
      </c>
      <c r="K87" s="1" t="inlineStr">
        <is>
          <t>No</t>
        </is>
      </c>
      <c r="L87" s="1" t="inlineStr">
        <is>
          <t>Straight-line over the subscription term</t>
        </is>
      </c>
    </row>
    <row r="88">
      <c r="A88" s="1" t="inlineStr">
        <is>
          <t>BL-2026-0087</t>
        </is>
      </c>
      <c r="B88" s="1" t="inlineStr">
        <is>
          <t>TCE-MSA-2025-35</t>
        </is>
      </c>
      <c r="C88" s="1" t="inlineStr">
        <is>
          <t>Tamarack Electronics</t>
        </is>
      </c>
      <c r="D88" s="1" t="inlineStr">
        <is>
          <t>Remote operations</t>
        </is>
      </c>
      <c r="E88" s="1" t="n">
        <v>2755535.42</v>
      </c>
      <c r="F88" s="1" t="n">
        <v>330664.25</v>
      </c>
      <c r="G88" s="1">
        <f>ROUND(E88-F88,2)</f>
        <v/>
      </c>
      <c r="H88" s="2" t="n">
        <v>45756</v>
      </c>
      <c r="I88" s="2" t="n">
        <v>46516</v>
      </c>
      <c r="J88" s="1">
        <f>ROUND((I88-H88)/30.4,1)</f>
        <v/>
      </c>
      <c r="K88" s="1" t="inlineStr">
        <is>
          <t>Yes on convenience</t>
        </is>
      </c>
      <c r="L88" s="1" t="inlineStr">
        <is>
          <t>Recognized as milestones are accepted</t>
        </is>
      </c>
    </row>
    <row r="89">
      <c r="A89" s="1" t="inlineStr">
        <is>
          <t>BL-2026-0088</t>
        </is>
      </c>
      <c r="B89" s="1" t="inlineStr">
        <is>
          <t>UVP-MSA-2025-24</t>
        </is>
      </c>
      <c r="C89" s="1" t="inlineStr">
        <is>
          <t>Union Vale Pharma</t>
        </is>
      </c>
      <c r="D89" s="1" t="inlineStr">
        <is>
          <t>Robot systems</t>
        </is>
      </c>
      <c r="E89" s="1" t="n">
        <v>3443277.2</v>
      </c>
      <c r="F89" s="1" t="n">
        <v>2789054.53</v>
      </c>
      <c r="G89" s="1">
        <f>ROUND(E89-F89,2)</f>
        <v/>
      </c>
      <c r="H89" s="2" t="n">
        <v>45758</v>
      </c>
      <c r="I89" s="2" t="n">
        <v>46671</v>
      </c>
      <c r="J89" s="1">
        <f>ROUND((I89-H89)/30.4,1)</f>
        <v/>
      </c>
      <c r="K89" s="1" t="inlineStr">
        <is>
          <t>No</t>
        </is>
      </c>
      <c r="L89" s="1" t="inlineStr">
        <is>
          <t>Awaiting site readiness before recognition starts</t>
        </is>
      </c>
    </row>
    <row r="90">
      <c r="A90" s="1" t="inlineStr">
        <is>
          <t>BL-2026-0089</t>
        </is>
      </c>
      <c r="B90" s="1" t="inlineStr">
        <is>
          <t>FTM-MSA-2025-46</t>
        </is>
      </c>
      <c r="C90" s="1" t="inlineStr">
        <is>
          <t>Fathom Mobility</t>
        </is>
      </c>
      <c r="D90" s="1" t="inlineStr">
        <is>
          <t>Support and spares</t>
        </is>
      </c>
      <c r="E90" s="1" t="n">
        <v>653432.47</v>
      </c>
      <c r="F90" s="1" t="n">
        <v>274441.64</v>
      </c>
      <c r="G90" s="1">
        <f>ROUND(E90-F90,2)</f>
        <v/>
      </c>
      <c r="H90" s="2" t="n">
        <v>46003</v>
      </c>
      <c r="I90" s="2" t="n">
        <v>47281</v>
      </c>
      <c r="J90" s="1">
        <f>ROUND((I90-H90)/30.4,1)</f>
        <v/>
      </c>
      <c r="K90" s="1" t="inlineStr">
        <is>
          <t>No</t>
        </is>
      </c>
      <c r="L90" s="1" t="inlineStr">
        <is>
          <t>Awaiting site readiness before recognition starts</t>
        </is>
      </c>
    </row>
    <row r="91">
      <c r="A91" s="1" t="inlineStr">
        <is>
          <t>BL-2026-0090</t>
        </is>
      </c>
      <c r="B91" s="1" t="inlineStr">
        <is>
          <t>FTM-MSA-2025-54</t>
        </is>
      </c>
      <c r="C91" s="1" t="inlineStr">
        <is>
          <t>Fathom Mobility</t>
        </is>
      </c>
      <c r="D91" s="1" t="inlineStr">
        <is>
          <t>Robot systems</t>
        </is>
      </c>
      <c r="E91" s="1" t="n">
        <v>274747.73</v>
      </c>
      <c r="F91" s="1" t="n">
        <v>214303.23</v>
      </c>
      <c r="G91" s="1">
        <f>ROUND(E91-F91,2)</f>
        <v/>
      </c>
      <c r="H91" s="2" t="n">
        <v>45821</v>
      </c>
      <c r="I91" s="2" t="n">
        <v>46796</v>
      </c>
      <c r="J91" s="1">
        <f>ROUND((I91-H91)/30.4,1)</f>
        <v/>
      </c>
      <c r="K91" s="1" t="inlineStr">
        <is>
          <t>Yes on convenience</t>
        </is>
      </c>
      <c r="L91" s="1" t="inlineStr">
        <is>
          <t>Recognized as milestones are accepted</t>
        </is>
      </c>
    </row>
    <row r="92">
      <c r="A92" s="1" t="inlineStr">
        <is>
          <t>BL-2026-0091</t>
        </is>
      </c>
      <c r="B92" s="1" t="inlineStr">
        <is>
          <t>LKA-MSA-2025-30</t>
        </is>
      </c>
      <c r="C92" s="1" t="inlineStr">
        <is>
          <t>Larkspur Apparel</t>
        </is>
      </c>
      <c r="D92" s="1" t="inlineStr">
        <is>
          <t>Support and spares</t>
        </is>
      </c>
      <c r="E92" s="1" t="n">
        <v>829881.5</v>
      </c>
      <c r="F92" s="1" t="n">
        <v>414940.75</v>
      </c>
      <c r="G92" s="1">
        <f>ROUND(E92-F92,2)</f>
        <v/>
      </c>
      <c r="H92" s="2" t="n">
        <v>45898</v>
      </c>
      <c r="I92" s="2" t="n">
        <v>46781</v>
      </c>
      <c r="J92" s="1">
        <f>ROUND((I92-H92)/30.4,1)</f>
        <v/>
      </c>
      <c r="K92" s="1" t="inlineStr">
        <is>
          <t>No</t>
        </is>
      </c>
      <c r="L92" s="1" t="inlineStr">
        <is>
          <t>Awaiting site readiness before recognition starts</t>
        </is>
      </c>
    </row>
    <row r="93">
      <c r="A93" s="1" t="inlineStr">
        <is>
          <t>BL-2026-0092</t>
        </is>
      </c>
      <c r="B93" s="1" t="inlineStr">
        <is>
          <t>YHG-MSA-2025-64</t>
        </is>
      </c>
      <c r="C93" s="1" t="inlineStr">
        <is>
          <t>Yarrow Home Goods</t>
        </is>
      </c>
      <c r="D93" s="1" t="inlineStr">
        <is>
          <t>Platform subscription</t>
        </is>
      </c>
      <c r="E93" s="1" t="n">
        <v>2548818.28</v>
      </c>
      <c r="F93" s="1" t="n">
        <v>2013566.44</v>
      </c>
      <c r="G93" s="1">
        <f>ROUND(E93-F93,2)</f>
        <v/>
      </c>
      <c r="H93" s="2" t="n">
        <v>45749</v>
      </c>
      <c r="I93" s="2" t="n">
        <v>46055</v>
      </c>
      <c r="J93" s="1">
        <f>ROUND((I93-H93)/30.4,1)</f>
        <v/>
      </c>
      <c r="K93" s="1" t="inlineStr">
        <is>
          <t>No</t>
        </is>
      </c>
      <c r="L93" s="1" t="inlineStr">
        <is>
          <t>Recognized as milestones are accepted</t>
        </is>
      </c>
    </row>
    <row r="94">
      <c r="A94" s="1" t="inlineStr">
        <is>
          <t>BL-2026-0093</t>
        </is>
      </c>
      <c r="B94" s="1" t="inlineStr">
        <is>
          <t>DGC-MSA-2025-33</t>
        </is>
      </c>
      <c r="C94" s="1" t="inlineStr">
        <is>
          <t>Dorsey Grain Cooperative</t>
        </is>
      </c>
      <c r="D94" s="1" t="inlineStr">
        <is>
          <t>Robot systems</t>
        </is>
      </c>
      <c r="E94" s="1" t="n">
        <v>3224414.95</v>
      </c>
      <c r="F94" s="1" t="n">
        <v>257953.2</v>
      </c>
      <c r="G94" s="1">
        <f>ROUND(E94-F94,2)</f>
        <v/>
      </c>
      <c r="H94" s="2" t="n">
        <v>46001</v>
      </c>
      <c r="I94" s="2" t="n">
        <v>46578</v>
      </c>
      <c r="J94" s="1">
        <f>ROUND((I94-H94)/30.4,1)</f>
        <v/>
      </c>
      <c r="K94" s="1" t="inlineStr">
        <is>
          <t>Yes with 90 days notice</t>
        </is>
      </c>
      <c r="L94" s="1" t="inlineStr">
        <is>
          <t>Partially invoiced in advance</t>
        </is>
      </c>
    </row>
    <row r="95">
      <c r="A95" s="1" t="inlineStr">
        <is>
          <t>BL-2026-0094</t>
        </is>
      </c>
      <c r="B95" s="1" t="inlineStr">
        <is>
          <t>BWA-MSA-2025-14</t>
        </is>
      </c>
      <c r="C95" s="1" t="inlineStr">
        <is>
          <t>Bellweather Auto Group</t>
        </is>
      </c>
      <c r="D95" s="1" t="inlineStr">
        <is>
          <t>Support and spares</t>
        </is>
      </c>
      <c r="E95" s="1" t="n">
        <v>644445.51</v>
      </c>
      <c r="F95" s="1" t="n">
        <v>186889.2</v>
      </c>
      <c r="G95" s="1">
        <f>ROUND(E95-F95,2)</f>
        <v/>
      </c>
      <c r="H95" s="2" t="n">
        <v>45898</v>
      </c>
      <c r="I95" s="2" t="n">
        <v>46963</v>
      </c>
      <c r="J95" s="1">
        <f>ROUND((I95-H95)/30.4,1)</f>
        <v/>
      </c>
      <c r="K95" s="1" t="inlineStr">
        <is>
          <t>Yes on convenience</t>
        </is>
      </c>
      <c r="L95" s="1" t="inlineStr">
        <is>
          <t>Recognized as milestones are accepted</t>
        </is>
      </c>
    </row>
    <row r="96">
      <c r="A96" s="1" t="inlineStr">
        <is>
          <t>BL-2026-0095</t>
        </is>
      </c>
      <c r="B96" s="1" t="inlineStr">
        <is>
          <t>GPD-MSA-2025-78</t>
        </is>
      </c>
      <c r="C96" s="1" t="inlineStr">
        <is>
          <t>Granite Peak Distribution</t>
        </is>
      </c>
      <c r="D96" s="1" t="inlineStr">
        <is>
          <t>Robot systems</t>
        </is>
      </c>
      <c r="E96" s="1" t="n">
        <v>939354.24</v>
      </c>
      <c r="F96" s="1" t="n">
        <v>422709.41</v>
      </c>
      <c r="G96" s="1">
        <f>ROUND(E96-F96,2)</f>
        <v/>
      </c>
      <c r="H96" s="2" t="n">
        <v>46009</v>
      </c>
      <c r="I96" s="2" t="n">
        <v>46464</v>
      </c>
      <c r="J96" s="1">
        <f>ROUND((I96-H96)/30.4,1)</f>
        <v/>
      </c>
      <c r="K96" s="1" t="inlineStr">
        <is>
          <t>No</t>
        </is>
      </c>
      <c r="L96" s="1" t="inlineStr">
        <is>
          <t>Awaiting site readiness before recognition starts</t>
        </is>
      </c>
    </row>
    <row r="97">
      <c r="A97" s="1" t="inlineStr">
        <is>
          <t>BL-2026-0096</t>
        </is>
      </c>
      <c r="B97" s="1" t="inlineStr">
        <is>
          <t>UVP-MSA-2025-17</t>
        </is>
      </c>
      <c r="C97" s="1" t="inlineStr">
        <is>
          <t>Union Vale Pharma</t>
        </is>
      </c>
      <c r="D97" s="1" t="inlineStr">
        <is>
          <t>Platform subscription</t>
        </is>
      </c>
      <c r="E97" s="1" t="n">
        <v>2773663.38</v>
      </c>
      <c r="F97" s="1" t="n">
        <v>832099.01</v>
      </c>
      <c r="G97" s="1">
        <f>ROUND(E97-F97,2)</f>
        <v/>
      </c>
      <c r="H97" s="2" t="n">
        <v>46007</v>
      </c>
      <c r="I97" s="2" t="n">
        <v>47134</v>
      </c>
      <c r="J97" s="1">
        <f>ROUND((I97-H97)/30.4,1)</f>
        <v/>
      </c>
      <c r="K97" s="1" t="inlineStr">
        <is>
          <t>No</t>
        </is>
      </c>
      <c r="L97" s="1" t="inlineStr">
        <is>
          <t>Awaiting site readiness before recognition starts</t>
        </is>
      </c>
    </row>
    <row r="98">
      <c r="A98" s="1" t="inlineStr">
        <is>
          <t>BL-2026-0097</t>
        </is>
      </c>
      <c r="B98" s="1" t="inlineStr">
        <is>
          <t>EVW-MSA-2025-45</t>
        </is>
      </c>
      <c r="C98" s="1" t="inlineStr">
        <is>
          <t>Evergreen Warehousing</t>
        </is>
      </c>
      <c r="D98" s="1" t="inlineStr">
        <is>
          <t>Deployment services</t>
        </is>
      </c>
      <c r="E98" s="1" t="n">
        <v>700940.98</v>
      </c>
      <c r="F98" s="1" t="n">
        <v>560752.78</v>
      </c>
      <c r="G98" s="1">
        <f>ROUND(E98-F98,2)</f>
        <v/>
      </c>
      <c r="H98" s="2" t="n">
        <v>46020</v>
      </c>
      <c r="I98" s="2" t="n">
        <v>46872</v>
      </c>
      <c r="J98" s="1">
        <f>ROUND((I98-H98)/30.4,1)</f>
        <v/>
      </c>
      <c r="K98" s="1" t="inlineStr">
        <is>
          <t>No</t>
        </is>
      </c>
      <c r="L98" s="1" t="inlineStr">
        <is>
          <t>Recognized as milestones are accepted</t>
        </is>
      </c>
    </row>
    <row r="99">
      <c r="A99" s="1" t="inlineStr">
        <is>
          <t>BL-2026-0098</t>
        </is>
      </c>
      <c r="B99" s="1" t="inlineStr">
        <is>
          <t>SRR-MSA-2026-81</t>
        </is>
      </c>
      <c r="C99" s="1" t="inlineStr">
        <is>
          <t>Summit Ridge Retail</t>
        </is>
      </c>
      <c r="D99" s="1" t="inlineStr">
        <is>
          <t>Support and spares</t>
        </is>
      </c>
      <c r="E99" s="1" t="n">
        <v>964502.79</v>
      </c>
      <c r="F99" s="1" t="n">
        <v>183255.53</v>
      </c>
      <c r="G99" s="1">
        <f>ROUND(E99-F99,2)</f>
        <v/>
      </c>
      <c r="H99" s="2" t="n">
        <v>46107</v>
      </c>
      <c r="I99" s="2" t="n">
        <v>47175</v>
      </c>
      <c r="J99" s="1">
        <f>ROUND((I99-H99)/30.4,1)</f>
        <v/>
      </c>
      <c r="K99" s="1" t="inlineStr">
        <is>
          <t>No</t>
        </is>
      </c>
      <c r="L99" s="1" t="inlineStr">
        <is>
          <t>Recognized as milestones are accepted</t>
        </is>
      </c>
    </row>
    <row r="100">
      <c r="A100" s="1" t="inlineStr">
        <is>
          <t>BL-2026-0099</t>
        </is>
      </c>
      <c r="B100" s="1" t="inlineStr">
        <is>
          <t>GPD-MSA-2025-25</t>
        </is>
      </c>
      <c r="C100" s="1" t="inlineStr">
        <is>
          <t>Granite Peak Distribution</t>
        </is>
      </c>
      <c r="D100" s="1" t="inlineStr">
        <is>
          <t>Support and spares</t>
        </is>
      </c>
      <c r="E100" s="1" t="n">
        <v>2585051.12</v>
      </c>
      <c r="F100" s="1" t="n">
        <v>155103.07</v>
      </c>
      <c r="G100" s="1">
        <f>ROUND(E100-F100,2)</f>
        <v/>
      </c>
      <c r="H100" s="2" t="n">
        <v>45791</v>
      </c>
      <c r="I100" s="2" t="n">
        <v>46552</v>
      </c>
      <c r="J100" s="1">
        <f>ROUND((I100-H100)/30.4,1)</f>
        <v/>
      </c>
      <c r="K100" s="1" t="inlineStr">
        <is>
          <t>Yes with 90 days notice</t>
        </is>
      </c>
      <c r="L100" s="1" t="inlineStr">
        <is>
          <t>Straight-line over the subscription term</t>
        </is>
      </c>
    </row>
    <row r="101">
      <c r="A101" s="1" t="inlineStr">
        <is>
          <t>BL-2026-0100</t>
        </is>
      </c>
      <c r="B101" s="1" t="inlineStr">
        <is>
          <t>OGF-MSA-2025-70</t>
        </is>
      </c>
      <c r="C101" s="1" t="inlineStr">
        <is>
          <t>Orchard Grove Foods</t>
        </is>
      </c>
      <c r="D101" s="1" t="inlineStr">
        <is>
          <t>Deployment services</t>
        </is>
      </c>
      <c r="E101" s="1" t="n">
        <v>3414354.57</v>
      </c>
      <c r="F101" s="1" t="n">
        <v>170717.73</v>
      </c>
      <c r="G101" s="1">
        <f>ROUND(E101-F101,2)</f>
        <v/>
      </c>
      <c r="H101" s="2" t="n">
        <v>45884</v>
      </c>
      <c r="I101" s="2" t="n">
        <v>46218</v>
      </c>
      <c r="J101" s="1">
        <f>ROUND((I101-H101)/30.4,1)</f>
        <v/>
      </c>
      <c r="K101" s="1" t="inlineStr">
        <is>
          <t>Yes with 90 days notice</t>
        </is>
      </c>
      <c r="L101" s="1" t="inlineStr">
        <is>
          <t>Recognized as milestones are accepted</t>
        </is>
      </c>
    </row>
    <row r="102">
      <c r="A102" s="1" t="inlineStr">
        <is>
          <t>BL-2026-0101</t>
        </is>
      </c>
      <c r="B102" s="1" t="inlineStr">
        <is>
          <t>GPD-MSA-2026-31</t>
        </is>
      </c>
      <c r="C102" s="1" t="inlineStr">
        <is>
          <t>Granite Peak Distribution</t>
        </is>
      </c>
      <c r="D102" s="1" t="inlineStr">
        <is>
          <t>Remote operations</t>
        </is>
      </c>
      <c r="E102" s="1" t="n">
        <v>4079752.69</v>
      </c>
      <c r="F102" s="1" t="n">
        <v>367177.74</v>
      </c>
      <c r="G102" s="1">
        <f>ROUND(E102-F102,2)</f>
        <v/>
      </c>
      <c r="H102" s="2" t="n">
        <v>46094</v>
      </c>
      <c r="I102" s="2" t="n">
        <v>46431</v>
      </c>
      <c r="J102" s="1">
        <f>ROUND((I102-H102)/30.4,1)</f>
        <v/>
      </c>
      <c r="K102" s="1" t="inlineStr">
        <is>
          <t>No</t>
        </is>
      </c>
      <c r="L102" s="1" t="inlineStr">
        <is>
          <t>Includes a renewal option not yet exercised</t>
        </is>
      </c>
    </row>
    <row r="103">
      <c r="A103" s="1" t="inlineStr">
        <is>
          <t>BL-2026-0102</t>
        </is>
      </c>
      <c r="B103" s="1" t="inlineStr">
        <is>
          <t>OGF-MSA-2025-78</t>
        </is>
      </c>
      <c r="C103" s="1" t="inlineStr">
        <is>
          <t>Orchard Grove Foods</t>
        </is>
      </c>
      <c r="D103" s="1" t="inlineStr">
        <is>
          <t>Support and spares</t>
        </is>
      </c>
      <c r="E103" s="1" t="n">
        <v>3545175.89</v>
      </c>
      <c r="F103" s="1" t="n">
        <v>1808039.7</v>
      </c>
      <c r="G103" s="1">
        <f>ROUND(E103-F103,2)</f>
        <v/>
      </c>
      <c r="H103" s="2" t="n">
        <v>45838</v>
      </c>
      <c r="I103" s="2" t="n">
        <v>46660</v>
      </c>
      <c r="J103" s="1">
        <f>ROUND((I103-H103)/30.4,1)</f>
        <v/>
      </c>
      <c r="K103" s="1" t="inlineStr">
        <is>
          <t>Yes on convenience</t>
        </is>
      </c>
      <c r="L103" s="1" t="inlineStr">
        <is>
          <t>Awaiting site readiness before recognition starts</t>
        </is>
      </c>
    </row>
    <row r="104">
      <c r="A104" s="1" t="inlineStr">
        <is>
          <t>BL-2026-0103</t>
        </is>
      </c>
      <c r="B104" s="1" t="inlineStr">
        <is>
          <t>HLS-MSA-2026-43</t>
        </is>
      </c>
      <c r="C104" s="1" t="inlineStr">
        <is>
          <t>Harborline Systems</t>
        </is>
      </c>
      <c r="D104" s="1" t="inlineStr">
        <is>
          <t>Support and spares</t>
        </is>
      </c>
      <c r="E104" s="1" t="n">
        <v>1011076.7</v>
      </c>
      <c r="F104" s="1" t="n">
        <v>141550.74</v>
      </c>
      <c r="G104" s="1">
        <f>ROUND(E104-F104,2)</f>
        <v/>
      </c>
      <c r="H104" s="2" t="n">
        <v>46164</v>
      </c>
      <c r="I104" s="2" t="n">
        <v>46926</v>
      </c>
      <c r="J104" s="1">
        <f>ROUND((I104-H104)/30.4,1)</f>
        <v/>
      </c>
      <c r="K104" s="1" t="inlineStr">
        <is>
          <t>Yes with 90 days notice</t>
        </is>
      </c>
      <c r="L104" s="1" t="inlineStr">
        <is>
          <t>Straight-line over the subscription term</t>
        </is>
      </c>
    </row>
    <row r="105">
      <c r="A105" s="1" t="inlineStr">
        <is>
          <t>BL-2026-0104</t>
        </is>
      </c>
      <c r="B105" s="1" t="inlineStr">
        <is>
          <t>UVP-MSA-2025-40</t>
        </is>
      </c>
      <c r="C105" s="1" t="inlineStr">
        <is>
          <t>Union Vale Pharma</t>
        </is>
      </c>
      <c r="D105" s="1" t="inlineStr">
        <is>
          <t>Robot systems</t>
        </is>
      </c>
      <c r="E105" s="1" t="n">
        <v>1631899.88</v>
      </c>
      <c r="F105" s="1" t="n">
        <v>375336.97</v>
      </c>
      <c r="G105" s="1">
        <f>ROUND(E105-F105,2)</f>
        <v/>
      </c>
      <c r="H105" s="2" t="n">
        <v>45779</v>
      </c>
      <c r="I105" s="2" t="n">
        <v>46845</v>
      </c>
      <c r="J105" s="1">
        <f>ROUND((I105-H105)/30.4,1)</f>
        <v/>
      </c>
      <c r="K105" s="1" t="inlineStr">
        <is>
          <t>No</t>
        </is>
      </c>
      <c r="L105" s="1" t="inlineStr">
        <is>
          <t>Recognized as milestones are accepted</t>
        </is>
      </c>
    </row>
    <row r="106">
      <c r="A106" s="1" t="inlineStr">
        <is>
          <t>BL-2026-0105</t>
        </is>
      </c>
      <c r="B106" s="1" t="inlineStr">
        <is>
          <t>CMS-MSA-2026-18</t>
        </is>
      </c>
      <c r="C106" s="1" t="inlineStr">
        <is>
          <t>Calder Marine Supply</t>
        </is>
      </c>
      <c r="D106" s="1" t="inlineStr">
        <is>
          <t>Support and spares</t>
        </is>
      </c>
      <c r="E106" s="1" t="n">
        <v>2742577.19</v>
      </c>
      <c r="F106" s="1" t="n">
        <v>1316437.05</v>
      </c>
      <c r="G106" s="1">
        <f>ROUND(E106-F106,2)</f>
        <v/>
      </c>
      <c r="H106" s="2" t="n">
        <v>46112</v>
      </c>
      <c r="I106" s="2" t="n">
        <v>47177</v>
      </c>
      <c r="J106" s="1">
        <f>ROUND((I106-H106)/30.4,1)</f>
        <v/>
      </c>
      <c r="K106" s="1" t="inlineStr">
        <is>
          <t>No</t>
        </is>
      </c>
      <c r="L106" s="1" t="inlineStr">
        <is>
          <t>Awaiting site readiness before recognition starts</t>
        </is>
      </c>
    </row>
    <row r="107">
      <c r="A107" s="1" t="inlineStr">
        <is>
          <t>BL-2026-0106</t>
        </is>
      </c>
      <c r="B107" s="1" t="inlineStr">
        <is>
          <t>OGF-MSA-2026-84</t>
        </is>
      </c>
      <c r="C107" s="1" t="inlineStr">
        <is>
          <t>Orchard Grove Foods</t>
        </is>
      </c>
      <c r="D107" s="1" t="inlineStr">
        <is>
          <t>Platform subscription</t>
        </is>
      </c>
      <c r="E107" s="1" t="n">
        <v>128567.25</v>
      </c>
      <c r="F107" s="1" t="n">
        <v>43712.87</v>
      </c>
      <c r="G107" s="1">
        <f>ROUND(E107-F107,2)</f>
        <v/>
      </c>
      <c r="H107" s="2" t="n">
        <v>46114</v>
      </c>
      <c r="I107" s="2" t="n">
        <v>47120</v>
      </c>
      <c r="J107" s="1">
        <f>ROUND((I107-H107)/30.4,1)</f>
        <v/>
      </c>
      <c r="K107" s="1" t="inlineStr">
        <is>
          <t>No</t>
        </is>
      </c>
      <c r="L107" s="1" t="inlineStr">
        <is>
          <t>Awaiting site readiness before recognition starts</t>
        </is>
      </c>
    </row>
    <row r="108">
      <c r="A108" s="1" t="inlineStr">
        <is>
          <t>BL-2026-0107</t>
        </is>
      </c>
      <c r="B108" s="1" t="inlineStr">
        <is>
          <t>PFU-MSA-2026-43</t>
        </is>
      </c>
      <c r="C108" s="1" t="inlineStr">
        <is>
          <t>Pioneer Freight Union</t>
        </is>
      </c>
      <c r="D108" s="1" t="inlineStr">
        <is>
          <t>Platform subscription</t>
        </is>
      </c>
      <c r="E108" s="1" t="n">
        <v>4322057.93</v>
      </c>
      <c r="F108" s="1" t="n">
        <v>345764.63</v>
      </c>
      <c r="G108" s="1">
        <f>ROUND(E108-F108,2)</f>
        <v/>
      </c>
      <c r="H108" s="2" t="n">
        <v>46073</v>
      </c>
      <c r="I108" s="2" t="n">
        <v>47138</v>
      </c>
      <c r="J108" s="1">
        <f>ROUND((I108-H108)/30.4,1)</f>
        <v/>
      </c>
      <c r="K108" s="1" t="inlineStr">
        <is>
          <t>No</t>
        </is>
      </c>
      <c r="L108" s="1" t="inlineStr">
        <is>
          <t>Recognized as milestones are accepted</t>
        </is>
      </c>
    </row>
    <row r="109">
      <c r="A109" s="1" t="inlineStr">
        <is>
          <t>BL-2026-0108</t>
        </is>
      </c>
      <c r="B109" s="1" t="inlineStr">
        <is>
          <t>NFB-MSA-2025-35</t>
        </is>
      </c>
      <c r="C109" s="1" t="inlineStr">
        <is>
          <t>Northfield Beverage</t>
        </is>
      </c>
      <c r="D109" s="1" t="inlineStr">
        <is>
          <t>Platform subscription</t>
        </is>
      </c>
      <c r="E109" s="1" t="n">
        <v>4453964.73</v>
      </c>
      <c r="F109" s="1" t="n">
        <v>846253.3</v>
      </c>
      <c r="G109" s="1">
        <f>ROUND(E109-F109,2)</f>
        <v/>
      </c>
      <c r="H109" s="2" t="n">
        <v>46003</v>
      </c>
      <c r="I109" s="2" t="n">
        <v>46795</v>
      </c>
      <c r="J109" s="1">
        <f>ROUND((I109-H109)/30.4,1)</f>
        <v/>
      </c>
      <c r="K109" s="1" t="inlineStr">
        <is>
          <t>Yes with 90 days notice</t>
        </is>
      </c>
      <c r="L109" s="1" t="inlineStr">
        <is>
          <t>Includes a renewal option not yet exercised</t>
        </is>
      </c>
    </row>
    <row r="110">
      <c r="A110" s="1" t="inlineStr">
        <is>
          <t>BL-2026-0109</t>
        </is>
      </c>
      <c r="B110" s="1" t="inlineStr">
        <is>
          <t>BMC-MSA-2025-49</t>
        </is>
      </c>
      <c r="C110" s="1" t="inlineStr">
        <is>
          <t>Blue Mesa Components</t>
        </is>
      </c>
      <c r="D110" s="1" t="inlineStr">
        <is>
          <t>Support and spares</t>
        </is>
      </c>
      <c r="E110" s="1" t="n">
        <v>3933130.4</v>
      </c>
      <c r="F110" s="1" t="n">
        <v>2438540.85</v>
      </c>
      <c r="G110" s="1">
        <f>ROUND(E110-F110,2)</f>
        <v/>
      </c>
      <c r="H110" s="2" t="n">
        <v>46003</v>
      </c>
      <c r="I110" s="2" t="n">
        <v>47069</v>
      </c>
      <c r="J110" s="1">
        <f>ROUND((I110-H110)/30.4,1)</f>
        <v/>
      </c>
      <c r="K110" s="1" t="inlineStr">
        <is>
          <t>Yes with 90 days notice</t>
        </is>
      </c>
      <c r="L110" s="1" t="inlineStr">
        <is>
          <t>Recognized as milestones are accepted</t>
        </is>
      </c>
    </row>
    <row r="111">
      <c r="A111" s="1" t="inlineStr">
        <is>
          <t>BL-2026-0110</t>
        </is>
      </c>
      <c r="B111" s="1" t="inlineStr">
        <is>
          <t>OGF-MSA-2025-22</t>
        </is>
      </c>
      <c r="C111" s="1" t="inlineStr">
        <is>
          <t>Orchard Grove Foods</t>
        </is>
      </c>
      <c r="D111" s="1" t="inlineStr">
        <is>
          <t>Remote operations</t>
        </is>
      </c>
      <c r="E111" s="1" t="n">
        <v>3891789.87</v>
      </c>
      <c r="F111" s="1" t="n">
        <v>2101566.53</v>
      </c>
      <c r="G111" s="1">
        <f>ROUND(E111-F111,2)</f>
        <v/>
      </c>
      <c r="H111" s="2" t="n">
        <v>45786</v>
      </c>
      <c r="I111" s="2" t="n">
        <v>46274</v>
      </c>
      <c r="J111" s="1">
        <f>ROUND((I111-H111)/30.4,1)</f>
        <v/>
      </c>
      <c r="K111" s="1" t="inlineStr">
        <is>
          <t>Yes on convenience</t>
        </is>
      </c>
      <c r="L111" s="1" t="inlineStr">
        <is>
          <t>Partially invoiced in advance</t>
        </is>
      </c>
    </row>
    <row r="112">
      <c r="A112" s="1" t="inlineStr">
        <is>
          <t>BL-2026-0111</t>
        </is>
      </c>
      <c r="B112" s="1" t="inlineStr">
        <is>
          <t>TCE-MSA-2025-28</t>
        </is>
      </c>
      <c r="C112" s="1" t="inlineStr">
        <is>
          <t>Tamarack Electronics</t>
        </is>
      </c>
      <c r="D112" s="1" t="inlineStr">
        <is>
          <t>Remote operations</t>
        </is>
      </c>
      <c r="E112" s="1" t="n">
        <v>2726466.6</v>
      </c>
      <c r="F112" s="1" t="n">
        <v>1635879.96</v>
      </c>
      <c r="G112" s="1">
        <f>ROUND(E112-F112,2)</f>
        <v/>
      </c>
      <c r="H112" s="2" t="n">
        <v>45940</v>
      </c>
      <c r="I112" s="2" t="n">
        <v>47006</v>
      </c>
      <c r="J112" s="1">
        <f>ROUND((I112-H112)/30.4,1)</f>
        <v/>
      </c>
      <c r="K112" s="1" t="inlineStr">
        <is>
          <t>No</t>
        </is>
      </c>
      <c r="L112" s="1" t="inlineStr">
        <is>
          <t>Includes a renewal option not yet exercised</t>
        </is>
      </c>
    </row>
    <row r="113">
      <c r="A113" s="1" t="inlineStr">
        <is>
          <t>BL-2026-0112</t>
        </is>
      </c>
      <c r="B113" s="1" t="inlineStr">
        <is>
          <t>KPP-MSA-2025-63</t>
        </is>
      </c>
      <c r="C113" s="1" t="inlineStr">
        <is>
          <t>Keystone Paper &amp; Pack</t>
        </is>
      </c>
      <c r="D113" s="1" t="inlineStr">
        <is>
          <t>Robot systems</t>
        </is>
      </c>
      <c r="E113" s="1" t="n">
        <v>2283705.26</v>
      </c>
      <c r="F113" s="1" t="n">
        <v>1735616</v>
      </c>
      <c r="G113" s="1">
        <f>ROUND(E113-F113,2)</f>
        <v/>
      </c>
      <c r="H113" s="2" t="n">
        <v>45840</v>
      </c>
      <c r="I113" s="2" t="n">
        <v>46662</v>
      </c>
      <c r="J113" s="1">
        <f>ROUND((I113-H113)/30.4,1)</f>
        <v/>
      </c>
      <c r="K113" s="1" t="inlineStr">
        <is>
          <t>No</t>
        </is>
      </c>
      <c r="L113" s="1" t="inlineStr">
        <is>
          <t>Partially invoiced in advance</t>
        </is>
      </c>
    </row>
    <row r="114">
      <c r="A114" s="1" t="inlineStr">
        <is>
          <t>BL-2026-0113</t>
        </is>
      </c>
      <c r="B114" s="1" t="inlineStr">
        <is>
          <t>OGF-MSA-2026-76</t>
        </is>
      </c>
      <c r="C114" s="1" t="inlineStr">
        <is>
          <t>Orchard Grove Foods</t>
        </is>
      </c>
      <c r="D114" s="1" t="inlineStr">
        <is>
          <t>Support and spares</t>
        </is>
      </c>
      <c r="E114" s="1" t="n">
        <v>1931796.01</v>
      </c>
      <c r="F114" s="1" t="n">
        <v>482949</v>
      </c>
      <c r="G114" s="1">
        <f>ROUND(E114-F114,2)</f>
        <v/>
      </c>
      <c r="H114" s="2" t="n">
        <v>46066</v>
      </c>
      <c r="I114" s="2" t="n">
        <v>46856</v>
      </c>
      <c r="J114" s="1">
        <f>ROUND((I114-H114)/30.4,1)</f>
        <v/>
      </c>
      <c r="K114" s="1" t="inlineStr">
        <is>
          <t>No</t>
        </is>
      </c>
      <c r="L114" s="1" t="inlineStr">
        <is>
          <t>Partially invoiced in advance</t>
        </is>
      </c>
    </row>
    <row r="115">
      <c r="A115" s="1" t="inlineStr">
        <is>
          <t>BL-2026-0114</t>
        </is>
      </c>
      <c r="B115" s="1" t="inlineStr">
        <is>
          <t>EVW-MSA-2026-79</t>
        </is>
      </c>
      <c r="C115" s="1" t="inlineStr">
        <is>
          <t>Evergreen Warehousing</t>
        </is>
      </c>
      <c r="D115" s="1" t="inlineStr">
        <is>
          <t>Platform subscription</t>
        </is>
      </c>
      <c r="E115" s="1" t="n">
        <v>4568586.45</v>
      </c>
      <c r="F115" s="1" t="n">
        <v>1050774.88</v>
      </c>
      <c r="G115" s="1">
        <f>ROUND(E115-F115,2)</f>
        <v/>
      </c>
      <c r="H115" s="2" t="n">
        <v>46105</v>
      </c>
      <c r="I115" s="2" t="n">
        <v>46501</v>
      </c>
      <c r="J115" s="1">
        <f>ROUND((I115-H115)/30.4,1)</f>
        <v/>
      </c>
      <c r="K115" s="1" t="inlineStr">
        <is>
          <t>Yes with 90 days notice</t>
        </is>
      </c>
      <c r="L115" s="1" t="inlineStr">
        <is>
          <t>Recognized as milestones are accepted</t>
        </is>
      </c>
    </row>
    <row r="116">
      <c r="A116" s="1" t="inlineStr">
        <is>
          <t>BL-2026-0115</t>
        </is>
      </c>
      <c r="B116" s="1" t="inlineStr">
        <is>
          <t>KPP-MSA-2025-57</t>
        </is>
      </c>
      <c r="C116" s="1" t="inlineStr">
        <is>
          <t>Keystone Paper &amp; Pack</t>
        </is>
      </c>
      <c r="D116" s="1" t="inlineStr">
        <is>
          <t>Robot systems</t>
        </is>
      </c>
      <c r="E116" s="1" t="n">
        <v>1878503.8</v>
      </c>
      <c r="F116" s="1" t="n">
        <v>676261.37</v>
      </c>
      <c r="G116" s="1">
        <f>ROUND(E116-F116,2)</f>
        <v/>
      </c>
      <c r="H116" s="2" t="n">
        <v>45770</v>
      </c>
      <c r="I116" s="2" t="n">
        <v>46076</v>
      </c>
      <c r="J116" s="1">
        <f>ROUND((I116-H116)/30.4,1)</f>
        <v/>
      </c>
      <c r="K116" s="1" t="inlineStr">
        <is>
          <t>Yes on convenience</t>
        </is>
      </c>
      <c r="L116" s="1" t="inlineStr">
        <is>
          <t>Straight-line over the subscription term</t>
        </is>
      </c>
    </row>
    <row r="117">
      <c r="A117" s="1" t="inlineStr">
        <is>
          <t>BL-2026-0116</t>
        </is>
      </c>
      <c r="B117" s="1" t="inlineStr">
        <is>
          <t>OGF-MSA-2026-73</t>
        </is>
      </c>
      <c r="C117" s="1" t="inlineStr">
        <is>
          <t>Orchard Grove Foods</t>
        </is>
      </c>
      <c r="D117" s="1" t="inlineStr">
        <is>
          <t>Platform subscription</t>
        </is>
      </c>
      <c r="E117" s="1" t="n">
        <v>728001.53</v>
      </c>
      <c r="F117" s="1" t="n">
        <v>349440.73</v>
      </c>
      <c r="G117" s="1">
        <f>ROUND(E117-F117,2)</f>
        <v/>
      </c>
      <c r="H117" s="2" t="n">
        <v>46028</v>
      </c>
      <c r="I117" s="2" t="n">
        <v>47244</v>
      </c>
      <c r="J117" s="1">
        <f>ROUND((I117-H117)/30.4,1)</f>
        <v/>
      </c>
      <c r="K117" s="1" t="inlineStr">
        <is>
          <t>No</t>
        </is>
      </c>
      <c r="L117" s="1" t="inlineStr">
        <is>
          <t>Partially invoiced in advance</t>
        </is>
      </c>
    </row>
    <row r="118">
      <c r="A118" s="1" t="inlineStr">
        <is>
          <t>BL-2026-0117</t>
        </is>
      </c>
      <c r="B118" s="1" t="inlineStr">
        <is>
          <t>JHS-MSA-2025-30</t>
        </is>
      </c>
      <c r="C118" s="1" t="inlineStr">
        <is>
          <t>Juniper Health Supply</t>
        </is>
      </c>
      <c r="D118" s="1" t="inlineStr">
        <is>
          <t>Support and spares</t>
        </is>
      </c>
      <c r="E118" s="1" t="n">
        <v>3204494.46</v>
      </c>
      <c r="F118" s="1" t="n">
        <v>993393.28</v>
      </c>
      <c r="G118" s="1">
        <f>ROUND(E118-F118,2)</f>
        <v/>
      </c>
      <c r="H118" s="2" t="n">
        <v>45757</v>
      </c>
      <c r="I118" s="2" t="n">
        <v>46244</v>
      </c>
      <c r="J118" s="1">
        <f>ROUND((I118-H118)/30.4,1)</f>
        <v/>
      </c>
      <c r="K118" s="1" t="inlineStr">
        <is>
          <t>No</t>
        </is>
      </c>
      <c r="L118" s="1" t="inlineStr">
        <is>
          <t>Includes a renewal option not yet exercised</t>
        </is>
      </c>
    </row>
    <row r="119">
      <c r="A119" s="1" t="inlineStr">
        <is>
          <t>BL-2026-0118</t>
        </is>
      </c>
      <c r="B119" s="1" t="inlineStr">
        <is>
          <t>EVW-MSA-2026-66</t>
        </is>
      </c>
      <c r="C119" s="1" t="inlineStr">
        <is>
          <t>Evergreen Warehousing</t>
        </is>
      </c>
      <c r="D119" s="1" t="inlineStr">
        <is>
          <t>Support and spares</t>
        </is>
      </c>
      <c r="E119" s="1" t="n">
        <v>451379.29</v>
      </c>
      <c r="F119" s="1" t="n">
        <v>203120.68</v>
      </c>
      <c r="G119" s="1">
        <f>ROUND(E119-F119,2)</f>
        <v/>
      </c>
      <c r="H119" s="2" t="n">
        <v>46136</v>
      </c>
      <c r="I119" s="2" t="n">
        <v>47323</v>
      </c>
      <c r="J119" s="1">
        <f>ROUND((I119-H119)/30.4,1)</f>
        <v/>
      </c>
      <c r="K119" s="1" t="inlineStr">
        <is>
          <t>Yes on convenience</t>
        </is>
      </c>
      <c r="L119" s="1" t="inlineStr">
        <is>
          <t>Partially invoiced in advance</t>
        </is>
      </c>
    </row>
    <row r="120">
      <c r="A120" s="1" t="inlineStr">
        <is>
          <t>BL-2026-0119</t>
        </is>
      </c>
      <c r="B120" s="1" t="inlineStr">
        <is>
          <t>WCD-MSA-2025-30</t>
        </is>
      </c>
      <c r="C120" s="1" t="inlineStr">
        <is>
          <t>Westlake Chemical Depot</t>
        </is>
      </c>
      <c r="D120" s="1" t="inlineStr">
        <is>
          <t>Remote operations</t>
        </is>
      </c>
      <c r="E120" s="1" t="n">
        <v>928360.76</v>
      </c>
      <c r="F120" s="1" t="n">
        <v>557016.46</v>
      </c>
      <c r="G120" s="1">
        <f>ROUND(E120-F120,2)</f>
        <v/>
      </c>
      <c r="H120" s="2" t="n">
        <v>45898</v>
      </c>
      <c r="I120" s="2" t="n">
        <v>46902</v>
      </c>
      <c r="J120" s="1">
        <f>ROUND((I120-H120)/30.4,1)</f>
        <v/>
      </c>
      <c r="K120" s="1" t="inlineStr">
        <is>
          <t>No</t>
        </is>
      </c>
      <c r="L120" s="1" t="inlineStr">
        <is>
          <t>Includes a renewal option not yet exercised</t>
        </is>
      </c>
    </row>
    <row r="121">
      <c r="A121" s="1" t="inlineStr">
        <is>
          <t>BL-2026-0120</t>
        </is>
      </c>
      <c r="B121" s="1" t="inlineStr">
        <is>
          <t>DBI-MSA-2026-18</t>
        </is>
      </c>
      <c r="C121" s="1" t="inlineStr">
        <is>
          <t>Dunbar Industrial</t>
        </is>
      </c>
      <c r="D121" s="1" t="inlineStr">
        <is>
          <t>Platform subscription</t>
        </is>
      </c>
      <c r="E121" s="1" t="n">
        <v>2135997.41</v>
      </c>
      <c r="F121" s="1" t="n">
        <v>1025278.76</v>
      </c>
      <c r="G121" s="1">
        <f>ROUND(E121-F121,2)</f>
        <v/>
      </c>
      <c r="H121" s="2" t="n">
        <v>46164</v>
      </c>
      <c r="I121" s="2" t="n">
        <v>47291</v>
      </c>
      <c r="J121" s="1">
        <f>ROUND((I121-H121)/30.4,1)</f>
        <v/>
      </c>
      <c r="K121" s="1" t="inlineStr">
        <is>
          <t>No</t>
        </is>
      </c>
      <c r="L121" s="1" t="inlineStr">
        <is>
          <t>Partially invoiced in advance</t>
        </is>
      </c>
    </row>
    <row r="122">
      <c r="A122" s="1" t="inlineStr">
        <is>
          <t>BL-2026-0121</t>
        </is>
      </c>
      <c r="B122" s="1" t="inlineStr">
        <is>
          <t>SRR-MSA-2025-38</t>
        </is>
      </c>
      <c r="C122" s="1" t="inlineStr">
        <is>
          <t>Summit Ridge Retail</t>
        </is>
      </c>
      <c r="D122" s="1" t="inlineStr">
        <is>
          <t>Platform subscription</t>
        </is>
      </c>
      <c r="E122" s="1" t="n">
        <v>4323767.76</v>
      </c>
      <c r="F122" s="1" t="n">
        <v>3156350.46</v>
      </c>
      <c r="G122" s="1">
        <f>ROUND(E122-F122,2)</f>
        <v/>
      </c>
      <c r="H122" s="2" t="n">
        <v>45958</v>
      </c>
      <c r="I122" s="2" t="n">
        <v>46354</v>
      </c>
      <c r="J122" s="1">
        <f>ROUND((I122-H122)/30.4,1)</f>
        <v/>
      </c>
      <c r="K122" s="1" t="inlineStr">
        <is>
          <t>No</t>
        </is>
      </c>
      <c r="L122" s="1" t="inlineStr">
        <is>
          <t>Includes a renewal option not yet exercised</t>
        </is>
      </c>
    </row>
    <row r="123">
      <c r="A123" s="1" t="inlineStr">
        <is>
          <t>BL-2026-0122</t>
        </is>
      </c>
      <c r="B123" s="1" t="inlineStr">
        <is>
          <t>AST-MSA-2026-56</t>
        </is>
      </c>
      <c r="C123" s="1" t="inlineStr">
        <is>
          <t>Asterion Logistics</t>
        </is>
      </c>
      <c r="D123" s="1" t="inlineStr">
        <is>
          <t>Remote operations</t>
        </is>
      </c>
      <c r="E123" s="1" t="n">
        <v>3130174.07</v>
      </c>
      <c r="F123" s="1" t="n">
        <v>344319.15</v>
      </c>
      <c r="G123" s="1">
        <f>ROUND(E123-F123,2)</f>
        <v/>
      </c>
      <c r="H123" s="2" t="n">
        <v>46080</v>
      </c>
      <c r="I123" s="2" t="n">
        <v>47204</v>
      </c>
      <c r="J123" s="1">
        <f>ROUND((I123-H123)/30.4,1)</f>
        <v/>
      </c>
      <c r="K123" s="1" t="inlineStr">
        <is>
          <t>No</t>
        </is>
      </c>
      <c r="L123" s="1" t="inlineStr">
        <is>
          <t>Recognized as milestones are accepted</t>
        </is>
      </c>
    </row>
    <row r="124">
      <c r="A124" s="1" t="inlineStr">
        <is>
          <t>BL-2026-0123</t>
        </is>
      </c>
      <c r="B124" s="1" t="inlineStr">
        <is>
          <t>CMS-MSA-2025-32</t>
        </is>
      </c>
      <c r="C124" s="1" t="inlineStr">
        <is>
          <t>Calder Marine Supply</t>
        </is>
      </c>
      <c r="D124" s="1" t="inlineStr">
        <is>
          <t>Robot systems</t>
        </is>
      </c>
      <c r="E124" s="1" t="n">
        <v>2836551.03</v>
      </c>
      <c r="F124" s="1" t="n">
        <v>1645199.6</v>
      </c>
      <c r="G124" s="1">
        <f>ROUND(E124-F124,2)</f>
        <v/>
      </c>
      <c r="H124" s="2" t="n">
        <v>45952</v>
      </c>
      <c r="I124" s="2" t="n">
        <v>46134</v>
      </c>
      <c r="J124" s="1">
        <f>ROUND((I124-H124)/30.4,1)</f>
        <v/>
      </c>
      <c r="K124" s="1" t="inlineStr">
        <is>
          <t>No</t>
        </is>
      </c>
      <c r="L124" s="1" t="inlineStr">
        <is>
          <t>Partially invoiced in advance</t>
        </is>
      </c>
    </row>
    <row r="125">
      <c r="A125" s="1" t="inlineStr">
        <is>
          <t>BL-2026-0124</t>
        </is>
      </c>
      <c r="B125" s="1" t="inlineStr">
        <is>
          <t>WCD-MSA-2025-58</t>
        </is>
      </c>
      <c r="C125" s="1" t="inlineStr">
        <is>
          <t>Westlake Chemical Depot</t>
        </is>
      </c>
      <c r="D125" s="1" t="inlineStr">
        <is>
          <t>Deployment services</t>
        </is>
      </c>
      <c r="E125" s="1" t="n">
        <v>1000834.41</v>
      </c>
      <c r="F125" s="1" t="n">
        <v>730609.12</v>
      </c>
      <c r="G125" s="1">
        <f>ROUND(E125-F125,2)</f>
        <v/>
      </c>
      <c r="H125" s="2" t="n">
        <v>45989</v>
      </c>
      <c r="I125" s="2" t="n">
        <v>46871</v>
      </c>
      <c r="J125" s="1">
        <f>ROUND((I125-H125)/30.4,1)</f>
        <v/>
      </c>
      <c r="K125" s="1" t="inlineStr">
        <is>
          <t>No</t>
        </is>
      </c>
      <c r="L125" s="1" t="inlineStr">
        <is>
          <t>Recognized as milestones are accepted</t>
        </is>
      </c>
    </row>
    <row r="126">
      <c r="A126" s="1" t="inlineStr">
        <is>
          <t>BL-2026-0125</t>
        </is>
      </c>
      <c r="B126" s="1" t="inlineStr">
        <is>
          <t>KPP-MSA-2025-82</t>
        </is>
      </c>
      <c r="C126" s="1" t="inlineStr">
        <is>
          <t>Keystone Paper &amp; Pack</t>
        </is>
      </c>
      <c r="D126" s="1" t="inlineStr">
        <is>
          <t>Robot systems</t>
        </is>
      </c>
      <c r="E126" s="1" t="n">
        <v>664748.35</v>
      </c>
      <c r="F126" s="1" t="n">
        <v>99712.25</v>
      </c>
      <c r="G126" s="1">
        <f>ROUND(E126-F126,2)</f>
        <v/>
      </c>
      <c r="H126" s="2" t="n">
        <v>45821</v>
      </c>
      <c r="I126" s="2" t="n">
        <v>46247</v>
      </c>
      <c r="J126" s="1">
        <f>ROUND((I126-H126)/30.4,1)</f>
        <v/>
      </c>
      <c r="K126" s="1" t="inlineStr">
        <is>
          <t>Yes with 90 days notice</t>
        </is>
      </c>
      <c r="L126" s="1" t="inlineStr">
        <is>
          <t>Recognized as milestones are accepted</t>
        </is>
      </c>
    </row>
    <row r="127">
      <c r="A127" s="1" t="inlineStr">
        <is>
          <t>BL-2026-0126</t>
        </is>
      </c>
      <c r="B127" s="1" t="inlineStr">
        <is>
          <t>WCD-MSA-2025-44</t>
        </is>
      </c>
      <c r="C127" s="1" t="inlineStr">
        <is>
          <t>Westlake Chemical Depot</t>
        </is>
      </c>
      <c r="D127" s="1" t="inlineStr">
        <is>
          <t>Support and spares</t>
        </is>
      </c>
      <c r="E127" s="1" t="n">
        <v>917558.09</v>
      </c>
      <c r="F127" s="1" t="n">
        <v>467954.63</v>
      </c>
      <c r="G127" s="1">
        <f>ROUND(E127-F127,2)</f>
        <v/>
      </c>
      <c r="H127" s="2" t="n">
        <v>45842</v>
      </c>
      <c r="I127" s="2" t="n">
        <v>47122</v>
      </c>
      <c r="J127" s="1">
        <f>ROUND((I127-H127)/30.4,1)</f>
        <v/>
      </c>
      <c r="K127" s="1" t="inlineStr">
        <is>
          <t>No</t>
        </is>
      </c>
      <c r="L127" s="1" t="inlineStr">
        <is>
          <t>Includes a renewal option not yet exercised</t>
        </is>
      </c>
    </row>
    <row r="128">
      <c r="A128" s="1" t="inlineStr">
        <is>
          <t>BL-2026-0127</t>
        </is>
      </c>
      <c r="B128" s="1" t="inlineStr">
        <is>
          <t>VRS-MSA-2025-55</t>
        </is>
      </c>
      <c r="C128" s="1" t="inlineStr">
        <is>
          <t>Vantage Robotics Supply</t>
        </is>
      </c>
      <c r="D128" s="1" t="inlineStr">
        <is>
          <t>Robot systems</t>
        </is>
      </c>
      <c r="E128" s="1" t="n">
        <v>4161110.62</v>
      </c>
      <c r="F128" s="1" t="n">
        <v>2080555.31</v>
      </c>
      <c r="G128" s="1">
        <f>ROUND(E128-F128,2)</f>
        <v/>
      </c>
      <c r="H128" s="2" t="n">
        <v>45828</v>
      </c>
      <c r="I128" s="2" t="n">
        <v>46863</v>
      </c>
      <c r="J128" s="1">
        <f>ROUND((I128-H128)/30.4,1)</f>
        <v/>
      </c>
      <c r="K128" s="1" t="inlineStr">
        <is>
          <t>Yes on convenience</t>
        </is>
      </c>
      <c r="L128" s="1" t="inlineStr">
        <is>
          <t>Includes a renewal option not yet exercised</t>
        </is>
      </c>
    </row>
    <row r="129">
      <c r="A129" s="1" t="inlineStr">
        <is>
          <t>BL-2026-0128</t>
        </is>
      </c>
      <c r="B129" s="1" t="inlineStr">
        <is>
          <t>SRR-MSA-2025-11</t>
        </is>
      </c>
      <c r="C129" s="1" t="inlineStr">
        <is>
          <t>Summit Ridge Retail</t>
        </is>
      </c>
      <c r="D129" s="1" t="inlineStr">
        <is>
          <t>Platform subscription</t>
        </is>
      </c>
      <c r="E129" s="1" t="n">
        <v>2329021.42</v>
      </c>
      <c r="F129" s="1" t="n">
        <v>419223.86</v>
      </c>
      <c r="G129" s="1">
        <f>ROUND(E129-F129,2)</f>
        <v/>
      </c>
      <c r="H129" s="2" t="n">
        <v>45835</v>
      </c>
      <c r="I129" s="2" t="n">
        <v>46534</v>
      </c>
      <c r="J129" s="1">
        <f>ROUND((I129-H129)/30.4,1)</f>
        <v/>
      </c>
      <c r="K129" s="1" t="inlineStr">
        <is>
          <t>No</t>
        </is>
      </c>
      <c r="L129" s="1" t="inlineStr">
        <is>
          <t>Recognized as milestones are accepted</t>
        </is>
      </c>
    </row>
    <row r="130">
      <c r="A130" s="1" t="inlineStr">
        <is>
          <t>BL-2026-0129</t>
        </is>
      </c>
      <c r="B130" s="1" t="inlineStr">
        <is>
          <t>GPD-MSA-2026-89</t>
        </is>
      </c>
      <c r="C130" s="1" t="inlineStr">
        <is>
          <t>Granite Peak Distribution</t>
        </is>
      </c>
      <c r="D130" s="1" t="inlineStr">
        <is>
          <t>Remote operations</t>
        </is>
      </c>
      <c r="E130" s="1" t="n">
        <v>934282.9399999999</v>
      </c>
      <c r="F130" s="1" t="n">
        <v>317656.2</v>
      </c>
      <c r="G130" s="1">
        <f>ROUND(E130-F130,2)</f>
        <v/>
      </c>
      <c r="H130" s="2" t="n">
        <v>46162</v>
      </c>
      <c r="I130" s="2" t="n">
        <v>47319</v>
      </c>
      <c r="J130" s="1">
        <f>ROUND((I130-H130)/30.4,1)</f>
        <v/>
      </c>
      <c r="K130" s="1" t="inlineStr">
        <is>
          <t>Yes on convenience</t>
        </is>
      </c>
      <c r="L130" s="1" t="inlineStr">
        <is>
          <t>Partially invoiced in advance</t>
        </is>
      </c>
    </row>
    <row r="131">
      <c r="A131" s="1" t="inlineStr">
        <is>
          <t>BL-2026-0130</t>
        </is>
      </c>
      <c r="B131" s="1" t="inlineStr">
        <is>
          <t>EVW-MSA-2025-41</t>
        </is>
      </c>
      <c r="C131" s="1" t="inlineStr">
        <is>
          <t>Evergreen Warehousing</t>
        </is>
      </c>
      <c r="D131" s="1" t="inlineStr">
        <is>
          <t>Support and spares</t>
        </is>
      </c>
      <c r="E131" s="1" t="n">
        <v>2372364.05</v>
      </c>
      <c r="F131" s="1" t="n">
        <v>1518312.99</v>
      </c>
      <c r="G131" s="1">
        <f>ROUND(E131-F131,2)</f>
        <v/>
      </c>
      <c r="H131" s="2" t="n">
        <v>45954</v>
      </c>
      <c r="I131" s="2" t="n">
        <v>46136</v>
      </c>
      <c r="J131" s="1">
        <f>ROUND((I131-H131)/30.4,1)</f>
        <v/>
      </c>
      <c r="K131" s="1" t="inlineStr">
        <is>
          <t>Yes with 90 days notice</t>
        </is>
      </c>
      <c r="L131" s="1" t="inlineStr">
        <is>
          <t>Recognized as milestones are accepted</t>
        </is>
      </c>
    </row>
    <row r="132">
      <c r="A132" s="1" t="inlineStr">
        <is>
          <t>BL-2026-0131</t>
        </is>
      </c>
      <c r="B132" s="1" t="inlineStr">
        <is>
          <t>BWA-MSA-2026-75</t>
        </is>
      </c>
      <c r="C132" s="1" t="inlineStr">
        <is>
          <t>Bellweather Auto Group</t>
        </is>
      </c>
      <c r="D132" s="1" t="inlineStr">
        <is>
          <t>Remote operations</t>
        </is>
      </c>
      <c r="E132" s="1" t="n">
        <v>1602883.81</v>
      </c>
      <c r="F132" s="1" t="n">
        <v>1218191.7</v>
      </c>
      <c r="G132" s="1">
        <f>ROUND(E132-F132,2)</f>
        <v/>
      </c>
      <c r="H132" s="2" t="n">
        <v>46080</v>
      </c>
      <c r="I132" s="2" t="n">
        <v>47023</v>
      </c>
      <c r="J132" s="1">
        <f>ROUND((I132-H132)/30.4,1)</f>
        <v/>
      </c>
      <c r="K132" s="1" t="inlineStr">
        <is>
          <t>Yes with 90 days notice</t>
        </is>
      </c>
      <c r="L132" s="1" t="inlineStr">
        <is>
          <t>Awaiting site readiness before recognition starts</t>
        </is>
      </c>
    </row>
    <row r="133">
      <c r="A133" s="1" t="inlineStr">
        <is>
          <t>BL-2026-0132</t>
        </is>
      </c>
      <c r="B133" s="1" t="inlineStr">
        <is>
          <t>YHG-MSA-2025-30</t>
        </is>
      </c>
      <c r="C133" s="1" t="inlineStr">
        <is>
          <t>Yarrow Home Goods</t>
        </is>
      </c>
      <c r="D133" s="1" t="inlineStr">
        <is>
          <t>Support and spares</t>
        </is>
      </c>
      <c r="E133" s="1" t="n">
        <v>1614682.57</v>
      </c>
      <c r="F133" s="1" t="n">
        <v>904222.24</v>
      </c>
      <c r="G133" s="1">
        <f>ROUND(E133-F133,2)</f>
        <v/>
      </c>
      <c r="H133" s="2" t="n">
        <v>46003</v>
      </c>
      <c r="I133" s="2" t="n">
        <v>46458</v>
      </c>
      <c r="J133" s="1">
        <f>ROUND((I133-H133)/30.4,1)</f>
        <v/>
      </c>
      <c r="K133" s="1" t="inlineStr">
        <is>
          <t>No</t>
        </is>
      </c>
      <c r="L133" s="1" t="inlineStr">
        <is>
          <t>Straight-line over the subscription term</t>
        </is>
      </c>
    </row>
    <row r="134">
      <c r="A134" s="1" t="inlineStr">
        <is>
          <t>BL-2026-0133</t>
        </is>
      </c>
      <c r="B134" s="1" t="inlineStr">
        <is>
          <t>NFB-MSA-2025-39</t>
        </is>
      </c>
      <c r="C134" s="1" t="inlineStr">
        <is>
          <t>Northfield Beverage</t>
        </is>
      </c>
      <c r="D134" s="1" t="inlineStr">
        <is>
          <t>Deployment services</t>
        </is>
      </c>
      <c r="E134" s="1" t="n">
        <v>806499.13</v>
      </c>
      <c r="F134" s="1" t="n">
        <v>282274.7</v>
      </c>
      <c r="G134" s="1">
        <f>ROUND(E134-F134,2)</f>
        <v/>
      </c>
      <c r="H134" s="2" t="n">
        <v>45994</v>
      </c>
      <c r="I134" s="2" t="n">
        <v>46663</v>
      </c>
      <c r="J134" s="1">
        <f>ROUND((I134-H134)/30.4,1)</f>
        <v/>
      </c>
      <c r="K134" s="1" t="inlineStr">
        <is>
          <t>Yes on convenience</t>
        </is>
      </c>
      <c r="L134" s="1" t="inlineStr">
        <is>
          <t>Includes a renewal option not yet exercised</t>
        </is>
      </c>
    </row>
    <row r="135">
      <c r="A135" s="1" t="inlineStr">
        <is>
          <t>BL-2026-0134</t>
        </is>
      </c>
      <c r="B135" s="1" t="inlineStr">
        <is>
          <t>DGC-MSA-2025-83</t>
        </is>
      </c>
      <c r="C135" s="1" t="inlineStr">
        <is>
          <t>Dorsey Grain Cooperative</t>
        </is>
      </c>
      <c r="D135" s="1" t="inlineStr">
        <is>
          <t>Deployment services</t>
        </is>
      </c>
      <c r="E135" s="1" t="n">
        <v>3892840.25</v>
      </c>
      <c r="F135" s="1" t="n">
        <v>350355.62</v>
      </c>
      <c r="G135" s="1">
        <f>ROUND(E135-F135,2)</f>
        <v/>
      </c>
      <c r="H135" s="2" t="n">
        <v>45933</v>
      </c>
      <c r="I135" s="2" t="n">
        <v>46298</v>
      </c>
      <c r="J135" s="1">
        <f>ROUND((I135-H135)/30.4,1)</f>
        <v/>
      </c>
      <c r="K135" s="1" t="inlineStr">
        <is>
          <t>No</t>
        </is>
      </c>
      <c r="L135" s="1" t="inlineStr">
        <is>
          <t>Recognized as milestones are accepted</t>
        </is>
      </c>
    </row>
    <row r="136">
      <c r="A136" s="1" t="inlineStr">
        <is>
          <t>BL-2026-0135</t>
        </is>
      </c>
      <c r="B136" s="1" t="inlineStr">
        <is>
          <t>IVG-MSA-2025-55</t>
        </is>
      </c>
      <c r="C136" s="1" t="inlineStr">
        <is>
          <t>Ironvale Grocery Group</t>
        </is>
      </c>
      <c r="D136" s="1" t="inlineStr">
        <is>
          <t>Remote operations</t>
        </is>
      </c>
      <c r="E136" s="1" t="n">
        <v>247291.28</v>
      </c>
      <c r="F136" s="1" t="n">
        <v>51931.17</v>
      </c>
      <c r="G136" s="1">
        <f>ROUND(E136-F136,2)</f>
        <v/>
      </c>
      <c r="H136" s="2" t="n">
        <v>45751</v>
      </c>
      <c r="I136" s="2" t="n">
        <v>46725</v>
      </c>
      <c r="J136" s="1">
        <f>ROUND((I136-H136)/30.4,1)</f>
        <v/>
      </c>
      <c r="K136" s="1" t="inlineStr">
        <is>
          <t>Yes on convenience</t>
        </is>
      </c>
      <c r="L136" s="1" t="inlineStr">
        <is>
          <t>Awaiting site readiness before recognition starts</t>
        </is>
      </c>
    </row>
    <row r="137">
      <c r="A137" s="1" t="inlineStr">
        <is>
          <t>BL-2026-0136</t>
        </is>
      </c>
      <c r="B137" s="1" t="inlineStr">
        <is>
          <t>UVP-MSA-2025-54</t>
        </is>
      </c>
      <c r="C137" s="1" t="inlineStr">
        <is>
          <t>Union Vale Pharma</t>
        </is>
      </c>
      <c r="D137" s="1" t="inlineStr">
        <is>
          <t>Remote operations</t>
        </is>
      </c>
      <c r="E137" s="1" t="n">
        <v>4218466.96</v>
      </c>
      <c r="F137" s="1" t="n">
        <v>506216.04</v>
      </c>
      <c r="G137" s="1">
        <f>ROUND(E137-F137,2)</f>
        <v/>
      </c>
      <c r="H137" s="2" t="n">
        <v>45786</v>
      </c>
      <c r="I137" s="2" t="n">
        <v>46455</v>
      </c>
      <c r="J137" s="1">
        <f>ROUND((I137-H137)/30.4,1)</f>
        <v/>
      </c>
      <c r="K137" s="1" t="inlineStr">
        <is>
          <t>Yes on convenience</t>
        </is>
      </c>
      <c r="L137" s="1" t="inlineStr">
        <is>
          <t>Includes a renewal option not yet exercised</t>
        </is>
      </c>
    </row>
    <row r="138">
      <c r="A138" s="1" t="inlineStr">
        <is>
          <t>BL-2026-0137</t>
        </is>
      </c>
      <c r="B138" s="1" t="inlineStr">
        <is>
          <t>OGF-MSA-2026-30</t>
        </is>
      </c>
      <c r="C138" s="1" t="inlineStr">
        <is>
          <t>Orchard Grove Foods</t>
        </is>
      </c>
      <c r="D138" s="1" t="inlineStr">
        <is>
          <t>Platform subscription</t>
        </is>
      </c>
      <c r="E138" s="1" t="n">
        <v>4431575.94</v>
      </c>
      <c r="F138" s="1" t="n">
        <v>1772630.38</v>
      </c>
      <c r="G138" s="1">
        <f>ROUND(E138-F138,2)</f>
        <v/>
      </c>
      <c r="H138" s="2" t="n">
        <v>46100</v>
      </c>
      <c r="I138" s="2" t="n">
        <v>46831</v>
      </c>
      <c r="J138" s="1">
        <f>ROUND((I138-H138)/30.4,1)</f>
        <v/>
      </c>
      <c r="K138" s="1" t="inlineStr">
        <is>
          <t>Yes on convenience</t>
        </is>
      </c>
      <c r="L138" s="1" t="inlineStr">
        <is>
          <t>Partially invoiced in advance</t>
        </is>
      </c>
    </row>
    <row r="139">
      <c r="A139" s="1" t="inlineStr">
        <is>
          <t>BL-2026-0138</t>
        </is>
      </c>
      <c r="B139" s="1" t="inlineStr">
        <is>
          <t>PFU-MSA-2025-48</t>
        </is>
      </c>
      <c r="C139" s="1" t="inlineStr">
        <is>
          <t>Pioneer Freight Union</t>
        </is>
      </c>
      <c r="D139" s="1" t="inlineStr">
        <is>
          <t>Robot systems</t>
        </is>
      </c>
      <c r="E139" s="1" t="n">
        <v>1751424.64</v>
      </c>
      <c r="F139" s="1" t="n">
        <v>542941.64</v>
      </c>
      <c r="G139" s="1">
        <f>ROUND(E139-F139,2)</f>
        <v/>
      </c>
      <c r="H139" s="2" t="n">
        <v>45910</v>
      </c>
      <c r="I139" s="2" t="n">
        <v>46456</v>
      </c>
      <c r="J139" s="1">
        <f>ROUND((I139-H139)/30.4,1)</f>
        <v/>
      </c>
      <c r="K139" s="1" t="inlineStr">
        <is>
          <t>No</t>
        </is>
      </c>
      <c r="L139" s="1" t="inlineStr">
        <is>
          <t>Awaiting site readiness before recognition starts</t>
        </is>
      </c>
    </row>
    <row r="140">
      <c r="A140" s="1" t="inlineStr">
        <is>
          <t>BL-2026-0139</t>
        </is>
      </c>
      <c r="B140" s="1" t="inlineStr">
        <is>
          <t>OGF-MSA-2025-21</t>
        </is>
      </c>
      <c r="C140" s="1" t="inlineStr">
        <is>
          <t>Orchard Grove Foods</t>
        </is>
      </c>
      <c r="D140" s="1" t="inlineStr">
        <is>
          <t>Remote operations</t>
        </is>
      </c>
      <c r="E140" s="1" t="n">
        <v>3236990.02</v>
      </c>
      <c r="F140" s="1" t="n">
        <v>1715604.71</v>
      </c>
      <c r="G140" s="1">
        <f>ROUND(E140-F140,2)</f>
        <v/>
      </c>
      <c r="H140" s="2" t="n">
        <v>45779</v>
      </c>
      <c r="I140" s="2" t="n">
        <v>46205</v>
      </c>
      <c r="J140" s="1">
        <f>ROUND((I140-H140)/30.4,1)</f>
        <v/>
      </c>
      <c r="K140" s="1" t="inlineStr">
        <is>
          <t>No</t>
        </is>
      </c>
      <c r="L140" s="1" t="inlineStr">
        <is>
          <t>Awaiting site readiness before recognition starts</t>
        </is>
      </c>
    </row>
    <row r="141">
      <c r="A141" s="1" t="inlineStr">
        <is>
          <t>BL-2026-0140</t>
        </is>
      </c>
      <c r="B141" s="1" t="inlineStr">
        <is>
          <t>SRR-MSA-2026-12</t>
        </is>
      </c>
      <c r="C141" s="1" t="inlineStr">
        <is>
          <t>Summit Ridge Retail</t>
        </is>
      </c>
      <c r="D141" s="1" t="inlineStr">
        <is>
          <t>Platform subscription</t>
        </is>
      </c>
      <c r="E141" s="1" t="n">
        <v>888728.37</v>
      </c>
      <c r="F141" s="1" t="n">
        <v>391040.48</v>
      </c>
      <c r="G141" s="1">
        <f>ROUND(E141-F141,2)</f>
        <v/>
      </c>
      <c r="H141" s="2" t="n">
        <v>46132</v>
      </c>
      <c r="I141" s="2" t="n">
        <v>46466</v>
      </c>
      <c r="J141" s="1">
        <f>ROUND((I141-H141)/30.4,1)</f>
        <v/>
      </c>
      <c r="K141" s="1" t="inlineStr">
        <is>
          <t>No</t>
        </is>
      </c>
      <c r="L141" s="1" t="inlineStr">
        <is>
          <t>Partially invoiced in advance</t>
        </is>
      </c>
    </row>
    <row r="142">
      <c r="A142" s="1" t="inlineStr">
        <is>
          <t>BL-2026-0141</t>
        </is>
      </c>
      <c r="B142" s="1" t="inlineStr">
        <is>
          <t>UVP-MSA-2025-35</t>
        </is>
      </c>
      <c r="C142" s="1" t="inlineStr">
        <is>
          <t>Union Vale Pharma</t>
        </is>
      </c>
      <c r="D142" s="1" t="inlineStr">
        <is>
          <t>Deployment services</t>
        </is>
      </c>
      <c r="E142" s="1" t="n">
        <v>2643601.79</v>
      </c>
      <c r="F142" s="1" t="n">
        <v>555156.38</v>
      </c>
      <c r="G142" s="1">
        <f>ROUND(E142-F142,2)</f>
        <v/>
      </c>
      <c r="H142" s="2" t="n">
        <v>45856</v>
      </c>
      <c r="I142" s="2" t="n">
        <v>46770</v>
      </c>
      <c r="J142" s="1">
        <f>ROUND((I142-H142)/30.4,1)</f>
        <v/>
      </c>
      <c r="K142" s="1" t="inlineStr">
        <is>
          <t>No</t>
        </is>
      </c>
      <c r="L142" s="1" t="inlineStr">
        <is>
          <t>Straight-line over the subscription term</t>
        </is>
      </c>
    </row>
    <row r="143">
      <c r="A143" s="1" t="inlineStr">
        <is>
          <t>BL-2026-0142</t>
        </is>
      </c>
      <c r="B143" s="1" t="inlineStr">
        <is>
          <t>RWO-MSA-2025-63</t>
        </is>
      </c>
      <c r="C143" s="1" t="inlineStr">
        <is>
          <t>Redwood Optics</t>
        </is>
      </c>
      <c r="D143" s="1" t="inlineStr">
        <is>
          <t>Support and spares</t>
        </is>
      </c>
      <c r="E143" s="1" t="n">
        <v>617723.89</v>
      </c>
      <c r="F143" s="1" t="n">
        <v>395343.29</v>
      </c>
      <c r="G143" s="1">
        <f>ROUND(E143-F143,2)</f>
        <v/>
      </c>
      <c r="H143" s="2" t="n">
        <v>45926</v>
      </c>
      <c r="I143" s="2" t="n">
        <v>47203</v>
      </c>
      <c r="J143" s="1">
        <f>ROUND((I143-H143)/30.4,1)</f>
        <v/>
      </c>
      <c r="K143" s="1" t="inlineStr">
        <is>
          <t>Yes on convenience</t>
        </is>
      </c>
      <c r="L143" s="1" t="inlineStr">
        <is>
          <t>Recognized as milestones are accepted</t>
        </is>
      </c>
    </row>
    <row r="144">
      <c r="A144" s="1" t="inlineStr">
        <is>
          <t>BL-2026-0143</t>
        </is>
      </c>
      <c r="B144" s="1" t="inlineStr">
        <is>
          <t>WCD-MSA-2025-12</t>
        </is>
      </c>
      <c r="C144" s="1" t="inlineStr">
        <is>
          <t>Westlake Chemical Depot</t>
        </is>
      </c>
      <c r="D144" s="1" t="inlineStr">
        <is>
          <t>Remote operations</t>
        </is>
      </c>
      <c r="E144" s="1" t="n">
        <v>2469900.23</v>
      </c>
      <c r="F144" s="1" t="n">
        <v>370485.03</v>
      </c>
      <c r="G144" s="1">
        <f>ROUND(E144-F144,2)</f>
        <v/>
      </c>
      <c r="H144" s="2" t="n">
        <v>45952</v>
      </c>
      <c r="I144" s="2" t="n">
        <v>47171</v>
      </c>
      <c r="J144" s="1">
        <f>ROUND((I144-H144)/30.4,1)</f>
        <v/>
      </c>
      <c r="K144" s="1" t="inlineStr">
        <is>
          <t>Yes on convenience</t>
        </is>
      </c>
      <c r="L144" s="1" t="inlineStr">
        <is>
          <t>Straight-line over the subscription term</t>
        </is>
      </c>
    </row>
    <row r="145">
      <c r="A145" s="1" t="inlineStr">
        <is>
          <t>BL-2026-0144</t>
        </is>
      </c>
      <c r="B145" s="1" t="inlineStr">
        <is>
          <t>FTM-MSA-2025-44</t>
        </is>
      </c>
      <c r="C145" s="1" t="inlineStr">
        <is>
          <t>Fathom Mobility</t>
        </is>
      </c>
      <c r="D145" s="1" t="inlineStr">
        <is>
          <t>Robot systems</t>
        </is>
      </c>
      <c r="E145" s="1" t="n">
        <v>3274370.44</v>
      </c>
      <c r="F145" s="1" t="n">
        <v>1211517.06</v>
      </c>
      <c r="G145" s="1">
        <f>ROUND(E145-F145,2)</f>
        <v/>
      </c>
      <c r="H145" s="2" t="n">
        <v>45758</v>
      </c>
      <c r="I145" s="2" t="n">
        <v>46945</v>
      </c>
      <c r="J145" s="1">
        <f>ROUND((I145-H145)/30.4,1)</f>
        <v/>
      </c>
      <c r="K145" s="1" t="inlineStr">
        <is>
          <t>No</t>
        </is>
      </c>
      <c r="L145" s="1" t="inlineStr">
        <is>
          <t>Awaiting site readiness before recognition starts</t>
        </is>
      </c>
    </row>
    <row r="146">
      <c r="A146" s="1" t="inlineStr">
        <is>
          <t>BL-2026-0145</t>
        </is>
      </c>
      <c r="B146" s="1" t="inlineStr">
        <is>
          <t>ABT-MSA-2025-74</t>
        </is>
      </c>
      <c r="C146" s="1" t="inlineStr">
        <is>
          <t>Alderbrook Textiles</t>
        </is>
      </c>
      <c r="D146" s="1" t="inlineStr">
        <is>
          <t>Deployment services</t>
        </is>
      </c>
      <c r="E146" s="1" t="n">
        <v>1811248.99</v>
      </c>
      <c r="F146" s="1" t="n">
        <v>1376549.23</v>
      </c>
      <c r="G146" s="1">
        <f>ROUND(E146-F146,2)</f>
        <v/>
      </c>
      <c r="H146" s="2" t="n">
        <v>45930</v>
      </c>
      <c r="I146" s="2" t="n">
        <v>46873</v>
      </c>
      <c r="J146" s="1">
        <f>ROUND((I146-H146)/30.4,1)</f>
        <v/>
      </c>
      <c r="K146" s="1" t="inlineStr">
        <is>
          <t>No</t>
        </is>
      </c>
      <c r="L146" s="1" t="inlineStr">
        <is>
          <t>Partially invoiced in advance</t>
        </is>
      </c>
    </row>
    <row r="147">
      <c r="A147" s="1" t="inlineStr">
        <is>
          <t>BL-2026-0146</t>
        </is>
      </c>
      <c r="B147" s="1" t="inlineStr">
        <is>
          <t>UVP-MSA-2026-82</t>
        </is>
      </c>
      <c r="C147" s="1" t="inlineStr">
        <is>
          <t>Union Vale Pharma</t>
        </is>
      </c>
      <c r="D147" s="1" t="inlineStr">
        <is>
          <t>Remote operations</t>
        </is>
      </c>
      <c r="E147" s="1" t="n">
        <v>4135133.17</v>
      </c>
      <c r="F147" s="1" t="n">
        <v>1612701.94</v>
      </c>
      <c r="G147" s="1">
        <f>ROUND(E147-F147,2)</f>
        <v/>
      </c>
      <c r="H147" s="2" t="n">
        <v>46156</v>
      </c>
      <c r="I147" s="2" t="n">
        <v>46797</v>
      </c>
      <c r="J147" s="1">
        <f>ROUND((I147-H147)/30.4,1)</f>
        <v/>
      </c>
      <c r="K147" s="1" t="inlineStr">
        <is>
          <t>Yes on convenience</t>
        </is>
      </c>
      <c r="L147" s="1" t="inlineStr">
        <is>
          <t>Awaiting site readiness before recognition starts</t>
        </is>
      </c>
    </row>
    <row r="148">
      <c r="A148" s="1" t="inlineStr">
        <is>
          <t>BL-2026-0147</t>
        </is>
      </c>
      <c r="B148" s="1" t="inlineStr">
        <is>
          <t>NFB-MSA-2026-31</t>
        </is>
      </c>
      <c r="C148" s="1" t="inlineStr">
        <is>
          <t>Northfield Beverage</t>
        </is>
      </c>
      <c r="D148" s="1" t="inlineStr">
        <is>
          <t>Remote operations</t>
        </is>
      </c>
      <c r="E148" s="1" t="n">
        <v>439393.58</v>
      </c>
      <c r="F148" s="1" t="n">
        <v>8787.870000000001</v>
      </c>
      <c r="G148" s="1">
        <f>ROUND(E148-F148,2)</f>
        <v/>
      </c>
      <c r="H148" s="2" t="n">
        <v>46094</v>
      </c>
      <c r="I148" s="2" t="n">
        <v>47221</v>
      </c>
      <c r="J148" s="1">
        <f>ROUND((I148-H148)/30.4,1)</f>
        <v/>
      </c>
      <c r="K148" s="1" t="inlineStr">
        <is>
          <t>Yes with 90 days notice</t>
        </is>
      </c>
      <c r="L148" s="1" t="inlineStr">
        <is>
          <t>Awaiting site readiness before recognition starts</t>
        </is>
      </c>
    </row>
    <row r="149">
      <c r="A149" s="1" t="inlineStr">
        <is>
          <t>BL-2026-0148</t>
        </is>
      </c>
      <c r="B149" s="1" t="inlineStr">
        <is>
          <t>IVG-MSA-2026-14</t>
        </is>
      </c>
      <c r="C149" s="1" t="inlineStr">
        <is>
          <t>Ironvale Grocery Group</t>
        </is>
      </c>
      <c r="D149" s="1" t="inlineStr">
        <is>
          <t>Platform subscription</t>
        </is>
      </c>
      <c r="E149" s="1" t="n">
        <v>1671904.34</v>
      </c>
      <c r="F149" s="1" t="n">
        <v>518290.35</v>
      </c>
      <c r="G149" s="1">
        <f>ROUND(E149-F149,2)</f>
        <v/>
      </c>
      <c r="H149" s="2" t="n">
        <v>46157</v>
      </c>
      <c r="I149" s="2" t="n">
        <v>46522</v>
      </c>
      <c r="J149" s="1">
        <f>ROUND((I149-H149)/30.4,1)</f>
        <v/>
      </c>
      <c r="K149" s="1" t="inlineStr">
        <is>
          <t>No</t>
        </is>
      </c>
      <c r="L149" s="1" t="inlineStr">
        <is>
          <t>Awaiting site readiness before recognition starts</t>
        </is>
      </c>
    </row>
    <row r="150">
      <c r="A150" s="1" t="inlineStr">
        <is>
          <t>BL-2026-0149</t>
        </is>
      </c>
      <c r="B150" s="1" t="inlineStr">
        <is>
          <t>CMS-MSA-2025-49</t>
        </is>
      </c>
      <c r="C150" s="1" t="inlineStr">
        <is>
          <t>Calder Marine Supply</t>
        </is>
      </c>
      <c r="D150" s="1" t="inlineStr">
        <is>
          <t>Deployment services</t>
        </is>
      </c>
      <c r="E150" s="1" t="n">
        <v>2773138.65</v>
      </c>
      <c r="F150" s="1" t="n">
        <v>887404.37</v>
      </c>
      <c r="G150" s="1">
        <f>ROUND(E150-F150,2)</f>
        <v/>
      </c>
      <c r="H150" s="2" t="n">
        <v>45811</v>
      </c>
      <c r="I150" s="2" t="n">
        <v>47060</v>
      </c>
      <c r="J150" s="1">
        <f>ROUND((I150-H150)/30.4,1)</f>
        <v/>
      </c>
      <c r="K150" s="1" t="inlineStr">
        <is>
          <t>Yes with 90 days notice</t>
        </is>
      </c>
      <c r="L150" s="1" t="inlineStr">
        <is>
          <t>Awaiting site readiness before recognition starts</t>
        </is>
      </c>
    </row>
    <row r="151">
      <c r="A151" s="1" t="inlineStr">
        <is>
          <t>BL-2026-0150</t>
        </is>
      </c>
      <c r="B151" s="1" t="inlineStr">
        <is>
          <t>CMS-MSA-2025-78</t>
        </is>
      </c>
      <c r="C151" s="1" t="inlineStr">
        <is>
          <t>Calder Marine Supply</t>
        </is>
      </c>
      <c r="D151" s="1" t="inlineStr">
        <is>
          <t>Platform subscription</t>
        </is>
      </c>
      <c r="E151" s="1" t="n">
        <v>2710419.08</v>
      </c>
      <c r="F151" s="1" t="n">
        <v>542083.8199999999</v>
      </c>
      <c r="G151" s="1">
        <f>ROUND(E151-F151,2)</f>
        <v/>
      </c>
      <c r="H151" s="2" t="n">
        <v>45863</v>
      </c>
      <c r="I151" s="2" t="n">
        <v>46655</v>
      </c>
      <c r="J151" s="1">
        <f>ROUND((I151-H151)/30.4,1)</f>
        <v/>
      </c>
      <c r="K151" s="1" t="inlineStr">
        <is>
          <t>Yes with 90 days notice</t>
        </is>
      </c>
      <c r="L151" s="1" t="inlineStr">
        <is>
          <t>Straight-line over the subscription term</t>
        </is>
      </c>
    </row>
    <row r="152">
      <c r="A152" s="1" t="inlineStr">
        <is>
          <t>BL-2026-0151</t>
        </is>
      </c>
      <c r="B152" s="1" t="inlineStr">
        <is>
          <t>GPD-MSA-2026-25</t>
        </is>
      </c>
      <c r="C152" s="1" t="inlineStr">
        <is>
          <t>Granite Peak Distribution</t>
        </is>
      </c>
      <c r="D152" s="1" t="inlineStr">
        <is>
          <t>Support and spares</t>
        </is>
      </c>
      <c r="E152" s="1" t="n">
        <v>2621605.72</v>
      </c>
      <c r="F152" s="1" t="n">
        <v>1337018.92</v>
      </c>
      <c r="G152" s="1">
        <f>ROUND(E152-F152,2)</f>
        <v/>
      </c>
      <c r="H152" s="2" t="n">
        <v>46101</v>
      </c>
      <c r="I152" s="2" t="n">
        <v>47138</v>
      </c>
      <c r="J152" s="1">
        <f>ROUND((I152-H152)/30.4,1)</f>
        <v/>
      </c>
      <c r="K152" s="1" t="inlineStr">
        <is>
          <t>No</t>
        </is>
      </c>
      <c r="L152" s="1" t="inlineStr">
        <is>
          <t>Partially invoiced in advance</t>
        </is>
      </c>
    </row>
    <row r="153">
      <c r="A153" s="1" t="inlineStr">
        <is>
          <t>BL-2026-0152</t>
        </is>
      </c>
      <c r="B153" s="1" t="inlineStr">
        <is>
          <t>FTM-MSA-2025-84</t>
        </is>
      </c>
      <c r="C153" s="1" t="inlineStr">
        <is>
          <t>Fathom Mobility</t>
        </is>
      </c>
      <c r="D153" s="1" t="inlineStr">
        <is>
          <t>Remote operations</t>
        </is>
      </c>
      <c r="E153" s="1" t="n">
        <v>3716845.19</v>
      </c>
      <c r="F153" s="1" t="n">
        <v>1635411.88</v>
      </c>
      <c r="G153" s="1">
        <f>ROUND(E153-F153,2)</f>
        <v/>
      </c>
      <c r="H153" s="2" t="n">
        <v>45852</v>
      </c>
      <c r="I153" s="2" t="n">
        <v>46613</v>
      </c>
      <c r="J153" s="1">
        <f>ROUND((I153-H153)/30.4,1)</f>
        <v/>
      </c>
      <c r="K153" s="1" t="inlineStr">
        <is>
          <t>Yes with 90 days notice</t>
        </is>
      </c>
      <c r="L153" s="1" t="inlineStr">
        <is>
          <t>Recognized as milestones are accepted</t>
        </is>
      </c>
    </row>
    <row r="154">
      <c r="A154" s="1" t="inlineStr">
        <is>
          <t>BL-2026-0153</t>
        </is>
      </c>
      <c r="B154" s="1" t="inlineStr">
        <is>
          <t>BWA-MSA-2025-66</t>
        </is>
      </c>
      <c r="C154" s="1" t="inlineStr">
        <is>
          <t>Bellweather Auto Group</t>
        </is>
      </c>
      <c r="D154" s="1" t="inlineStr">
        <is>
          <t>Deployment services</t>
        </is>
      </c>
      <c r="E154" s="1" t="n">
        <v>1576379.51</v>
      </c>
      <c r="F154" s="1" t="n">
        <v>1182284.63</v>
      </c>
      <c r="G154" s="1">
        <f>ROUND(E154-F154,2)</f>
        <v/>
      </c>
      <c r="H154" s="2" t="n">
        <v>45756</v>
      </c>
      <c r="I154" s="2" t="n">
        <v>46516</v>
      </c>
      <c r="J154" s="1">
        <f>ROUND((I154-H154)/30.4,1)</f>
        <v/>
      </c>
      <c r="K154" s="1" t="inlineStr">
        <is>
          <t>No</t>
        </is>
      </c>
      <c r="L154" s="1" t="inlineStr">
        <is>
          <t>Awaiting site readiness before recognition starts</t>
        </is>
      </c>
    </row>
    <row r="155">
      <c r="A155" s="1" t="inlineStr">
        <is>
          <t>BL-2026-0154</t>
        </is>
      </c>
      <c r="B155" s="1" t="inlineStr">
        <is>
          <t>IVG-MSA-2025-86</t>
        </is>
      </c>
      <c r="C155" s="1" t="inlineStr">
        <is>
          <t>Ironvale Grocery Group</t>
        </is>
      </c>
      <c r="D155" s="1" t="inlineStr">
        <is>
          <t>Support and spares</t>
        </is>
      </c>
      <c r="E155" s="1" t="n">
        <v>3754295.02</v>
      </c>
      <c r="F155" s="1" t="n">
        <v>300343.6</v>
      </c>
      <c r="G155" s="1">
        <f>ROUND(E155-F155,2)</f>
        <v/>
      </c>
      <c r="H155" s="2" t="n">
        <v>45985</v>
      </c>
      <c r="I155" s="2" t="n">
        <v>46989</v>
      </c>
      <c r="J155" s="1">
        <f>ROUND((I155-H155)/30.4,1)</f>
        <v/>
      </c>
      <c r="K155" s="1" t="inlineStr">
        <is>
          <t>Yes with 90 days notice</t>
        </is>
      </c>
      <c r="L155" s="1" t="inlineStr">
        <is>
          <t>Includes a renewal option not yet exercised</t>
        </is>
      </c>
    </row>
    <row r="156">
      <c r="A156" s="1" t="inlineStr">
        <is>
          <t>BL-2026-0155</t>
        </is>
      </c>
      <c r="B156" s="1" t="inlineStr">
        <is>
          <t>EWP-MSA-2025-61</t>
        </is>
      </c>
      <c r="C156" s="1" t="inlineStr">
        <is>
          <t>Elmsworth Publishing</t>
        </is>
      </c>
      <c r="D156" s="1" t="inlineStr">
        <is>
          <t>Deployment services</t>
        </is>
      </c>
      <c r="E156" s="1" t="n">
        <v>2272399.64</v>
      </c>
      <c r="F156" s="1" t="n">
        <v>1795195.72</v>
      </c>
      <c r="G156" s="1">
        <f>ROUND(E156-F156,2)</f>
        <v/>
      </c>
      <c r="H156" s="2" t="n">
        <v>45835</v>
      </c>
      <c r="I156" s="2" t="n">
        <v>47053</v>
      </c>
      <c r="J156" s="1">
        <f>ROUND((I156-H156)/30.4,1)</f>
        <v/>
      </c>
      <c r="K156" s="1" t="inlineStr">
        <is>
          <t>No</t>
        </is>
      </c>
      <c r="L156" s="1" t="inlineStr">
        <is>
          <t>Partially invoiced in advance</t>
        </is>
      </c>
    </row>
    <row r="157">
      <c r="A157" s="1" t="inlineStr">
        <is>
          <t>BL-2026-0156</t>
        </is>
      </c>
      <c r="B157" s="1" t="inlineStr">
        <is>
          <t>KPP-MSA-2025-59</t>
        </is>
      </c>
      <c r="C157" s="1" t="inlineStr">
        <is>
          <t>Keystone Paper &amp; Pack</t>
        </is>
      </c>
      <c r="D157" s="1" t="inlineStr">
        <is>
          <t>Robot systems</t>
        </is>
      </c>
      <c r="E157" s="1" t="n">
        <v>2590317.63</v>
      </c>
      <c r="F157" s="1" t="n">
        <v>1036127.05</v>
      </c>
      <c r="G157" s="1">
        <f>ROUND(E157-F157,2)</f>
        <v/>
      </c>
      <c r="H157" s="2" t="n">
        <v>46017</v>
      </c>
      <c r="I157" s="2" t="n">
        <v>47113</v>
      </c>
      <c r="J157" s="1">
        <f>ROUND((I157-H157)/30.4,1)</f>
        <v/>
      </c>
      <c r="K157" s="1" t="inlineStr">
        <is>
          <t>Yes with 90 days notice</t>
        </is>
      </c>
      <c r="L157" s="1" t="inlineStr">
        <is>
          <t>Awaiting site readiness before recognition starts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po_number</t>
        </is>
      </c>
      <c r="C1" s="1" t="inlineStr">
        <is>
          <t>customer</t>
        </is>
      </c>
      <c r="D1" s="1" t="inlineStr">
        <is>
          <t>ship_date</t>
        </is>
      </c>
      <c r="E1" s="1" t="inlineStr">
        <is>
          <t>carrier</t>
        </is>
      </c>
      <c r="F1" s="1" t="inlineStr">
        <is>
          <t>tracking_reference</t>
        </is>
      </c>
      <c r="G1" s="1" t="inlineStr">
        <is>
          <t>delivered_date</t>
        </is>
      </c>
      <c r="H1" s="1" t="inlineStr">
        <is>
          <t>goods_value</t>
        </is>
      </c>
      <c r="I1" s="1" t="inlineStr">
        <is>
          <t>invoice_blocker</t>
        </is>
      </c>
      <c r="J1" s="1" t="inlineStr">
        <is>
          <t>days_outstanding</t>
        </is>
      </c>
      <c r="K1" s="1" t="inlineStr">
        <is>
          <t>expected_invoice_month</t>
        </is>
      </c>
      <c r="L1" s="1" t="inlineStr">
        <is>
          <t>resolution_owner</t>
        </is>
      </c>
    </row>
    <row r="2">
      <c r="A2" s="1" t="inlineStr">
        <is>
          <t>SHP-2026-0001</t>
        </is>
      </c>
      <c r="B2" s="1" t="inlineStr">
        <is>
          <t>PO-RWO-6637</t>
        </is>
      </c>
      <c r="C2" s="1" t="inlineStr">
        <is>
          <t>Redwood Optics</t>
        </is>
      </c>
      <c r="D2" s="2" t="n">
        <v>46115</v>
      </c>
      <c r="E2" s="1" t="inlineStr">
        <is>
          <t>Pioneer Freight Union</t>
        </is>
      </c>
      <c r="F2" s="1" t="inlineStr">
        <is>
          <t>SR605678</t>
        </is>
      </c>
      <c r="G2" s="2" t="n">
        <v>46126</v>
      </c>
      <c r="H2" s="1" t="n">
        <v>86656.72</v>
      </c>
      <c r="I2" s="1" t="inlineStr">
        <is>
          <t>Held pending credit check</t>
        </is>
      </c>
      <c r="J2" s="1">
        <f>ROUND(DATE(2026,7,31)-D2,0)</f>
        <v/>
      </c>
      <c r="K2" s="1" t="inlineStr">
        <is>
          <t>2026-05</t>
        </is>
      </c>
      <c r="L2" s="1" t="inlineStr">
        <is>
          <t>M. Kubiak</t>
        </is>
      </c>
    </row>
    <row r="3">
      <c r="A3" s="1" t="inlineStr">
        <is>
          <t>SHP-2026-0002</t>
        </is>
      </c>
      <c r="B3" s="1" t="inlineStr">
        <is>
          <t>PO-GPD-5563</t>
        </is>
      </c>
      <c r="C3" s="1" t="inlineStr">
        <is>
          <t>Granite Peak Distribution</t>
        </is>
      </c>
      <c r="D3" s="2" t="n">
        <v>46094</v>
      </c>
      <c r="E3" s="1" t="inlineStr">
        <is>
          <t>Zephyr Air Cargo</t>
        </is>
      </c>
      <c r="F3" s="1" t="inlineStr">
        <is>
          <t>SR673262</t>
        </is>
      </c>
      <c r="G3" s="2" t="n">
        <v>46104</v>
      </c>
      <c r="H3" s="1" t="n">
        <v>43776.69</v>
      </c>
      <c r="I3" s="1" t="inlineStr">
        <is>
          <t>Billing address under review</t>
        </is>
      </c>
      <c r="J3" s="1">
        <f>ROUND(DATE(2026,7,31)-D3,0)</f>
        <v/>
      </c>
      <c r="K3" s="1" t="inlineStr">
        <is>
          <t>2026-04</t>
        </is>
      </c>
      <c r="L3" s="1" t="inlineStr">
        <is>
          <t>C. Duarte</t>
        </is>
      </c>
    </row>
    <row r="4">
      <c r="A4" s="1" t="inlineStr">
        <is>
          <t>SHP-2026-0003</t>
        </is>
      </c>
      <c r="B4" s="1" t="inlineStr">
        <is>
          <t>PO-EWP-8701</t>
        </is>
      </c>
      <c r="C4" s="1" t="inlineStr">
        <is>
          <t>Elmsworth Publishing</t>
        </is>
      </c>
      <c r="D4" s="2" t="n">
        <v>46182</v>
      </c>
      <c r="E4" s="1" t="inlineStr">
        <is>
          <t>Pioneer Freight Union</t>
        </is>
      </c>
      <c r="F4" s="1" t="inlineStr">
        <is>
          <t>SR731530</t>
        </is>
      </c>
      <c r="G4" s="2" t="n">
        <v>46184</v>
      </c>
      <c r="H4" s="1" t="n">
        <v>418168.56</v>
      </c>
      <c r="I4" s="1" t="inlineStr">
        <is>
          <t>Held pending credit check</t>
        </is>
      </c>
      <c r="J4" s="1">
        <f>ROUND(DATE(2026,7,31)-D4,0)</f>
        <v/>
      </c>
      <c r="K4" s="1" t="inlineStr">
        <is>
          <t>2026-07</t>
        </is>
      </c>
      <c r="L4" s="1" t="inlineStr">
        <is>
          <t>C. Duarte</t>
        </is>
      </c>
    </row>
    <row r="5">
      <c r="A5" s="1" t="inlineStr">
        <is>
          <t>SHP-2026-0004</t>
        </is>
      </c>
      <c r="B5" s="1" t="inlineStr">
        <is>
          <t>PO-HLS-9545</t>
        </is>
      </c>
      <c r="C5" s="1" t="inlineStr">
        <is>
          <t>Harborline Systems</t>
        </is>
      </c>
      <c r="D5" s="2" t="n">
        <v>46059</v>
      </c>
      <c r="E5" s="1" t="inlineStr">
        <is>
          <t>Pioneer Freight Union</t>
        </is>
      </c>
      <c r="F5" s="1" t="inlineStr">
        <is>
          <t>SR800509</t>
        </is>
      </c>
      <c r="G5" s="2" t="n">
        <v>46066</v>
      </c>
      <c r="H5" s="1" t="n">
        <v>508927.27</v>
      </c>
      <c r="I5" s="1" t="inlineStr">
        <is>
          <t>Awaiting signed delivery note</t>
        </is>
      </c>
      <c r="J5" s="1">
        <f>ROUND(DATE(2026,7,31)-D5,0)</f>
        <v/>
      </c>
      <c r="K5" s="1" t="inlineStr">
        <is>
          <t>2026-03</t>
        </is>
      </c>
      <c r="L5" s="1" t="inlineStr">
        <is>
          <t>G. Pike</t>
        </is>
      </c>
    </row>
    <row r="6">
      <c r="A6" s="1" t="inlineStr">
        <is>
          <t>SHP-2026-0005</t>
        </is>
      </c>
      <c r="B6" s="1" t="inlineStr">
        <is>
          <t>PO-FTM-7931</t>
        </is>
      </c>
      <c r="C6" s="1" t="inlineStr">
        <is>
          <t>Fathom Mobility</t>
        </is>
      </c>
      <c r="D6" s="2" t="n">
        <v>46125</v>
      </c>
      <c r="E6" s="1" t="inlineStr">
        <is>
          <t>Zephyr Air Cargo</t>
        </is>
      </c>
      <c r="F6" s="1" t="inlineStr">
        <is>
          <t>SR781528</t>
        </is>
      </c>
      <c r="G6" s="2" t="n">
        <v>46129</v>
      </c>
      <c r="H6" s="1" t="n">
        <v>293261.67</v>
      </c>
      <c r="I6" s="1" t="inlineStr">
        <is>
          <t>Acceptance milestone not yet reached</t>
        </is>
      </c>
      <c r="J6" s="1">
        <f>ROUND(DATE(2026,7,31)-D6,0)</f>
        <v/>
      </c>
      <c r="K6" s="1" t="inlineStr">
        <is>
          <t>2026-05</t>
        </is>
      </c>
      <c r="L6" s="1" t="inlineStr">
        <is>
          <t>M. Kubiak</t>
        </is>
      </c>
    </row>
    <row r="7">
      <c r="A7" s="1" t="inlineStr">
        <is>
          <t>SHP-2026-0006</t>
        </is>
      </c>
      <c r="B7" s="1" t="inlineStr">
        <is>
          <t>PO-DBI-2268</t>
        </is>
      </c>
      <c r="C7" s="1" t="inlineStr">
        <is>
          <t>Dunbar Industrial</t>
        </is>
      </c>
      <c r="D7" s="2" t="n">
        <v>46106</v>
      </c>
      <c r="E7" s="1" t="inlineStr">
        <is>
          <t>Customer collection</t>
        </is>
      </c>
      <c r="F7" s="1" t="inlineStr">
        <is>
          <t>SR952545</t>
        </is>
      </c>
      <c r="G7" s="2" t="n">
        <v>46115</v>
      </c>
      <c r="H7" s="1" t="n">
        <v>360228.01</v>
      </c>
      <c r="I7" s="1" t="inlineStr">
        <is>
          <t>Awaiting signed delivery note</t>
        </is>
      </c>
      <c r="J7" s="1">
        <f>ROUND(DATE(2026,7,31)-D7,0)</f>
        <v/>
      </c>
      <c r="K7" s="1" t="inlineStr">
        <is>
          <t>2026-05</t>
        </is>
      </c>
      <c r="L7" s="1" t="inlineStr">
        <is>
          <t>C. Duarte</t>
        </is>
      </c>
    </row>
    <row r="8">
      <c r="A8" s="1" t="inlineStr">
        <is>
          <t>SHP-2026-0007</t>
        </is>
      </c>
      <c r="B8" s="1" t="inlineStr">
        <is>
          <t>PO-ABT-4934</t>
        </is>
      </c>
      <c r="C8" s="1" t="inlineStr">
        <is>
          <t>Alderbrook Textiles</t>
        </is>
      </c>
      <c r="D8" s="2" t="n">
        <v>46087</v>
      </c>
      <c r="E8" s="1" t="inlineStr">
        <is>
          <t>Customer collection</t>
        </is>
      </c>
      <c r="F8" s="1" t="inlineStr">
        <is>
          <t>SR460309</t>
        </is>
      </c>
      <c r="G8" s="2" t="n">
        <v>46100</v>
      </c>
      <c r="H8" s="1" t="n">
        <v>636304.9399999999</v>
      </c>
      <c r="I8" s="1" t="inlineStr">
        <is>
          <t>Acceptance milestone not yet reached</t>
        </is>
      </c>
      <c r="J8" s="1">
        <f>ROUND(DATE(2026,7,31)-D8,0)</f>
        <v/>
      </c>
      <c r="K8" s="1" t="inlineStr">
        <is>
          <t>2026-04</t>
        </is>
      </c>
      <c r="L8" s="1" t="inlineStr">
        <is>
          <t>M. Kubiak</t>
        </is>
      </c>
    </row>
    <row r="9">
      <c r="A9" s="1" t="inlineStr">
        <is>
          <t>SHP-2026-0008</t>
        </is>
      </c>
      <c r="B9" s="1" t="inlineStr">
        <is>
          <t>PO-VRS-6529</t>
        </is>
      </c>
      <c r="C9" s="1" t="inlineStr">
        <is>
          <t>Vantage Robotics Supply</t>
        </is>
      </c>
      <c r="D9" s="2" t="n">
        <v>46087</v>
      </c>
      <c r="E9" s="1" t="inlineStr">
        <is>
          <t>Zephyr Air Cargo</t>
        </is>
      </c>
      <c r="F9" s="1" t="inlineStr">
        <is>
          <t>SR724170</t>
        </is>
      </c>
      <c r="G9" s="2" t="n">
        <v>46097</v>
      </c>
      <c r="H9" s="1" t="n">
        <v>490697.48</v>
      </c>
      <c r="I9" s="1" t="inlineStr">
        <is>
          <t>Customer purchase order value exceeded</t>
        </is>
      </c>
      <c r="J9" s="1">
        <f>ROUND(DATE(2026,7,31)-D9,0)</f>
        <v/>
      </c>
      <c r="K9" s="1" t="inlineStr">
        <is>
          <t>2026-04</t>
        </is>
      </c>
      <c r="L9" s="1" t="inlineStr">
        <is>
          <t>C. Duarte</t>
        </is>
      </c>
    </row>
    <row r="10">
      <c r="A10" s="1" t="inlineStr">
        <is>
          <t>SHP-2026-0009</t>
        </is>
      </c>
      <c r="B10" s="1" t="inlineStr">
        <is>
          <t>PO-YHG-5562</t>
        </is>
      </c>
      <c r="C10" s="1" t="inlineStr">
        <is>
          <t>Yarrow Home Goods</t>
        </is>
      </c>
      <c r="D10" s="2" t="n">
        <v>46202</v>
      </c>
      <c r="E10" s="1" t="inlineStr">
        <is>
          <t>Sable Ridge Freight</t>
        </is>
      </c>
      <c r="F10" s="1" t="inlineStr">
        <is>
          <t>SR719414</t>
        </is>
      </c>
      <c r="G10" s="2" t="n">
        <v>46206</v>
      </c>
      <c r="H10" s="1" t="n">
        <v>297500.18</v>
      </c>
      <c r="I10" s="1" t="inlineStr">
        <is>
          <t>Customer purchase order value exceeded</t>
        </is>
      </c>
      <c r="J10" s="1">
        <f>ROUND(DATE(2026,7,31)-D10,0)</f>
        <v/>
      </c>
      <c r="K10" s="1" t="inlineStr">
        <is>
          <t>2026-08</t>
        </is>
      </c>
      <c r="L10" s="1" t="inlineStr">
        <is>
          <t>G. Pike</t>
        </is>
      </c>
    </row>
    <row r="11">
      <c r="A11" s="1" t="inlineStr">
        <is>
          <t>SHP-2026-0010</t>
        </is>
      </c>
      <c r="B11" s="1" t="inlineStr">
        <is>
          <t>PO-QBM-8183</t>
        </is>
      </c>
      <c r="C11" s="1" t="inlineStr">
        <is>
          <t>Quarrybridge Materials</t>
        </is>
      </c>
      <c r="D11" s="2" t="n">
        <v>46142</v>
      </c>
      <c r="E11" s="1" t="inlineStr">
        <is>
          <t>Customer collection</t>
        </is>
      </c>
      <c r="F11" s="1" t="inlineStr">
        <is>
          <t>SR245261</t>
        </is>
      </c>
      <c r="G11" s="2" t="n">
        <v>46143</v>
      </c>
      <c r="H11" s="1" t="n">
        <v>31758.15</v>
      </c>
      <c r="I11" s="1" t="inlineStr">
        <is>
          <t>No blocker; queued for month-end run</t>
        </is>
      </c>
      <c r="J11" s="1">
        <f>ROUND(DATE(2026,7,31)-D11,0)</f>
        <v/>
      </c>
      <c r="K11" s="1" t="inlineStr">
        <is>
          <t>2026-06</t>
        </is>
      </c>
      <c r="L11" s="1" t="inlineStr">
        <is>
          <t>C. Duarte</t>
        </is>
      </c>
    </row>
    <row r="12">
      <c r="A12" s="1" t="inlineStr">
        <is>
          <t>SHP-2026-0011</t>
        </is>
      </c>
      <c r="B12" s="1" t="inlineStr">
        <is>
          <t>PO-ABT-8743</t>
        </is>
      </c>
      <c r="C12" s="1" t="inlineStr">
        <is>
          <t>Alderbrook Textiles</t>
        </is>
      </c>
      <c r="D12" s="2" t="n">
        <v>46161</v>
      </c>
      <c r="E12" s="1" t="inlineStr">
        <is>
          <t>Pioneer Freight Union</t>
        </is>
      </c>
      <c r="F12" s="1" t="inlineStr">
        <is>
          <t>SR509501</t>
        </is>
      </c>
      <c r="G12" s="2" t="n">
        <v>46175</v>
      </c>
      <c r="H12" s="1" t="n">
        <v>256984.43</v>
      </c>
      <c r="I12" s="1" t="inlineStr">
        <is>
          <t>Billing address under review</t>
        </is>
      </c>
      <c r="J12" s="1">
        <f>ROUND(DATE(2026,7,31)-D12,0)</f>
        <v/>
      </c>
      <c r="K12" s="1" t="inlineStr">
        <is>
          <t>2026-07</t>
        </is>
      </c>
      <c r="L12" s="1" t="inlineStr">
        <is>
          <t>D. Mwangi</t>
        </is>
      </c>
    </row>
    <row r="13">
      <c r="A13" s="1" t="inlineStr">
        <is>
          <t>SHP-2026-0012</t>
        </is>
      </c>
      <c r="B13" s="1" t="inlineStr">
        <is>
          <t>PO-AST-2243</t>
        </is>
      </c>
      <c r="C13" s="1" t="inlineStr">
        <is>
          <t>Asterion Logistics</t>
        </is>
      </c>
      <c r="D13" s="2" t="n">
        <v>46055</v>
      </c>
      <c r="E13" s="1" t="inlineStr">
        <is>
          <t>Pioneer Freight Union</t>
        </is>
      </c>
      <c r="F13" s="1" t="inlineStr">
        <is>
          <t>SR851611</t>
        </is>
      </c>
      <c r="G13" s="2" t="n">
        <v>46057</v>
      </c>
      <c r="H13" s="1" t="n">
        <v>300239.97</v>
      </c>
      <c r="I13" s="1" t="inlineStr">
        <is>
          <t>Held pending credit check</t>
        </is>
      </c>
      <c r="J13" s="1">
        <f>ROUND(DATE(2026,7,31)-D13,0)</f>
        <v/>
      </c>
      <c r="K13" s="1" t="inlineStr">
        <is>
          <t>2026-03</t>
        </is>
      </c>
      <c r="L13" s="1" t="inlineStr">
        <is>
          <t>C. Duarte</t>
        </is>
      </c>
    </row>
    <row r="14">
      <c r="A14" s="1" t="inlineStr">
        <is>
          <t>SHP-2026-0013</t>
        </is>
      </c>
      <c r="B14" s="1" t="inlineStr">
        <is>
          <t>PO-EVW-4772</t>
        </is>
      </c>
      <c r="C14" s="1" t="inlineStr">
        <is>
          <t>Evergreen Warehousing</t>
        </is>
      </c>
      <c r="D14" s="2" t="n">
        <v>46043</v>
      </c>
      <c r="E14" s="1" t="inlineStr">
        <is>
          <t>Customer collection</t>
        </is>
      </c>
      <c r="F14" s="1" t="inlineStr">
        <is>
          <t>SR903173</t>
        </is>
      </c>
      <c r="G14" s="2" t="n">
        <v>46052</v>
      </c>
      <c r="H14" s="1" t="n">
        <v>679866.72</v>
      </c>
      <c r="I14" s="1" t="inlineStr">
        <is>
          <t>Held pending credit check</t>
        </is>
      </c>
      <c r="J14" s="1">
        <f>ROUND(DATE(2026,7,31)-D14,0)</f>
        <v/>
      </c>
      <c r="K14" s="1" t="inlineStr">
        <is>
          <t>2026-02</t>
        </is>
      </c>
      <c r="L14" s="1" t="inlineStr">
        <is>
          <t>M. Kubiak</t>
        </is>
      </c>
    </row>
    <row r="15">
      <c r="A15" s="1" t="inlineStr">
        <is>
          <t>SHP-2026-0014</t>
        </is>
      </c>
      <c r="B15" s="1" t="inlineStr">
        <is>
          <t>PO-RWO-2547</t>
        </is>
      </c>
      <c r="C15" s="1" t="inlineStr">
        <is>
          <t>Redwood Optics</t>
        </is>
      </c>
      <c r="D15" s="2" t="n">
        <v>46199</v>
      </c>
      <c r="E15" s="1" t="inlineStr">
        <is>
          <t>Zephyr Air Cargo</t>
        </is>
      </c>
      <c r="F15" s="1" t="inlineStr">
        <is>
          <t>SR179595</t>
        </is>
      </c>
      <c r="G15" s="2" t="n">
        <v>46209</v>
      </c>
      <c r="H15" s="1" t="n">
        <v>523735.98</v>
      </c>
      <c r="I15" s="1" t="inlineStr">
        <is>
          <t>Awaiting signed delivery note</t>
        </is>
      </c>
      <c r="J15" s="1">
        <f>ROUND(DATE(2026,7,31)-D15,0)</f>
        <v/>
      </c>
      <c r="K15" s="1" t="inlineStr">
        <is>
          <t>2026-08</t>
        </is>
      </c>
      <c r="L15" s="1" t="inlineStr">
        <is>
          <t>D. Mwangi</t>
        </is>
      </c>
    </row>
    <row r="16">
      <c r="A16" s="1" t="inlineStr">
        <is>
          <t>SHP-2026-0015</t>
        </is>
      </c>
      <c r="B16" s="1" t="inlineStr">
        <is>
          <t>PO-BWA-2614</t>
        </is>
      </c>
      <c r="C16" s="1" t="inlineStr">
        <is>
          <t>Bellweather Auto Group</t>
        </is>
      </c>
      <c r="D16" s="2" t="n">
        <v>46192</v>
      </c>
      <c r="E16" s="1" t="inlineStr">
        <is>
          <t>Sable Ridge Freight</t>
        </is>
      </c>
      <c r="F16" s="1" t="inlineStr">
        <is>
          <t>SR591780</t>
        </is>
      </c>
      <c r="G16" s="2" t="n">
        <v>46206</v>
      </c>
      <c r="H16" s="1" t="n">
        <v>604198.74</v>
      </c>
      <c r="I16" s="1" t="inlineStr">
        <is>
          <t>Held pending credit check</t>
        </is>
      </c>
      <c r="J16" s="1">
        <f>ROUND(DATE(2026,7,31)-D16,0)</f>
        <v/>
      </c>
      <c r="K16" s="1" t="inlineStr">
        <is>
          <t>2026-08</t>
        </is>
      </c>
      <c r="L16" s="1" t="inlineStr">
        <is>
          <t>D. Mwangi</t>
        </is>
      </c>
    </row>
    <row r="17">
      <c r="A17" s="1" t="inlineStr">
        <is>
          <t>SHP-2026-0016</t>
        </is>
      </c>
      <c r="B17" s="1" t="inlineStr">
        <is>
          <t>PO-QBM-9646</t>
        </is>
      </c>
      <c r="C17" s="1" t="inlineStr">
        <is>
          <t>Quarrybridge Materials</t>
        </is>
      </c>
      <c r="D17" s="2" t="n">
        <v>46063</v>
      </c>
      <c r="E17" s="1" t="inlineStr">
        <is>
          <t>Customer collection</t>
        </is>
      </c>
      <c r="F17" s="1" t="inlineStr">
        <is>
          <t>SR102352</t>
        </is>
      </c>
      <c r="G17" s="2" t="n">
        <v>46077</v>
      </c>
      <c r="H17" s="1" t="n">
        <v>258744.14</v>
      </c>
      <c r="I17" s="1" t="inlineStr">
        <is>
          <t>No blocker; queued for month-end run</t>
        </is>
      </c>
      <c r="J17" s="1">
        <f>ROUND(DATE(2026,7,31)-D17,0)</f>
        <v/>
      </c>
      <c r="K17" s="1" t="inlineStr">
        <is>
          <t>2026-03</t>
        </is>
      </c>
      <c r="L17" s="1" t="inlineStr">
        <is>
          <t>M. Kubiak</t>
        </is>
      </c>
    </row>
    <row r="18">
      <c r="A18" s="1" t="inlineStr">
        <is>
          <t>SHP-2026-0017</t>
        </is>
      </c>
      <c r="B18" s="1" t="inlineStr">
        <is>
          <t>PO-BWA-4367</t>
        </is>
      </c>
      <c r="C18" s="1" t="inlineStr">
        <is>
          <t>Bellweather Auto Group</t>
        </is>
      </c>
      <c r="D18" s="2" t="n">
        <v>46034</v>
      </c>
      <c r="E18" s="1" t="inlineStr">
        <is>
          <t>Zephyr Air Cargo</t>
        </is>
      </c>
      <c r="F18" s="1" t="inlineStr">
        <is>
          <t>SR564883</t>
        </is>
      </c>
      <c r="G18" s="2" t="n">
        <v>46038</v>
      </c>
      <c r="H18" s="1" t="n">
        <v>29719.59</v>
      </c>
      <c r="I18" s="1" t="inlineStr">
        <is>
          <t>Customer purchase order value exceeded</t>
        </is>
      </c>
      <c r="J18" s="1">
        <f>ROUND(DATE(2026,7,31)-D18,0)</f>
        <v/>
      </c>
      <c r="K18" s="1" t="inlineStr">
        <is>
          <t>2026-02</t>
        </is>
      </c>
      <c r="L18" s="1" t="inlineStr">
        <is>
          <t>D. Mwangi</t>
        </is>
      </c>
    </row>
    <row r="19">
      <c r="A19" s="1" t="inlineStr">
        <is>
          <t>SHP-2026-0018</t>
        </is>
      </c>
      <c r="B19" s="1" t="inlineStr">
        <is>
          <t>PO-RWO-5779</t>
        </is>
      </c>
      <c r="C19" s="1" t="inlineStr">
        <is>
          <t>Redwood Optics</t>
        </is>
      </c>
      <c r="D19" s="2" t="n">
        <v>46037</v>
      </c>
      <c r="E19" s="1" t="inlineStr">
        <is>
          <t>Customer collection</t>
        </is>
      </c>
      <c r="F19" s="1" t="inlineStr">
        <is>
          <t>SR841337</t>
        </is>
      </c>
      <c r="G19" s="2" t="n">
        <v>46049</v>
      </c>
      <c r="H19" s="1" t="n">
        <v>729877.96</v>
      </c>
      <c r="I19" s="1" t="inlineStr">
        <is>
          <t>Acceptance milestone not yet reached</t>
        </is>
      </c>
      <c r="J19" s="1">
        <f>ROUND(DATE(2026,7,31)-D19,0)</f>
        <v/>
      </c>
      <c r="K19" s="1" t="inlineStr">
        <is>
          <t>2026-02</t>
        </is>
      </c>
      <c r="L19" s="1" t="inlineStr">
        <is>
          <t>D. Mwangi</t>
        </is>
      </c>
    </row>
    <row r="20">
      <c r="A20" s="1" t="inlineStr">
        <is>
          <t>SHP-2026-0019</t>
        </is>
      </c>
      <c r="B20" s="1" t="inlineStr">
        <is>
          <t>PO-DBI-6635</t>
        </is>
      </c>
      <c r="C20" s="1" t="inlineStr">
        <is>
          <t>Dunbar Industrial</t>
        </is>
      </c>
      <c r="D20" s="2" t="n">
        <v>46206</v>
      </c>
      <c r="E20" s="1" t="inlineStr">
        <is>
          <t>Sable Ridge Freight</t>
        </is>
      </c>
      <c r="F20" s="1" t="inlineStr">
        <is>
          <t>SR615523</t>
        </is>
      </c>
      <c r="G20" s="2" t="n">
        <v>46219</v>
      </c>
      <c r="H20" s="1" t="n">
        <v>62093.69</v>
      </c>
      <c r="I20" s="1" t="inlineStr">
        <is>
          <t>Awaiting signed delivery note</t>
        </is>
      </c>
      <c r="J20" s="1">
        <f>ROUND(DATE(2026,7,31)-D20,0)</f>
        <v/>
      </c>
      <c r="K20" s="1" t="inlineStr">
        <is>
          <t>2026-08</t>
        </is>
      </c>
      <c r="L20" s="1" t="inlineStr">
        <is>
          <t>D. Mwangi</t>
        </is>
      </c>
    </row>
    <row r="21">
      <c r="A21" s="1" t="inlineStr">
        <is>
          <t>SHP-2026-0020</t>
        </is>
      </c>
      <c r="B21" s="1" t="inlineStr">
        <is>
          <t>PO-WCD-1927</t>
        </is>
      </c>
      <c r="C21" s="1" t="inlineStr">
        <is>
          <t>Westlake Chemical Depot</t>
        </is>
      </c>
      <c r="D21" s="2" t="n">
        <v>46045</v>
      </c>
      <c r="E21" s="1" t="inlineStr">
        <is>
          <t>Customer collection</t>
        </is>
      </c>
      <c r="F21" s="1" t="inlineStr">
        <is>
          <t>SR282712</t>
        </is>
      </c>
      <c r="G21" s="2" t="n">
        <v>46051</v>
      </c>
      <c r="H21" s="1" t="n">
        <v>270572.83</v>
      </c>
      <c r="I21" s="1" t="inlineStr">
        <is>
          <t>Acceptance milestone not yet reached</t>
        </is>
      </c>
      <c r="J21" s="1">
        <f>ROUND(DATE(2026,7,31)-D21,0)</f>
        <v/>
      </c>
      <c r="K21" s="1" t="inlineStr">
        <is>
          <t>2026-02</t>
        </is>
      </c>
      <c r="L21" s="1" t="inlineStr">
        <is>
          <t>M. Kubiak</t>
        </is>
      </c>
    </row>
    <row r="22">
      <c r="A22" s="1" t="inlineStr">
        <is>
          <t>SHP-2026-0021</t>
        </is>
      </c>
      <c r="B22" s="1" t="inlineStr">
        <is>
          <t>PO-PFU-1151</t>
        </is>
      </c>
      <c r="C22" s="1" t="inlineStr">
        <is>
          <t>Pioneer Freight Union</t>
        </is>
      </c>
      <c r="D22" s="2" t="n">
        <v>46069</v>
      </c>
      <c r="E22" s="1" t="inlineStr">
        <is>
          <t>Zephyr Air Cargo</t>
        </is>
      </c>
      <c r="F22" s="1" t="inlineStr">
        <is>
          <t>SR239870</t>
        </is>
      </c>
      <c r="G22" s="2" t="n">
        <v>46073</v>
      </c>
      <c r="H22" s="1" t="n">
        <v>608220.76</v>
      </c>
      <c r="I22" s="1" t="inlineStr">
        <is>
          <t>Acceptance milestone not yet reached</t>
        </is>
      </c>
      <c r="J22" s="1">
        <f>ROUND(DATE(2026,7,31)-D22,0)</f>
        <v/>
      </c>
      <c r="K22" s="1" t="inlineStr">
        <is>
          <t>2026-03</t>
        </is>
      </c>
      <c r="L22" s="1" t="inlineStr">
        <is>
          <t>G. Pike</t>
        </is>
      </c>
    </row>
    <row r="23">
      <c r="A23" s="1" t="inlineStr">
        <is>
          <t>SHP-2026-0022</t>
        </is>
      </c>
      <c r="B23" s="1" t="inlineStr">
        <is>
          <t>PO-KPP-8095</t>
        </is>
      </c>
      <c r="C23" s="1" t="inlineStr">
        <is>
          <t>Keystone Paper &amp; Pack</t>
        </is>
      </c>
      <c r="D23" s="2" t="n">
        <v>46087</v>
      </c>
      <c r="E23" s="1" t="inlineStr">
        <is>
          <t>Pioneer Freight Union</t>
        </is>
      </c>
      <c r="F23" s="1" t="inlineStr">
        <is>
          <t>SR984750</t>
        </is>
      </c>
      <c r="G23" s="2" t="n">
        <v>46094</v>
      </c>
      <c r="H23" s="1" t="n">
        <v>509056.39</v>
      </c>
      <c r="I23" s="1" t="inlineStr">
        <is>
          <t>Awaiting signed delivery note</t>
        </is>
      </c>
      <c r="J23" s="1">
        <f>ROUND(DATE(2026,7,31)-D23,0)</f>
        <v/>
      </c>
      <c r="K23" s="1" t="inlineStr">
        <is>
          <t>2026-04</t>
        </is>
      </c>
      <c r="L23" s="1" t="inlineStr">
        <is>
          <t>M. Kubiak</t>
        </is>
      </c>
    </row>
    <row r="24">
      <c r="A24" s="1" t="inlineStr">
        <is>
          <t>SHP-2026-0023</t>
        </is>
      </c>
      <c r="B24" s="1" t="inlineStr">
        <is>
          <t>PO-YHG-4210</t>
        </is>
      </c>
      <c r="C24" s="1" t="inlineStr">
        <is>
          <t>Yarrow Home Goods</t>
        </is>
      </c>
      <c r="D24" s="2" t="n">
        <v>46085</v>
      </c>
      <c r="E24" s="1" t="inlineStr">
        <is>
          <t>Zephyr Air Cargo</t>
        </is>
      </c>
      <c r="F24" s="1" t="inlineStr">
        <is>
          <t>SR469172</t>
        </is>
      </c>
      <c r="G24" s="2" t="n">
        <v>46091</v>
      </c>
      <c r="H24" s="1" t="n">
        <v>204492.72</v>
      </c>
      <c r="I24" s="1" t="inlineStr">
        <is>
          <t>Held pending credit check</t>
        </is>
      </c>
      <c r="J24" s="1">
        <f>ROUND(DATE(2026,7,31)-D24,0)</f>
        <v/>
      </c>
      <c r="K24" s="1" t="inlineStr">
        <is>
          <t>2026-04</t>
        </is>
      </c>
      <c r="L24" s="1" t="inlineStr">
        <is>
          <t>D. Mwangi</t>
        </is>
      </c>
    </row>
    <row r="25">
      <c r="A25" s="1" t="inlineStr">
        <is>
          <t>SHP-2026-0024</t>
        </is>
      </c>
      <c r="B25" s="1" t="inlineStr">
        <is>
          <t>PO-LKA-7148</t>
        </is>
      </c>
      <c r="C25" s="1" t="inlineStr">
        <is>
          <t>Larkspur Apparel</t>
        </is>
      </c>
      <c r="D25" s="2" t="n">
        <v>46143</v>
      </c>
      <c r="E25" s="1" t="inlineStr">
        <is>
          <t>Zephyr Air Cargo</t>
        </is>
      </c>
      <c r="F25" s="1" t="inlineStr">
        <is>
          <t>SR520605</t>
        </is>
      </c>
      <c r="G25" s="2" t="n">
        <v>46150</v>
      </c>
      <c r="H25" s="1" t="n">
        <v>176203.23</v>
      </c>
      <c r="I25" s="1" t="inlineStr">
        <is>
          <t>Held pending credit check</t>
        </is>
      </c>
      <c r="J25" s="1">
        <f>ROUND(DATE(2026,7,31)-D25,0)</f>
        <v/>
      </c>
      <c r="K25" s="1" t="inlineStr">
        <is>
          <t>2026-06</t>
        </is>
      </c>
      <c r="L25" s="1" t="inlineStr">
        <is>
          <t>C. Duarte</t>
        </is>
      </c>
    </row>
    <row r="26">
      <c r="A26" s="1" t="inlineStr">
        <is>
          <t>SHP-2026-0025</t>
        </is>
      </c>
      <c r="B26" s="1" t="inlineStr">
        <is>
          <t>PO-DGC-8823</t>
        </is>
      </c>
      <c r="C26" s="1" t="inlineStr">
        <is>
          <t>Dorsey Grain Cooperative</t>
        </is>
      </c>
      <c r="D26" s="2" t="n">
        <v>46199</v>
      </c>
      <c r="E26" s="1" t="inlineStr">
        <is>
          <t>Pioneer Freight Union</t>
        </is>
      </c>
      <c r="F26" s="1" t="inlineStr">
        <is>
          <t>SR622783</t>
        </is>
      </c>
      <c r="G26" s="2" t="n">
        <v>46206</v>
      </c>
      <c r="H26" s="1" t="n">
        <v>418673.05</v>
      </c>
      <c r="I26" s="1" t="inlineStr">
        <is>
          <t>Awaiting signed delivery note</t>
        </is>
      </c>
      <c r="J26" s="1">
        <f>ROUND(DATE(2026,7,31)-D26,0)</f>
        <v/>
      </c>
      <c r="K26" s="1" t="inlineStr">
        <is>
          <t>2026-08</t>
        </is>
      </c>
      <c r="L26" s="1" t="inlineStr">
        <is>
          <t>D. Mwangi</t>
        </is>
      </c>
    </row>
    <row r="27">
      <c r="A27" s="1" t="inlineStr">
        <is>
          <t>SHP-2026-0026</t>
        </is>
      </c>
      <c r="B27" s="1" t="inlineStr">
        <is>
          <t>PO-TCE-5757</t>
        </is>
      </c>
      <c r="C27" s="1" t="inlineStr">
        <is>
          <t>Tamarack Electronics</t>
        </is>
      </c>
      <c r="D27" s="2" t="n">
        <v>46121</v>
      </c>
      <c r="E27" s="1" t="inlineStr">
        <is>
          <t>Customer collection</t>
        </is>
      </c>
      <c r="F27" s="1" t="inlineStr">
        <is>
          <t>SR910240</t>
        </is>
      </c>
      <c r="G27" s="2" t="n">
        <v>46127</v>
      </c>
      <c r="H27" s="1" t="n">
        <v>702532.1899999999</v>
      </c>
      <c r="I27" s="1" t="inlineStr">
        <is>
          <t>No blocker; queued for month-end run</t>
        </is>
      </c>
      <c r="J27" s="1">
        <f>ROUND(DATE(2026,7,31)-D27,0)</f>
        <v/>
      </c>
      <c r="K27" s="1" t="inlineStr">
        <is>
          <t>2026-05</t>
        </is>
      </c>
      <c r="L27" s="1" t="inlineStr">
        <is>
          <t>D. Mwangi</t>
        </is>
      </c>
    </row>
    <row r="28">
      <c r="A28" s="1" t="inlineStr">
        <is>
          <t>SHP-2026-0027</t>
        </is>
      </c>
      <c r="B28" s="1" t="inlineStr">
        <is>
          <t>PO-WCD-8450</t>
        </is>
      </c>
      <c r="C28" s="1" t="inlineStr">
        <is>
          <t>Westlake Chemical Depot</t>
        </is>
      </c>
      <c r="D28" s="2" t="n">
        <v>46139</v>
      </c>
      <c r="E28" s="1" t="inlineStr">
        <is>
          <t>Zephyr Air Cargo</t>
        </is>
      </c>
      <c r="F28" s="1" t="inlineStr">
        <is>
          <t>SR455105</t>
        </is>
      </c>
      <c r="G28" s="2" t="n">
        <v>46143</v>
      </c>
      <c r="H28" s="1" t="n">
        <v>325323.25</v>
      </c>
      <c r="I28" s="1" t="inlineStr">
        <is>
          <t>Customer purchase order value exceeded</t>
        </is>
      </c>
      <c r="J28" s="1">
        <f>ROUND(DATE(2026,7,31)-D28,0)</f>
        <v/>
      </c>
      <c r="K28" s="1" t="inlineStr">
        <is>
          <t>2026-06</t>
        </is>
      </c>
      <c r="L28" s="1" t="inlineStr">
        <is>
          <t>C. Duarte</t>
        </is>
      </c>
    </row>
    <row r="29">
      <c r="A29" s="1" t="inlineStr">
        <is>
          <t>SHP-2026-0028</t>
        </is>
      </c>
      <c r="B29" s="1" t="inlineStr">
        <is>
          <t>PO-DGC-6450</t>
        </is>
      </c>
      <c r="C29" s="1" t="inlineStr">
        <is>
          <t>Dorsey Grain Cooperative</t>
        </is>
      </c>
      <c r="D29" s="2" t="n">
        <v>46115</v>
      </c>
      <c r="E29" s="1" t="inlineStr">
        <is>
          <t>Pioneer Freight Union</t>
        </is>
      </c>
      <c r="F29" s="1" t="inlineStr">
        <is>
          <t>SR951565</t>
        </is>
      </c>
      <c r="G29" s="2" t="n">
        <v>46126</v>
      </c>
      <c r="H29" s="1" t="n">
        <v>714289.84</v>
      </c>
      <c r="I29" s="1" t="inlineStr">
        <is>
          <t>Held pending credit check</t>
        </is>
      </c>
      <c r="J29" s="1">
        <f>ROUND(DATE(2026,7,31)-D29,0)</f>
        <v/>
      </c>
      <c r="K29" s="1" t="inlineStr">
        <is>
          <t>2026-05</t>
        </is>
      </c>
      <c r="L29" s="1" t="inlineStr">
        <is>
          <t>M. Kubiak</t>
        </is>
      </c>
    </row>
    <row r="30">
      <c r="A30" s="1" t="inlineStr">
        <is>
          <t>SHP-2026-0029</t>
        </is>
      </c>
      <c r="B30" s="1" t="inlineStr">
        <is>
          <t>PO-VRS-4165</t>
        </is>
      </c>
      <c r="C30" s="1" t="inlineStr">
        <is>
          <t>Vantage Robotics Supply</t>
        </is>
      </c>
      <c r="D30" s="2" t="n">
        <v>46132</v>
      </c>
      <c r="E30" s="1" t="inlineStr">
        <is>
          <t>Zephyr Air Cargo</t>
        </is>
      </c>
      <c r="F30" s="1" t="inlineStr">
        <is>
          <t>SR886158</t>
        </is>
      </c>
      <c r="G30" s="2" t="n">
        <v>46140</v>
      </c>
      <c r="H30" s="1" t="n">
        <v>714232.3100000001</v>
      </c>
      <c r="I30" s="1" t="inlineStr">
        <is>
          <t>Billing address under review</t>
        </is>
      </c>
      <c r="J30" s="1">
        <f>ROUND(DATE(2026,7,31)-D30,0)</f>
        <v/>
      </c>
      <c r="K30" s="1" t="inlineStr">
        <is>
          <t>2026-05</t>
        </is>
      </c>
      <c r="L30" s="1" t="inlineStr">
        <is>
          <t>G. Pike</t>
        </is>
      </c>
    </row>
    <row r="31">
      <c r="A31" s="1" t="inlineStr">
        <is>
          <t>SHP-2026-0030</t>
        </is>
      </c>
      <c r="B31" s="1" t="inlineStr">
        <is>
          <t>PO-DGC-7863</t>
        </is>
      </c>
      <c r="C31" s="1" t="inlineStr">
        <is>
          <t>Dorsey Grain Cooperative</t>
        </is>
      </c>
      <c r="D31" s="2" t="n">
        <v>46041</v>
      </c>
      <c r="E31" s="1" t="inlineStr">
        <is>
          <t>Pioneer Freight Union</t>
        </is>
      </c>
      <c r="F31" s="1" t="inlineStr">
        <is>
          <t>SR343721</t>
        </is>
      </c>
      <c r="G31" s="2" t="n">
        <v>46045</v>
      </c>
      <c r="H31" s="1" t="n">
        <v>270401.84</v>
      </c>
      <c r="I31" s="1" t="inlineStr">
        <is>
          <t>Held pending credit check</t>
        </is>
      </c>
      <c r="J31" s="1">
        <f>ROUND(DATE(2026,7,31)-D31,0)</f>
        <v/>
      </c>
      <c r="K31" s="1" t="inlineStr">
        <is>
          <t>2026-02</t>
        </is>
      </c>
      <c r="L31" s="1" t="inlineStr">
        <is>
          <t>G. Pike</t>
        </is>
      </c>
    </row>
    <row r="32">
      <c r="A32" s="1" t="inlineStr">
        <is>
          <t>SHP-2026-0031</t>
        </is>
      </c>
      <c r="B32" s="1" t="inlineStr">
        <is>
          <t>PO-UVP-8770</t>
        </is>
      </c>
      <c r="C32" s="1" t="inlineStr">
        <is>
          <t>Union Vale Pharma</t>
        </is>
      </c>
      <c r="D32" s="2" t="n">
        <v>46155</v>
      </c>
      <c r="E32" s="1" t="inlineStr">
        <is>
          <t>Sable Ridge Freight</t>
        </is>
      </c>
      <c r="F32" s="1" t="inlineStr">
        <is>
          <t>SR350379</t>
        </is>
      </c>
      <c r="G32" s="2" t="n">
        <v>46157</v>
      </c>
      <c r="H32" s="1" t="n">
        <v>275138.63</v>
      </c>
      <c r="I32" s="1" t="inlineStr">
        <is>
          <t>Billing address under review</t>
        </is>
      </c>
      <c r="J32" s="1">
        <f>ROUND(DATE(2026,7,31)-D32,0)</f>
        <v/>
      </c>
      <c r="K32" s="1" t="inlineStr">
        <is>
          <t>2026-06</t>
        </is>
      </c>
      <c r="L32" s="1" t="inlineStr">
        <is>
          <t>G. Pike</t>
        </is>
      </c>
    </row>
    <row r="33">
      <c r="A33" s="1" t="inlineStr">
        <is>
          <t>SHP-2026-0032</t>
        </is>
      </c>
      <c r="B33" s="1" t="inlineStr">
        <is>
          <t>PO-GPD-2886</t>
        </is>
      </c>
      <c r="C33" s="1" t="inlineStr">
        <is>
          <t>Granite Peak Distribution</t>
        </is>
      </c>
      <c r="D33" s="2" t="n">
        <v>46027</v>
      </c>
      <c r="E33" s="1" t="inlineStr">
        <is>
          <t>Pioneer Freight Union</t>
        </is>
      </c>
      <c r="F33" s="1" t="inlineStr">
        <is>
          <t>SR976140</t>
        </is>
      </c>
      <c r="G33" s="2" t="n">
        <v>46031</v>
      </c>
      <c r="H33" s="1" t="n">
        <v>773107.35</v>
      </c>
      <c r="I33" s="1" t="inlineStr">
        <is>
          <t>Acceptance milestone not yet reached</t>
        </is>
      </c>
      <c r="J33" s="1">
        <f>ROUND(DATE(2026,7,31)-D33,0)</f>
        <v/>
      </c>
      <c r="K33" s="1" t="inlineStr">
        <is>
          <t>2026-02</t>
        </is>
      </c>
      <c r="L33" s="1" t="inlineStr">
        <is>
          <t>D. Mwangi</t>
        </is>
      </c>
    </row>
    <row r="34">
      <c r="A34" s="1" t="inlineStr">
        <is>
          <t>SHP-2026-0033</t>
        </is>
      </c>
      <c r="B34" s="1" t="inlineStr">
        <is>
          <t>PO-EVW-7519</t>
        </is>
      </c>
      <c r="C34" s="1" t="inlineStr">
        <is>
          <t>Evergreen Warehousing</t>
        </is>
      </c>
      <c r="D34" s="2" t="n">
        <v>46192</v>
      </c>
      <c r="E34" s="1" t="inlineStr">
        <is>
          <t>Sable Ridge Freight</t>
        </is>
      </c>
      <c r="F34" s="1" t="inlineStr">
        <is>
          <t>SR254368</t>
        </is>
      </c>
      <c r="G34" s="2" t="n">
        <v>46205</v>
      </c>
      <c r="H34" s="1" t="n">
        <v>326857.7</v>
      </c>
      <c r="I34" s="1" t="inlineStr">
        <is>
          <t>Acceptance milestone not yet reached</t>
        </is>
      </c>
      <c r="J34" s="1">
        <f>ROUND(DATE(2026,7,31)-D34,0)</f>
        <v/>
      </c>
      <c r="K34" s="1" t="inlineStr">
        <is>
          <t>2026-08</t>
        </is>
      </c>
      <c r="L34" s="1" t="inlineStr">
        <is>
          <t>D. Mwangi</t>
        </is>
      </c>
    </row>
    <row r="35">
      <c r="A35" s="1" t="inlineStr">
        <is>
          <t>SHP-2026-0034</t>
        </is>
      </c>
      <c r="B35" s="1" t="inlineStr">
        <is>
          <t>PO-KPP-8655</t>
        </is>
      </c>
      <c r="C35" s="1" t="inlineStr">
        <is>
          <t>Keystone Paper &amp; Pack</t>
        </is>
      </c>
      <c r="D35" s="2" t="n">
        <v>46094</v>
      </c>
      <c r="E35" s="1" t="inlineStr">
        <is>
          <t>Customer collection</t>
        </is>
      </c>
      <c r="F35" s="1" t="inlineStr">
        <is>
          <t>SR826803</t>
        </is>
      </c>
      <c r="G35" s="2" t="n">
        <v>46104</v>
      </c>
      <c r="H35" s="1" t="n">
        <v>169643.73</v>
      </c>
      <c r="I35" s="1" t="inlineStr">
        <is>
          <t>No blocker; queued for month-end run</t>
        </is>
      </c>
      <c r="J35" s="1">
        <f>ROUND(DATE(2026,7,31)-D35,0)</f>
        <v/>
      </c>
      <c r="K35" s="1" t="inlineStr">
        <is>
          <t>2026-04</t>
        </is>
      </c>
      <c r="L35" s="1" t="inlineStr">
        <is>
          <t>M. Kubiak</t>
        </is>
      </c>
    </row>
    <row r="36">
      <c r="A36" s="1" t="inlineStr">
        <is>
          <t>SHP-2026-0035</t>
        </is>
      </c>
      <c r="B36" s="1" t="inlineStr">
        <is>
          <t>PO-KPP-1597</t>
        </is>
      </c>
      <c r="C36" s="1" t="inlineStr">
        <is>
          <t>Keystone Paper &amp; Pack</t>
        </is>
      </c>
      <c r="D36" s="2" t="n">
        <v>46071</v>
      </c>
      <c r="E36" s="1" t="inlineStr">
        <is>
          <t>Pioneer Freight Union</t>
        </is>
      </c>
      <c r="F36" s="1" t="inlineStr">
        <is>
          <t>SR141619</t>
        </is>
      </c>
      <c r="G36" s="2" t="n">
        <v>46078</v>
      </c>
      <c r="H36" s="1" t="n">
        <v>532230.5699999999</v>
      </c>
      <c r="I36" s="1" t="inlineStr">
        <is>
          <t>No blocker; queued for month-end run</t>
        </is>
      </c>
      <c r="J36" s="1">
        <f>ROUND(DATE(2026,7,31)-D36,0)</f>
        <v/>
      </c>
      <c r="K36" s="1" t="inlineStr">
        <is>
          <t>2026-03</t>
        </is>
      </c>
      <c r="L36" s="1" t="inlineStr">
        <is>
          <t>G. Pike</t>
        </is>
      </c>
    </row>
    <row r="37">
      <c r="A37" s="1" t="inlineStr">
        <is>
          <t>SHP-2026-0036</t>
        </is>
      </c>
      <c r="B37" s="1" t="inlineStr">
        <is>
          <t>PO-VRS-6035</t>
        </is>
      </c>
      <c r="C37" s="1" t="inlineStr">
        <is>
          <t>Vantage Robotics Supply</t>
        </is>
      </c>
      <c r="D37" s="2" t="n">
        <v>46139</v>
      </c>
      <c r="E37" s="1" t="inlineStr">
        <is>
          <t>Customer collection</t>
        </is>
      </c>
      <c r="F37" s="1" t="inlineStr">
        <is>
          <t>SR663927</t>
        </is>
      </c>
      <c r="G37" s="2" t="n">
        <v>46143</v>
      </c>
      <c r="H37" s="1" t="n">
        <v>107972.57</v>
      </c>
      <c r="I37" s="1" t="inlineStr">
        <is>
          <t>Held pending credit check</t>
        </is>
      </c>
      <c r="J37" s="1">
        <f>ROUND(DATE(2026,7,31)-D37,0)</f>
        <v/>
      </c>
      <c r="K37" s="1" t="inlineStr">
        <is>
          <t>2026-06</t>
        </is>
      </c>
      <c r="L37" s="1" t="inlineStr">
        <is>
          <t>M. Kubiak</t>
        </is>
      </c>
    </row>
    <row r="38">
      <c r="A38" s="1" t="inlineStr">
        <is>
          <t>SHP-2026-0037</t>
        </is>
      </c>
      <c r="B38" s="1" t="inlineStr">
        <is>
          <t>PO-YHG-5888</t>
        </is>
      </c>
      <c r="C38" s="1" t="inlineStr">
        <is>
          <t>Yarrow Home Goods</t>
        </is>
      </c>
      <c r="D38" s="2" t="n">
        <v>46036</v>
      </c>
      <c r="E38" s="1" t="inlineStr">
        <is>
          <t>Customer collection</t>
        </is>
      </c>
      <c r="F38" s="1" t="inlineStr">
        <is>
          <t>SR161328</t>
        </is>
      </c>
      <c r="G38" s="2" t="n">
        <v>46045</v>
      </c>
      <c r="H38" s="1" t="n">
        <v>458734.89</v>
      </c>
      <c r="I38" s="1" t="inlineStr">
        <is>
          <t>Customer purchase order value exceeded</t>
        </is>
      </c>
      <c r="J38" s="1">
        <f>ROUND(DATE(2026,7,31)-D38,0)</f>
        <v/>
      </c>
      <c r="K38" s="1" t="inlineStr">
        <is>
          <t>2026-02</t>
        </is>
      </c>
      <c r="L38" s="1" t="inlineStr">
        <is>
          <t>M. Kubiak</t>
        </is>
      </c>
    </row>
    <row r="39">
      <c r="A39" s="1" t="inlineStr">
        <is>
          <t>SHP-2026-0038</t>
        </is>
      </c>
      <c r="B39" s="1" t="inlineStr">
        <is>
          <t>PO-IVG-2062</t>
        </is>
      </c>
      <c r="C39" s="1" t="inlineStr">
        <is>
          <t>Ironvale Grocery Group</t>
        </is>
      </c>
      <c r="D39" s="2" t="n">
        <v>46184</v>
      </c>
      <c r="E39" s="1" t="inlineStr">
        <is>
          <t>Zephyr Air Cargo</t>
        </is>
      </c>
      <c r="F39" s="1" t="inlineStr">
        <is>
          <t>SR672916</t>
        </is>
      </c>
      <c r="G39" s="2" t="n">
        <v>46192</v>
      </c>
      <c r="H39" s="1" t="n">
        <v>692590.72</v>
      </c>
      <c r="I39" s="1" t="inlineStr">
        <is>
          <t>Held pending credit check</t>
        </is>
      </c>
      <c r="J39" s="1">
        <f>ROUND(DATE(2026,7,31)-D39,0)</f>
        <v/>
      </c>
      <c r="K39" s="1" t="inlineStr">
        <is>
          <t>2026-07</t>
        </is>
      </c>
      <c r="L39" s="1" t="inlineStr">
        <is>
          <t>C. Duarte</t>
        </is>
      </c>
    </row>
    <row r="40">
      <c r="A40" s="1" t="inlineStr">
        <is>
          <t>SHP-2026-0039</t>
        </is>
      </c>
      <c r="B40" s="1" t="inlineStr">
        <is>
          <t>PO-IVG-3611</t>
        </is>
      </c>
      <c r="C40" s="1" t="inlineStr">
        <is>
          <t>Ironvale Grocery Group</t>
        </is>
      </c>
      <c r="D40" s="2" t="n">
        <v>46107</v>
      </c>
      <c r="E40" s="1" t="inlineStr">
        <is>
          <t>Zephyr Air Cargo</t>
        </is>
      </c>
      <c r="F40" s="1" t="inlineStr">
        <is>
          <t>SR774048</t>
        </is>
      </c>
      <c r="G40" s="2" t="n">
        <v>46119</v>
      </c>
      <c r="H40" s="1" t="n">
        <v>577682.1800000001</v>
      </c>
      <c r="I40" s="1" t="inlineStr">
        <is>
          <t>Awaiting signed delivery note</t>
        </is>
      </c>
      <c r="J40" s="1">
        <f>ROUND(DATE(2026,7,31)-D40,0)</f>
        <v/>
      </c>
      <c r="K40" s="1" t="inlineStr">
        <is>
          <t>2026-05</t>
        </is>
      </c>
      <c r="L40" s="1" t="inlineStr">
        <is>
          <t>C. Duarte</t>
        </is>
      </c>
    </row>
    <row r="41">
      <c r="A41" s="1" t="inlineStr">
        <is>
          <t>SHP-2026-0040</t>
        </is>
      </c>
      <c r="B41" s="1" t="inlineStr">
        <is>
          <t>PO-IVG-1181</t>
        </is>
      </c>
      <c r="C41" s="1" t="inlineStr">
        <is>
          <t>Ironvale Grocery Group</t>
        </is>
      </c>
      <c r="D41" s="2" t="n">
        <v>46205</v>
      </c>
      <c r="E41" s="1" t="inlineStr">
        <is>
          <t>Sable Ridge Freight</t>
        </is>
      </c>
      <c r="F41" s="1" t="inlineStr">
        <is>
          <t>SR825069</t>
        </is>
      </c>
      <c r="G41" s="2" t="n">
        <v>46213</v>
      </c>
      <c r="H41" s="1" t="n">
        <v>298583.99</v>
      </c>
      <c r="I41" s="1" t="inlineStr">
        <is>
          <t>Acceptance milestone not yet reached</t>
        </is>
      </c>
      <c r="J41" s="1">
        <f>ROUND(DATE(2026,7,31)-D41,0)</f>
        <v/>
      </c>
      <c r="K41" s="1" t="inlineStr">
        <is>
          <t>2026-08</t>
        </is>
      </c>
      <c r="L41" s="1" t="inlineStr">
        <is>
          <t>M. Kubiak</t>
        </is>
      </c>
    </row>
    <row r="42">
      <c r="A42" s="1" t="inlineStr">
        <is>
          <t>SHP-2026-0041</t>
        </is>
      </c>
      <c r="B42" s="1" t="inlineStr">
        <is>
          <t>PO-HLS-9858</t>
        </is>
      </c>
      <c r="C42" s="1" t="inlineStr">
        <is>
          <t>Harborline Systems</t>
        </is>
      </c>
      <c r="D42" s="2" t="n">
        <v>46189</v>
      </c>
      <c r="E42" s="1" t="inlineStr">
        <is>
          <t>Customer collection</t>
        </is>
      </c>
      <c r="F42" s="1" t="inlineStr">
        <is>
          <t>SR298103</t>
        </is>
      </c>
      <c r="G42" s="2" t="n">
        <v>46192</v>
      </c>
      <c r="H42" s="1" t="n">
        <v>775755.11</v>
      </c>
      <c r="I42" s="1" t="inlineStr">
        <is>
          <t>Billing address under review</t>
        </is>
      </c>
      <c r="J42" s="1">
        <f>ROUND(DATE(2026,7,31)-D42,0)</f>
        <v/>
      </c>
      <c r="K42" s="1" t="inlineStr">
        <is>
          <t>2026-07</t>
        </is>
      </c>
      <c r="L42" s="1" t="inlineStr">
        <is>
          <t>M. Kubiak</t>
        </is>
      </c>
    </row>
    <row r="43">
      <c r="A43" s="1" t="inlineStr">
        <is>
          <t>SHP-2026-0042</t>
        </is>
      </c>
      <c r="B43" s="1" t="inlineStr">
        <is>
          <t>PO-EWP-2396</t>
        </is>
      </c>
      <c r="C43" s="1" t="inlineStr">
        <is>
          <t>Elmsworth Publishing</t>
        </is>
      </c>
      <c r="D43" s="2" t="n">
        <v>46216</v>
      </c>
      <c r="E43" s="1" t="inlineStr">
        <is>
          <t>Customer collection</t>
        </is>
      </c>
      <c r="F43" s="1" t="inlineStr">
        <is>
          <t>SR528271</t>
        </is>
      </c>
      <c r="G43" s="2" t="n">
        <v>46227</v>
      </c>
      <c r="H43" s="1" t="n">
        <v>316039.13</v>
      </c>
      <c r="I43" s="1" t="inlineStr">
        <is>
          <t>No blocker; queued for month-end run</t>
        </is>
      </c>
      <c r="J43" s="1">
        <f>ROUND(DATE(2026,7,31)-D43,0)</f>
        <v/>
      </c>
      <c r="K43" s="1" t="inlineStr">
        <is>
          <t>2026-08</t>
        </is>
      </c>
      <c r="L43" s="1" t="inlineStr">
        <is>
          <t>D. Mwangi</t>
        </is>
      </c>
    </row>
    <row r="44">
      <c r="A44" s="1" t="inlineStr">
        <is>
          <t>SHP-2026-0043</t>
        </is>
      </c>
      <c r="B44" s="1" t="inlineStr">
        <is>
          <t>PO-CFF-7858</t>
        </is>
      </c>
      <c r="C44" s="1" t="inlineStr">
        <is>
          <t>Crestline Fulfillment</t>
        </is>
      </c>
      <c r="D44" s="2" t="n">
        <v>46148</v>
      </c>
      <c r="E44" s="1" t="inlineStr">
        <is>
          <t>Customer collection</t>
        </is>
      </c>
      <c r="F44" s="1" t="inlineStr">
        <is>
          <t>SR722618</t>
        </is>
      </c>
      <c r="G44" s="2" t="n">
        <v>46157</v>
      </c>
      <c r="H44" s="1" t="n">
        <v>711169.34</v>
      </c>
      <c r="I44" s="1" t="inlineStr">
        <is>
          <t>Customer purchase order value exceeded</t>
        </is>
      </c>
      <c r="J44" s="1">
        <f>ROUND(DATE(2026,7,31)-D44,0)</f>
        <v/>
      </c>
      <c r="K44" s="1" t="inlineStr">
        <is>
          <t>2026-06</t>
        </is>
      </c>
      <c r="L44" s="1" t="inlineStr">
        <is>
          <t>M. Kubiak</t>
        </is>
      </c>
    </row>
    <row r="45">
      <c r="A45" s="1" t="inlineStr">
        <is>
          <t>SHP-2026-0044</t>
        </is>
      </c>
      <c r="B45" s="1" t="inlineStr">
        <is>
          <t>PO-DGC-8637</t>
        </is>
      </c>
      <c r="C45" s="1" t="inlineStr">
        <is>
          <t>Dorsey Grain Cooperative</t>
        </is>
      </c>
      <c r="D45" s="2" t="n">
        <v>46182</v>
      </c>
      <c r="E45" s="1" t="inlineStr">
        <is>
          <t>Customer collection</t>
        </is>
      </c>
      <c r="F45" s="1" t="inlineStr">
        <is>
          <t>SR977706</t>
        </is>
      </c>
      <c r="G45" s="2" t="n">
        <v>46192</v>
      </c>
      <c r="H45" s="1" t="n">
        <v>570767.01</v>
      </c>
      <c r="I45" s="1" t="inlineStr">
        <is>
          <t>Held pending credit check</t>
        </is>
      </c>
      <c r="J45" s="1">
        <f>ROUND(DATE(2026,7,31)-D45,0)</f>
        <v/>
      </c>
      <c r="K45" s="1" t="inlineStr">
        <is>
          <t>2026-07</t>
        </is>
      </c>
      <c r="L45" s="1" t="inlineStr">
        <is>
          <t>M. Kubiak</t>
        </is>
      </c>
    </row>
    <row r="46">
      <c r="A46" s="1" t="inlineStr">
        <is>
          <t>SHP-2026-0045</t>
        </is>
      </c>
      <c r="B46" s="1" t="inlineStr">
        <is>
          <t>PO-TCE-6840</t>
        </is>
      </c>
      <c r="C46" s="1" t="inlineStr">
        <is>
          <t>Tamarack Electronics</t>
        </is>
      </c>
      <c r="D46" s="2" t="n">
        <v>46101</v>
      </c>
      <c r="E46" s="1" t="inlineStr">
        <is>
          <t>Pioneer Freight Union</t>
        </is>
      </c>
      <c r="F46" s="1" t="inlineStr">
        <is>
          <t>SR758192</t>
        </is>
      </c>
      <c r="G46" s="2" t="n">
        <v>46108</v>
      </c>
      <c r="H46" s="1" t="n">
        <v>40245</v>
      </c>
      <c r="I46" s="1" t="inlineStr">
        <is>
          <t>No blocker; queued for month-end run</t>
        </is>
      </c>
      <c r="J46" s="1">
        <f>ROUND(DATE(2026,7,31)-D46,0)</f>
        <v/>
      </c>
      <c r="K46" s="1" t="inlineStr">
        <is>
          <t>2026-04</t>
        </is>
      </c>
      <c r="L46" s="1" t="inlineStr">
        <is>
          <t>G. Pike</t>
        </is>
      </c>
    </row>
    <row r="47">
      <c r="A47" s="1" t="inlineStr">
        <is>
          <t>SHP-2026-0046</t>
        </is>
      </c>
      <c r="B47" s="1" t="inlineStr">
        <is>
          <t>PO-BWA-4810</t>
        </is>
      </c>
      <c r="C47" s="1" t="inlineStr">
        <is>
          <t>Bellweather Auto Group</t>
        </is>
      </c>
      <c r="D47" s="2" t="n">
        <v>46164</v>
      </c>
      <c r="E47" s="1" t="inlineStr">
        <is>
          <t>Customer collection</t>
        </is>
      </c>
      <c r="F47" s="1" t="inlineStr">
        <is>
          <t>SR613457</t>
        </is>
      </c>
      <c r="G47" s="2" t="n">
        <v>46175</v>
      </c>
      <c r="H47" s="1" t="n">
        <v>435107.38</v>
      </c>
      <c r="I47" s="1" t="inlineStr">
        <is>
          <t>Customer purchase order value exceeded</t>
        </is>
      </c>
      <c r="J47" s="1">
        <f>ROUND(DATE(2026,7,31)-D47,0)</f>
        <v/>
      </c>
      <c r="K47" s="1" t="inlineStr">
        <is>
          <t>2026-07</t>
        </is>
      </c>
      <c r="L47" s="1" t="inlineStr">
        <is>
          <t>C. Duarte</t>
        </is>
      </c>
    </row>
    <row r="48">
      <c r="A48" s="1" t="inlineStr">
        <is>
          <t>SHP-2026-0047</t>
        </is>
      </c>
      <c r="B48" s="1" t="inlineStr">
        <is>
          <t>PO-DBI-1427</t>
        </is>
      </c>
      <c r="C48" s="1" t="inlineStr">
        <is>
          <t>Dunbar Industrial</t>
        </is>
      </c>
      <c r="D48" s="2" t="n">
        <v>46209</v>
      </c>
      <c r="E48" s="1" t="inlineStr">
        <is>
          <t>Zephyr Air Cargo</t>
        </is>
      </c>
      <c r="F48" s="1" t="inlineStr">
        <is>
          <t>SR247937</t>
        </is>
      </c>
      <c r="G48" s="2" t="n">
        <v>46213</v>
      </c>
      <c r="H48" s="1" t="n">
        <v>554529.25</v>
      </c>
      <c r="I48" s="1" t="inlineStr">
        <is>
          <t>Acceptance milestone not yet reached</t>
        </is>
      </c>
      <c r="J48" s="1">
        <f>ROUND(DATE(2026,7,31)-D48,0)</f>
        <v/>
      </c>
      <c r="K48" s="1" t="inlineStr">
        <is>
          <t>2026-08</t>
        </is>
      </c>
      <c r="L48" s="1" t="inlineStr">
        <is>
          <t>M. Kubiak</t>
        </is>
      </c>
    </row>
    <row r="49">
      <c r="A49" s="1" t="inlineStr">
        <is>
          <t>SHP-2026-0048</t>
        </is>
      </c>
      <c r="B49" s="1" t="inlineStr">
        <is>
          <t>PO-SRR-1503</t>
        </is>
      </c>
      <c r="C49" s="1" t="inlineStr">
        <is>
          <t>Summit Ridge Retail</t>
        </is>
      </c>
      <c r="D49" s="2" t="n">
        <v>46176</v>
      </c>
      <c r="E49" s="1" t="inlineStr">
        <is>
          <t>Pioneer Freight Union</t>
        </is>
      </c>
      <c r="F49" s="1" t="inlineStr">
        <is>
          <t>SR694770</t>
        </is>
      </c>
      <c r="G49" s="2" t="n">
        <v>46185</v>
      </c>
      <c r="H49" s="1" t="n">
        <v>404866.34</v>
      </c>
      <c r="I49" s="1" t="inlineStr">
        <is>
          <t>Awaiting signed delivery note</t>
        </is>
      </c>
      <c r="J49" s="1">
        <f>ROUND(DATE(2026,7,31)-D49,0)</f>
        <v/>
      </c>
      <c r="K49" s="1" t="inlineStr">
        <is>
          <t>2026-07</t>
        </is>
      </c>
      <c r="L49" s="1" t="inlineStr">
        <is>
          <t>M. Kubiak</t>
        </is>
      </c>
    </row>
    <row r="50">
      <c r="A50" s="1" t="inlineStr">
        <is>
          <t>SHP-2026-0049</t>
        </is>
      </c>
      <c r="B50" s="1" t="inlineStr">
        <is>
          <t>PO-CFF-1975</t>
        </is>
      </c>
      <c r="C50" s="1" t="inlineStr">
        <is>
          <t>Crestline Fulfillment</t>
        </is>
      </c>
      <c r="D50" s="2" t="n">
        <v>46108</v>
      </c>
      <c r="E50" s="1" t="inlineStr">
        <is>
          <t>Pioneer Freight Union</t>
        </is>
      </c>
      <c r="F50" s="1" t="inlineStr">
        <is>
          <t>SR962617</t>
        </is>
      </c>
      <c r="G50" s="2" t="n">
        <v>46115</v>
      </c>
      <c r="H50" s="1" t="n">
        <v>566599.97</v>
      </c>
      <c r="I50" s="1" t="inlineStr">
        <is>
          <t>No blocker; queued for month-end run</t>
        </is>
      </c>
      <c r="J50" s="1">
        <f>ROUND(DATE(2026,7,31)-D50,0)</f>
        <v/>
      </c>
      <c r="K50" s="1" t="inlineStr">
        <is>
          <t>2026-05</t>
        </is>
      </c>
      <c r="L50" s="1" t="inlineStr">
        <is>
          <t>M. Kubiak</t>
        </is>
      </c>
    </row>
    <row r="51">
      <c r="A51" s="1" t="inlineStr">
        <is>
          <t>SHP-2026-0050</t>
        </is>
      </c>
      <c r="B51" s="1" t="inlineStr">
        <is>
          <t>PO-NFB-6324</t>
        </is>
      </c>
      <c r="C51" s="1" t="inlineStr">
        <is>
          <t>Northfield Beverage</t>
        </is>
      </c>
      <c r="D51" s="2" t="n">
        <v>46185</v>
      </c>
      <c r="E51" s="1" t="inlineStr">
        <is>
          <t>Customer collection</t>
        </is>
      </c>
      <c r="F51" s="1" t="inlineStr">
        <is>
          <t>SR356937</t>
        </is>
      </c>
      <c r="G51" s="2" t="n">
        <v>46198</v>
      </c>
      <c r="H51" s="1" t="n">
        <v>630544.8100000001</v>
      </c>
      <c r="I51" s="1" t="inlineStr">
        <is>
          <t>Acceptance milestone not yet reached</t>
        </is>
      </c>
      <c r="J51" s="1">
        <f>ROUND(DATE(2026,7,31)-D51,0)</f>
        <v/>
      </c>
      <c r="K51" s="1" t="inlineStr">
        <is>
          <t>2026-07</t>
        </is>
      </c>
      <c r="L51" s="1" t="inlineStr">
        <is>
          <t>M. Kubiak</t>
        </is>
      </c>
    </row>
    <row r="52">
      <c r="A52" s="1" t="inlineStr">
        <is>
          <t>SHP-2026-0051</t>
        </is>
      </c>
      <c r="B52" s="1" t="inlineStr">
        <is>
          <t>PO-LKA-6221</t>
        </is>
      </c>
      <c r="C52" s="1" t="inlineStr">
        <is>
          <t>Larkspur Apparel</t>
        </is>
      </c>
      <c r="D52" s="2" t="n">
        <v>46114</v>
      </c>
      <c r="E52" s="1" t="inlineStr">
        <is>
          <t>Pioneer Freight Union</t>
        </is>
      </c>
      <c r="F52" s="1" t="inlineStr">
        <is>
          <t>SR853135</t>
        </is>
      </c>
      <c r="G52" s="2" t="n">
        <v>46115</v>
      </c>
      <c r="H52" s="1" t="n">
        <v>555760.17</v>
      </c>
      <c r="I52" s="1" t="inlineStr">
        <is>
          <t>Awaiting signed delivery note</t>
        </is>
      </c>
      <c r="J52" s="1">
        <f>ROUND(DATE(2026,7,31)-D52,0)</f>
        <v/>
      </c>
      <c r="K52" s="1" t="inlineStr">
        <is>
          <t>2026-05</t>
        </is>
      </c>
      <c r="L52" s="1" t="inlineStr">
        <is>
          <t>C. Duarte</t>
        </is>
      </c>
    </row>
    <row r="53">
      <c r="A53" s="1" t="inlineStr">
        <is>
          <t>SHP-2026-0052</t>
        </is>
      </c>
      <c r="B53" s="1" t="inlineStr">
        <is>
          <t>PO-VRS-2558</t>
        </is>
      </c>
      <c r="C53" s="1" t="inlineStr">
        <is>
          <t>Vantage Robotics Supply</t>
        </is>
      </c>
      <c r="D53" s="2" t="n">
        <v>46052</v>
      </c>
      <c r="E53" s="1" t="inlineStr">
        <is>
          <t>Pioneer Freight Union</t>
        </is>
      </c>
      <c r="F53" s="1" t="inlineStr">
        <is>
          <t>SR919668</t>
        </is>
      </c>
      <c r="G53" s="2" t="n">
        <v>46066</v>
      </c>
      <c r="H53" s="1" t="n">
        <v>73815.98</v>
      </c>
      <c r="I53" s="1" t="inlineStr">
        <is>
          <t>No blocker; queued for month-end run</t>
        </is>
      </c>
      <c r="J53" s="1">
        <f>ROUND(DATE(2026,7,31)-D53,0)</f>
        <v/>
      </c>
      <c r="K53" s="1" t="inlineStr">
        <is>
          <t>2026-03</t>
        </is>
      </c>
      <c r="L53" s="1" t="inlineStr">
        <is>
          <t>M. Kubiak</t>
        </is>
      </c>
    </row>
    <row r="54">
      <c r="A54" s="1" t="inlineStr">
        <is>
          <t>SHP-2026-0053</t>
        </is>
      </c>
      <c r="B54" s="1" t="inlineStr">
        <is>
          <t>PO-TCE-8156</t>
        </is>
      </c>
      <c r="C54" s="1" t="inlineStr">
        <is>
          <t>Tamarack Electronics</t>
        </is>
      </c>
      <c r="D54" s="2" t="n">
        <v>46035</v>
      </c>
      <c r="E54" s="1" t="inlineStr">
        <is>
          <t>Customer collection</t>
        </is>
      </c>
      <c r="F54" s="1" t="inlineStr">
        <is>
          <t>SR391141</t>
        </is>
      </c>
      <c r="G54" s="2" t="n">
        <v>46038</v>
      </c>
      <c r="H54" s="1" t="n">
        <v>506942.56</v>
      </c>
      <c r="I54" s="1" t="inlineStr">
        <is>
          <t>Billing address under review</t>
        </is>
      </c>
      <c r="J54" s="1">
        <f>ROUND(DATE(2026,7,31)-D54,0)</f>
        <v/>
      </c>
      <c r="K54" s="1" t="inlineStr">
        <is>
          <t>2026-02</t>
        </is>
      </c>
      <c r="L54" s="1" t="inlineStr">
        <is>
          <t>D. Mwangi</t>
        </is>
      </c>
    </row>
    <row r="55">
      <c r="A55" s="1" t="inlineStr">
        <is>
          <t>SHP-2026-0054</t>
        </is>
      </c>
      <c r="B55" s="1" t="inlineStr">
        <is>
          <t>PO-DGC-3019</t>
        </is>
      </c>
      <c r="C55" s="1" t="inlineStr">
        <is>
          <t>Dorsey Grain Cooperative</t>
        </is>
      </c>
      <c r="D55" s="2" t="n">
        <v>46045</v>
      </c>
      <c r="E55" s="1" t="inlineStr">
        <is>
          <t>Customer collection</t>
        </is>
      </c>
      <c r="F55" s="1" t="inlineStr">
        <is>
          <t>SR736282</t>
        </is>
      </c>
      <c r="G55" s="2" t="n">
        <v>46058</v>
      </c>
      <c r="H55" s="1" t="n">
        <v>56262.58</v>
      </c>
      <c r="I55" s="1" t="inlineStr">
        <is>
          <t>Billing address under review</t>
        </is>
      </c>
      <c r="J55" s="1">
        <f>ROUND(DATE(2026,7,31)-D55,0)</f>
        <v/>
      </c>
      <c r="K55" s="1" t="inlineStr">
        <is>
          <t>2026-03</t>
        </is>
      </c>
      <c r="L55" s="1" t="inlineStr">
        <is>
          <t>G. Pike</t>
        </is>
      </c>
    </row>
    <row r="56">
      <c r="A56" s="1" t="inlineStr">
        <is>
          <t>SHP-2026-0055</t>
        </is>
      </c>
      <c r="B56" s="1" t="inlineStr">
        <is>
          <t>PO-ZAC-3745</t>
        </is>
      </c>
      <c r="C56" s="1" t="inlineStr">
        <is>
          <t>Zephyr Air Cargo</t>
        </is>
      </c>
      <c r="D56" s="2" t="n">
        <v>46100</v>
      </c>
      <c r="E56" s="1" t="inlineStr">
        <is>
          <t>Zephyr Air Cargo</t>
        </is>
      </c>
      <c r="F56" s="1" t="inlineStr">
        <is>
          <t>SR143715</t>
        </is>
      </c>
      <c r="G56" s="2" t="n">
        <v>46107</v>
      </c>
      <c r="H56" s="1" t="n">
        <v>108257.87</v>
      </c>
      <c r="I56" s="1" t="inlineStr">
        <is>
          <t>Customer purchase order value exceeded</t>
        </is>
      </c>
      <c r="J56" s="1">
        <f>ROUND(DATE(2026,7,31)-D56,0)</f>
        <v/>
      </c>
      <c r="K56" s="1" t="inlineStr">
        <is>
          <t>2026-04</t>
        </is>
      </c>
      <c r="L56" s="1" t="inlineStr">
        <is>
          <t>G. Pike</t>
        </is>
      </c>
    </row>
    <row r="57">
      <c r="A57" s="1" t="inlineStr">
        <is>
          <t>SHP-2026-0056</t>
        </is>
      </c>
      <c r="B57" s="1" t="inlineStr">
        <is>
          <t>PO-WCD-5691</t>
        </is>
      </c>
      <c r="C57" s="1" t="inlineStr">
        <is>
          <t>Westlake Chemical Depot</t>
        </is>
      </c>
      <c r="D57" s="2" t="n">
        <v>46141</v>
      </c>
      <c r="E57" s="1" t="inlineStr">
        <is>
          <t>Zephyr Air Cargo</t>
        </is>
      </c>
      <c r="F57" s="1" t="inlineStr">
        <is>
          <t>SR199754</t>
        </is>
      </c>
      <c r="G57" s="2" t="n">
        <v>46154</v>
      </c>
      <c r="H57" s="1" t="n">
        <v>222121.6</v>
      </c>
      <c r="I57" s="1" t="inlineStr">
        <is>
          <t>Billing address under review</t>
        </is>
      </c>
      <c r="J57" s="1">
        <f>ROUND(DATE(2026,7,31)-D57,0)</f>
        <v/>
      </c>
      <c r="K57" s="1" t="inlineStr">
        <is>
          <t>2026-06</t>
        </is>
      </c>
      <c r="L57" s="1" t="inlineStr">
        <is>
          <t>M. Kubiak</t>
        </is>
      </c>
    </row>
    <row r="58">
      <c r="A58" s="1" t="inlineStr">
        <is>
          <t>SHP-2026-0057</t>
        </is>
      </c>
      <c r="B58" s="1" t="inlineStr">
        <is>
          <t>PO-IVG-7161</t>
        </is>
      </c>
      <c r="C58" s="1" t="inlineStr">
        <is>
          <t>Ironvale Grocery Group</t>
        </is>
      </c>
      <c r="D58" s="2" t="n">
        <v>46069</v>
      </c>
      <c r="E58" s="1" t="inlineStr">
        <is>
          <t>Sable Ridge Freight</t>
        </is>
      </c>
      <c r="F58" s="1" t="inlineStr">
        <is>
          <t>SR852737</t>
        </is>
      </c>
      <c r="G58" s="2" t="n">
        <v>46080</v>
      </c>
      <c r="H58" s="1" t="n">
        <v>310583.32</v>
      </c>
      <c r="I58" s="1" t="inlineStr">
        <is>
          <t>No blocker; queued for month-end run</t>
        </is>
      </c>
      <c r="J58" s="1">
        <f>ROUND(DATE(2026,7,31)-D58,0)</f>
        <v/>
      </c>
      <c r="K58" s="1" t="inlineStr">
        <is>
          <t>2026-03</t>
        </is>
      </c>
      <c r="L58" s="1" t="inlineStr">
        <is>
          <t>M. Kubiak</t>
        </is>
      </c>
    </row>
    <row r="59">
      <c r="A59" s="1" t="inlineStr">
        <is>
          <t>SHP-2026-0058</t>
        </is>
      </c>
      <c r="B59" s="1" t="inlineStr">
        <is>
          <t>PO-IVG-7565</t>
        </is>
      </c>
      <c r="C59" s="1" t="inlineStr">
        <is>
          <t>Ironvale Grocery Group</t>
        </is>
      </c>
      <c r="D59" s="2" t="n">
        <v>46199</v>
      </c>
      <c r="E59" s="1" t="inlineStr">
        <is>
          <t>Pioneer Freight Union</t>
        </is>
      </c>
      <c r="F59" s="1" t="inlineStr">
        <is>
          <t>SR845669</t>
        </is>
      </c>
      <c r="G59" s="2" t="n">
        <v>46206</v>
      </c>
      <c r="H59" s="1" t="n">
        <v>119057.44</v>
      </c>
      <c r="I59" s="1" t="inlineStr">
        <is>
          <t>Acceptance milestone not yet reached</t>
        </is>
      </c>
      <c r="J59" s="1">
        <f>ROUND(DATE(2026,7,31)-D59,0)</f>
        <v/>
      </c>
      <c r="K59" s="1" t="inlineStr">
        <is>
          <t>2026-08</t>
        </is>
      </c>
      <c r="L59" s="1" t="inlineStr">
        <is>
          <t>G. Pike</t>
        </is>
      </c>
    </row>
    <row r="60">
      <c r="A60" s="1" t="inlineStr">
        <is>
          <t>SHP-2026-0059</t>
        </is>
      </c>
      <c r="B60" s="1" t="inlineStr">
        <is>
          <t>PO-KPP-5252</t>
        </is>
      </c>
      <c r="C60" s="1" t="inlineStr">
        <is>
          <t>Keystone Paper &amp; Pack</t>
        </is>
      </c>
      <c r="D60" s="2" t="n">
        <v>46164</v>
      </c>
      <c r="E60" s="1" t="inlineStr">
        <is>
          <t>Pioneer Freight Union</t>
        </is>
      </c>
      <c r="F60" s="1" t="inlineStr">
        <is>
          <t>SR289165</t>
        </is>
      </c>
      <c r="G60" s="2" t="n">
        <v>46177</v>
      </c>
      <c r="H60" s="1" t="n">
        <v>660370.6800000001</v>
      </c>
      <c r="I60" s="1" t="inlineStr">
        <is>
          <t>Held pending credit check</t>
        </is>
      </c>
      <c r="J60" s="1">
        <f>ROUND(DATE(2026,7,31)-D60,0)</f>
        <v/>
      </c>
      <c r="K60" s="1" t="inlineStr">
        <is>
          <t>2026-07</t>
        </is>
      </c>
      <c r="L60" s="1" t="inlineStr">
        <is>
          <t>C. Duarte</t>
        </is>
      </c>
    </row>
    <row r="61">
      <c r="A61" s="1" t="inlineStr">
        <is>
          <t>SHP-2026-0060</t>
        </is>
      </c>
      <c r="B61" s="1" t="inlineStr">
        <is>
          <t>PO-JHS-8870</t>
        </is>
      </c>
      <c r="C61" s="1" t="inlineStr">
        <is>
          <t>Juniper Health Supply</t>
        </is>
      </c>
      <c r="D61" s="2" t="n">
        <v>46098</v>
      </c>
      <c r="E61" s="1" t="inlineStr">
        <is>
          <t>Zephyr Air Cargo</t>
        </is>
      </c>
      <c r="F61" s="1" t="inlineStr">
        <is>
          <t>SR331847</t>
        </is>
      </c>
      <c r="G61" s="2" t="n">
        <v>46101</v>
      </c>
      <c r="H61" s="1" t="n">
        <v>517789.33</v>
      </c>
      <c r="I61" s="1" t="inlineStr">
        <is>
          <t>Awaiting signed delivery note</t>
        </is>
      </c>
      <c r="J61" s="1">
        <f>ROUND(DATE(2026,7,31)-D61,0)</f>
        <v/>
      </c>
      <c r="K61" s="1" t="inlineStr">
        <is>
          <t>2026-04</t>
        </is>
      </c>
      <c r="L61" s="1" t="inlineStr">
        <is>
          <t>C. Duarte</t>
        </is>
      </c>
    </row>
    <row r="62">
      <c r="A62" s="1" t="inlineStr">
        <is>
          <t>SHP-2026-0061</t>
        </is>
      </c>
      <c r="B62" s="1" t="inlineStr">
        <is>
          <t>PO-DBI-6835</t>
        </is>
      </c>
      <c r="C62" s="1" t="inlineStr">
        <is>
          <t>Dunbar Industrial</t>
        </is>
      </c>
      <c r="D62" s="2" t="n">
        <v>46164</v>
      </c>
      <c r="E62" s="1" t="inlineStr">
        <is>
          <t>Pioneer Freight Union</t>
        </is>
      </c>
      <c r="F62" s="1" t="inlineStr">
        <is>
          <t>SR555330</t>
        </is>
      </c>
      <c r="G62" s="2" t="n">
        <v>46171</v>
      </c>
      <c r="H62" s="1" t="n">
        <v>445592.56</v>
      </c>
      <c r="I62" s="1" t="inlineStr">
        <is>
          <t>Held pending credit check</t>
        </is>
      </c>
      <c r="J62" s="1">
        <f>ROUND(DATE(2026,7,31)-D62,0)</f>
        <v/>
      </c>
      <c r="K62" s="1" t="inlineStr">
        <is>
          <t>2026-06</t>
        </is>
      </c>
      <c r="L62" s="1" t="inlineStr">
        <is>
          <t>M. Kubiak</t>
        </is>
      </c>
    </row>
    <row r="63">
      <c r="A63" s="1" t="inlineStr">
        <is>
          <t>SHP-2026-0062</t>
        </is>
      </c>
      <c r="B63" s="1" t="inlineStr">
        <is>
          <t>PO-DBI-7134</t>
        </is>
      </c>
      <c r="C63" s="1" t="inlineStr">
        <is>
          <t>Dunbar Industrial</t>
        </is>
      </c>
      <c r="D63" s="2" t="n">
        <v>46129</v>
      </c>
      <c r="E63" s="1" t="inlineStr">
        <is>
          <t>Customer collection</t>
        </is>
      </c>
      <c r="F63" s="1" t="inlineStr">
        <is>
          <t>SR102562</t>
        </is>
      </c>
      <c r="G63" s="2" t="n">
        <v>46129</v>
      </c>
      <c r="H63" s="1" t="n">
        <v>153766.87</v>
      </c>
      <c r="I63" s="1" t="inlineStr">
        <is>
          <t>Billing address under review</t>
        </is>
      </c>
      <c r="J63" s="1">
        <f>ROUND(DATE(2026,7,31)-D63,0)</f>
        <v/>
      </c>
      <c r="K63" s="1" t="inlineStr">
        <is>
          <t>2026-05</t>
        </is>
      </c>
      <c r="L63" s="1" t="inlineStr">
        <is>
          <t>M. Kubiak</t>
        </is>
      </c>
    </row>
    <row r="64">
      <c r="A64" s="1" t="inlineStr">
        <is>
          <t>SHP-2026-0063</t>
        </is>
      </c>
      <c r="B64" s="1" t="inlineStr">
        <is>
          <t>PO-SRR-3378</t>
        </is>
      </c>
      <c r="C64" s="1" t="inlineStr">
        <is>
          <t>Summit Ridge Retail</t>
        </is>
      </c>
      <c r="D64" s="2" t="n">
        <v>46108</v>
      </c>
      <c r="E64" s="1" t="inlineStr">
        <is>
          <t>Sable Ridge Freight</t>
        </is>
      </c>
      <c r="F64" s="1" t="inlineStr">
        <is>
          <t>SR529014</t>
        </is>
      </c>
      <c r="G64" s="2" t="n">
        <v>46118</v>
      </c>
      <c r="H64" s="1" t="n">
        <v>281006.46</v>
      </c>
      <c r="I64" s="1" t="inlineStr">
        <is>
          <t>Acceptance milestone not yet reached</t>
        </is>
      </c>
      <c r="J64" s="1">
        <f>ROUND(DATE(2026,7,31)-D64,0)</f>
        <v/>
      </c>
      <c r="K64" s="1" t="inlineStr">
        <is>
          <t>2026-05</t>
        </is>
      </c>
      <c r="L64" s="1" t="inlineStr">
        <is>
          <t>G. Pike</t>
        </is>
      </c>
    </row>
    <row r="65">
      <c r="A65" s="1" t="inlineStr">
        <is>
          <t>SHP-2026-0064</t>
        </is>
      </c>
      <c r="B65" s="1" t="inlineStr">
        <is>
          <t>PO-TCE-5267</t>
        </is>
      </c>
      <c r="C65" s="1" t="inlineStr">
        <is>
          <t>Tamarack Electronics</t>
        </is>
      </c>
      <c r="D65" s="2" t="n">
        <v>46087</v>
      </c>
      <c r="E65" s="1" t="inlineStr">
        <is>
          <t>Pioneer Freight Union</t>
        </is>
      </c>
      <c r="F65" s="1" t="inlineStr">
        <is>
          <t>SR747737</t>
        </is>
      </c>
      <c r="G65" s="2" t="n">
        <v>46101</v>
      </c>
      <c r="H65" s="1" t="n">
        <v>652779.5</v>
      </c>
      <c r="I65" s="1" t="inlineStr">
        <is>
          <t>Held pending credit check</t>
        </is>
      </c>
      <c r="J65" s="1">
        <f>ROUND(DATE(2026,7,31)-D65,0)</f>
        <v/>
      </c>
      <c r="K65" s="1" t="inlineStr">
        <is>
          <t>2026-04</t>
        </is>
      </c>
      <c r="L65" s="1" t="inlineStr">
        <is>
          <t>C. Duarte</t>
        </is>
      </c>
    </row>
    <row r="66">
      <c r="A66" s="1" t="inlineStr">
        <is>
          <t>SHP-2026-0065</t>
        </is>
      </c>
      <c r="B66" s="1" t="inlineStr">
        <is>
          <t>PO-FTM-3062</t>
        </is>
      </c>
      <c r="C66" s="1" t="inlineStr">
        <is>
          <t>Fathom Mobility</t>
        </is>
      </c>
      <c r="D66" s="2" t="n">
        <v>46178</v>
      </c>
      <c r="E66" s="1" t="inlineStr">
        <is>
          <t>Pioneer Freight Union</t>
        </is>
      </c>
      <c r="F66" s="1" t="inlineStr">
        <is>
          <t>SR705367</t>
        </is>
      </c>
      <c r="G66" s="2" t="n">
        <v>46185</v>
      </c>
      <c r="H66" s="1" t="n">
        <v>84334.36</v>
      </c>
      <c r="I66" s="1" t="inlineStr">
        <is>
          <t>Held pending credit check</t>
        </is>
      </c>
      <c r="J66" s="1">
        <f>ROUND(DATE(2026,7,31)-D66,0)</f>
        <v/>
      </c>
      <c r="K66" s="1" t="inlineStr">
        <is>
          <t>2026-07</t>
        </is>
      </c>
      <c r="L66" s="1" t="inlineStr">
        <is>
          <t>C. Duarte</t>
        </is>
      </c>
    </row>
    <row r="67">
      <c r="A67" s="1" t="inlineStr">
        <is>
          <t>SHP-2026-0066</t>
        </is>
      </c>
      <c r="B67" s="1" t="inlineStr">
        <is>
          <t>PO-HLS-9586</t>
        </is>
      </c>
      <c r="C67" s="1" t="inlineStr">
        <is>
          <t>Harborline Systems</t>
        </is>
      </c>
      <c r="D67" s="2" t="n">
        <v>46087</v>
      </c>
      <c r="E67" s="1" t="inlineStr">
        <is>
          <t>Sable Ridge Freight</t>
        </is>
      </c>
      <c r="F67" s="1" t="inlineStr">
        <is>
          <t>SR182807</t>
        </is>
      </c>
      <c r="G67" s="2" t="n">
        <v>46098</v>
      </c>
      <c r="H67" s="1" t="n">
        <v>320389.66</v>
      </c>
      <c r="I67" s="1" t="inlineStr">
        <is>
          <t>Billing address under review</t>
        </is>
      </c>
      <c r="J67" s="1">
        <f>ROUND(DATE(2026,7,31)-D67,0)</f>
        <v/>
      </c>
      <c r="K67" s="1" t="inlineStr">
        <is>
          <t>2026-04</t>
        </is>
      </c>
      <c r="L67" s="1" t="inlineStr">
        <is>
          <t>C. Duarte</t>
        </is>
      </c>
    </row>
    <row r="68">
      <c r="A68" s="1" t="inlineStr">
        <is>
          <t>SHP-2026-0067</t>
        </is>
      </c>
      <c r="B68" s="1" t="inlineStr">
        <is>
          <t>PO-FTM-4268</t>
        </is>
      </c>
      <c r="C68" s="1" t="inlineStr">
        <is>
          <t>Fathom Mobility</t>
        </is>
      </c>
      <c r="D68" s="2" t="n">
        <v>46149</v>
      </c>
      <c r="E68" s="1" t="inlineStr">
        <is>
          <t>Customer collection</t>
        </is>
      </c>
      <c r="F68" s="1" t="inlineStr">
        <is>
          <t>SR360305</t>
        </is>
      </c>
      <c r="G68" s="2" t="n">
        <v>46157</v>
      </c>
      <c r="H68" s="1" t="n">
        <v>300173.41</v>
      </c>
      <c r="I68" s="1" t="inlineStr">
        <is>
          <t>Customer purchase order value exceeded</t>
        </is>
      </c>
      <c r="J68" s="1">
        <f>ROUND(DATE(2026,7,31)-D68,0)</f>
        <v/>
      </c>
      <c r="K68" s="1" t="inlineStr">
        <is>
          <t>2026-06</t>
        </is>
      </c>
      <c r="L68" s="1" t="inlineStr">
        <is>
          <t>M. Kubiak</t>
        </is>
      </c>
    </row>
    <row r="69">
      <c r="A69" s="1" t="inlineStr">
        <is>
          <t>SHP-2026-0068</t>
        </is>
      </c>
      <c r="B69" s="1" t="inlineStr">
        <is>
          <t>PO-LKA-6761</t>
        </is>
      </c>
      <c r="C69" s="1" t="inlineStr">
        <is>
          <t>Larkspur Apparel</t>
        </is>
      </c>
      <c r="D69" s="2" t="n">
        <v>46150</v>
      </c>
      <c r="E69" s="1" t="inlineStr">
        <is>
          <t>Sable Ridge Freight</t>
        </is>
      </c>
      <c r="F69" s="1" t="inlineStr">
        <is>
          <t>SR139806</t>
        </is>
      </c>
      <c r="G69" s="2" t="n">
        <v>46156</v>
      </c>
      <c r="H69" s="1" t="n">
        <v>657696.42</v>
      </c>
      <c r="I69" s="1" t="inlineStr">
        <is>
          <t>Awaiting signed delivery note</t>
        </is>
      </c>
      <c r="J69" s="1">
        <f>ROUND(DATE(2026,7,31)-D69,0)</f>
        <v/>
      </c>
      <c r="K69" s="1" t="inlineStr">
        <is>
          <t>2026-06</t>
        </is>
      </c>
      <c r="L69" s="1" t="inlineStr">
        <is>
          <t>D. Mwangi</t>
        </is>
      </c>
    </row>
    <row r="70">
      <c r="A70" s="1" t="inlineStr">
        <is>
          <t>SHP-2026-0069</t>
        </is>
      </c>
      <c r="B70" s="1" t="inlineStr">
        <is>
          <t>PO-OGF-7813</t>
        </is>
      </c>
      <c r="C70" s="1" t="inlineStr">
        <is>
          <t>Orchard Grove Foods</t>
        </is>
      </c>
      <c r="D70" s="2" t="n">
        <v>46065</v>
      </c>
      <c r="E70" s="1" t="inlineStr">
        <is>
          <t>Sable Ridge Freight</t>
        </is>
      </c>
      <c r="F70" s="1" t="inlineStr">
        <is>
          <t>SR193410</t>
        </is>
      </c>
      <c r="G70" s="2" t="n">
        <v>46076</v>
      </c>
      <c r="H70" s="1" t="n">
        <v>146329.4</v>
      </c>
      <c r="I70" s="1" t="inlineStr">
        <is>
          <t>Held pending credit check</t>
        </is>
      </c>
      <c r="J70" s="1">
        <f>ROUND(DATE(2026,7,31)-D70,0)</f>
        <v/>
      </c>
      <c r="K70" s="1" t="inlineStr">
        <is>
          <t>2026-03</t>
        </is>
      </c>
      <c r="L70" s="1" t="inlineStr">
        <is>
          <t>M. Kubiak</t>
        </is>
      </c>
    </row>
    <row r="71">
      <c r="A71" s="1" t="inlineStr">
        <is>
          <t>SHP-2026-0070</t>
        </is>
      </c>
      <c r="B71" s="1" t="inlineStr">
        <is>
          <t>PO-ZAC-1576</t>
        </is>
      </c>
      <c r="C71" s="1" t="inlineStr">
        <is>
          <t>Zephyr Air Cargo</t>
        </is>
      </c>
      <c r="D71" s="2" t="n">
        <v>46099</v>
      </c>
      <c r="E71" s="1" t="inlineStr">
        <is>
          <t>Customer collection</t>
        </is>
      </c>
      <c r="F71" s="1" t="inlineStr">
        <is>
          <t>SR774104</t>
        </is>
      </c>
      <c r="G71" s="2" t="n">
        <v>46113</v>
      </c>
      <c r="H71" s="1" t="n">
        <v>708470.48</v>
      </c>
      <c r="I71" s="1" t="inlineStr">
        <is>
          <t>Held pending credit check</t>
        </is>
      </c>
      <c r="J71" s="1">
        <f>ROUND(DATE(2026,7,31)-D71,0)</f>
        <v/>
      </c>
      <c r="K71" s="1" t="inlineStr">
        <is>
          <t>2026-05</t>
        </is>
      </c>
      <c r="L71" s="1" t="inlineStr">
        <is>
          <t>M. Kubiak</t>
        </is>
      </c>
    </row>
    <row r="72">
      <c r="A72" s="1" t="inlineStr">
        <is>
          <t>SHP-2026-0071</t>
        </is>
      </c>
      <c r="B72" s="1" t="inlineStr">
        <is>
          <t>PO-DGC-4605</t>
        </is>
      </c>
      <c r="C72" s="1" t="inlineStr">
        <is>
          <t>Dorsey Grain Cooperative</t>
        </is>
      </c>
      <c r="D72" s="2" t="n">
        <v>46072</v>
      </c>
      <c r="E72" s="1" t="inlineStr">
        <is>
          <t>Pioneer Freight Union</t>
        </is>
      </c>
      <c r="F72" s="1" t="inlineStr">
        <is>
          <t>SR324958</t>
        </is>
      </c>
      <c r="G72" s="2" t="n">
        <v>46085</v>
      </c>
      <c r="H72" s="1" t="n">
        <v>406781.88</v>
      </c>
      <c r="I72" s="1" t="inlineStr">
        <is>
          <t>Customer purchase order value exceeded</t>
        </is>
      </c>
      <c r="J72" s="1">
        <f>ROUND(DATE(2026,7,31)-D72,0)</f>
        <v/>
      </c>
      <c r="K72" s="1" t="inlineStr">
        <is>
          <t>2026-04</t>
        </is>
      </c>
      <c r="L72" s="1" t="inlineStr">
        <is>
          <t>M. Kubiak</t>
        </is>
      </c>
    </row>
    <row r="73">
      <c r="A73" s="1" t="inlineStr">
        <is>
          <t>SHP-2026-0072</t>
        </is>
      </c>
      <c r="B73" s="1" t="inlineStr">
        <is>
          <t>PO-IVG-3824</t>
        </is>
      </c>
      <c r="C73" s="1" t="inlineStr">
        <is>
          <t>Ironvale Grocery Group</t>
        </is>
      </c>
      <c r="D73" s="2" t="n">
        <v>46156</v>
      </c>
      <c r="E73" s="1" t="inlineStr">
        <is>
          <t>Sable Ridge Freight</t>
        </is>
      </c>
      <c r="F73" s="1" t="inlineStr">
        <is>
          <t>SR747184</t>
        </is>
      </c>
      <c r="G73" s="2" t="n">
        <v>46164</v>
      </c>
      <c r="H73" s="1" t="n">
        <v>251060.22</v>
      </c>
      <c r="I73" s="1" t="inlineStr">
        <is>
          <t>Held pending credit check</t>
        </is>
      </c>
      <c r="J73" s="1">
        <f>ROUND(DATE(2026,7,31)-D73,0)</f>
        <v/>
      </c>
      <c r="K73" s="1" t="inlineStr">
        <is>
          <t>2026-06</t>
        </is>
      </c>
      <c r="L73" s="1" t="inlineStr">
        <is>
          <t>C. Duarte</t>
        </is>
      </c>
    </row>
    <row r="74">
      <c r="A74" s="1" t="inlineStr">
        <is>
          <t>SHP-2026-0073</t>
        </is>
      </c>
      <c r="B74" s="1" t="inlineStr">
        <is>
          <t>PO-UVP-5777</t>
        </is>
      </c>
      <c r="C74" s="1" t="inlineStr">
        <is>
          <t>Union Vale Pharma</t>
        </is>
      </c>
      <c r="D74" s="2" t="n">
        <v>46121</v>
      </c>
      <c r="E74" s="1" t="inlineStr">
        <is>
          <t>Customer collection</t>
        </is>
      </c>
      <c r="F74" s="1" t="inlineStr">
        <is>
          <t>SR247566</t>
        </is>
      </c>
      <c r="G74" s="2" t="n">
        <v>46122</v>
      </c>
      <c r="H74" s="1" t="n">
        <v>474907.54</v>
      </c>
      <c r="I74" s="1" t="inlineStr">
        <is>
          <t>Acceptance milestone not yet reached</t>
        </is>
      </c>
      <c r="J74" s="1">
        <f>ROUND(DATE(2026,7,31)-D74,0)</f>
        <v/>
      </c>
      <c r="K74" s="1" t="inlineStr">
        <is>
          <t>2026-05</t>
        </is>
      </c>
      <c r="L74" s="1" t="inlineStr">
        <is>
          <t>M. Kubiak</t>
        </is>
      </c>
    </row>
    <row r="75">
      <c r="A75" s="1" t="inlineStr">
        <is>
          <t>SHP-2026-0074</t>
        </is>
      </c>
      <c r="B75" s="1" t="inlineStr">
        <is>
          <t>PO-VRS-2678</t>
        </is>
      </c>
      <c r="C75" s="1" t="inlineStr">
        <is>
          <t>Vantage Robotics Supply</t>
        </is>
      </c>
      <c r="D75" s="2" t="n">
        <v>46178</v>
      </c>
      <c r="E75" s="1" t="inlineStr">
        <is>
          <t>Sable Ridge Freight</t>
        </is>
      </c>
      <c r="F75" s="1" t="inlineStr">
        <is>
          <t>SR889734</t>
        </is>
      </c>
      <c r="G75" s="2" t="n">
        <v>46191</v>
      </c>
      <c r="H75" s="1" t="n">
        <v>214265.61</v>
      </c>
      <c r="I75" s="1" t="inlineStr">
        <is>
          <t>Awaiting signed delivery note</t>
        </is>
      </c>
      <c r="J75" s="1">
        <f>ROUND(DATE(2026,7,31)-D75,0)</f>
        <v/>
      </c>
      <c r="K75" s="1" t="inlineStr">
        <is>
          <t>2026-07</t>
        </is>
      </c>
      <c r="L75" s="1" t="inlineStr">
        <is>
          <t>D. Mwangi</t>
        </is>
      </c>
    </row>
    <row r="76">
      <c r="A76" s="1" t="inlineStr">
        <is>
          <t>SHP-2026-0075</t>
        </is>
      </c>
      <c r="B76" s="1" t="inlineStr">
        <is>
          <t>PO-DBI-8493</t>
        </is>
      </c>
      <c r="C76" s="1" t="inlineStr">
        <is>
          <t>Dunbar Industrial</t>
        </is>
      </c>
      <c r="D76" s="2" t="n">
        <v>46071</v>
      </c>
      <c r="E76" s="1" t="inlineStr">
        <is>
          <t>Sable Ridge Freight</t>
        </is>
      </c>
      <c r="F76" s="1" t="inlineStr">
        <is>
          <t>SR812275</t>
        </is>
      </c>
      <c r="G76" s="2" t="n">
        <v>46084</v>
      </c>
      <c r="H76" s="1" t="n">
        <v>700412.04</v>
      </c>
      <c r="I76" s="1" t="inlineStr">
        <is>
          <t>Customer purchase order value exceeded</t>
        </is>
      </c>
      <c r="J76" s="1">
        <f>ROUND(DATE(2026,7,31)-D76,0)</f>
        <v/>
      </c>
      <c r="K76" s="1" t="inlineStr">
        <is>
          <t>2026-04</t>
        </is>
      </c>
      <c r="L76" s="1" t="inlineStr">
        <is>
          <t>C. Duarte</t>
        </is>
      </c>
    </row>
    <row r="77">
      <c r="A77" s="1" t="inlineStr">
        <is>
          <t>SHP-2026-0076</t>
        </is>
      </c>
      <c r="B77" s="1" t="inlineStr">
        <is>
          <t>PO-KPP-6927</t>
        </is>
      </c>
      <c r="C77" s="1" t="inlineStr">
        <is>
          <t>Keystone Paper &amp; Pack</t>
        </is>
      </c>
      <c r="D77" s="2" t="n">
        <v>46045</v>
      </c>
      <c r="E77" s="1" t="inlineStr">
        <is>
          <t>Sable Ridge Freight</t>
        </is>
      </c>
      <c r="F77" s="1" t="inlineStr">
        <is>
          <t>SR131537</t>
        </is>
      </c>
      <c r="G77" s="2" t="n">
        <v>46049</v>
      </c>
      <c r="H77" s="1" t="n">
        <v>568158.5600000001</v>
      </c>
      <c r="I77" s="1" t="inlineStr">
        <is>
          <t>No blocker; queued for month-end run</t>
        </is>
      </c>
      <c r="J77" s="1">
        <f>ROUND(DATE(2026,7,31)-D77,0)</f>
        <v/>
      </c>
      <c r="K77" s="1" t="inlineStr">
        <is>
          <t>2026-02</t>
        </is>
      </c>
      <c r="L77" s="1" t="inlineStr">
        <is>
          <t>M. Kubiak</t>
        </is>
      </c>
    </row>
    <row r="78">
      <c r="A78" s="1" t="inlineStr">
        <is>
          <t>SHP-2026-0077</t>
        </is>
      </c>
      <c r="B78" s="1" t="inlineStr">
        <is>
          <t>PO-IVG-1518</t>
        </is>
      </c>
      <c r="C78" s="1" t="inlineStr">
        <is>
          <t>Ironvale Grocery Group</t>
        </is>
      </c>
      <c r="D78" s="2" t="n">
        <v>46139</v>
      </c>
      <c r="E78" s="1" t="inlineStr">
        <is>
          <t>Zephyr Air Cargo</t>
        </is>
      </c>
      <c r="F78" s="1" t="inlineStr">
        <is>
          <t>SR411525</t>
        </is>
      </c>
      <c r="G78" s="2" t="n">
        <v>46143</v>
      </c>
      <c r="H78" s="1" t="n">
        <v>457232.61</v>
      </c>
      <c r="I78" s="1" t="inlineStr">
        <is>
          <t>Customer purchase order value exceeded</t>
        </is>
      </c>
      <c r="J78" s="1">
        <f>ROUND(DATE(2026,7,31)-D78,0)</f>
        <v/>
      </c>
      <c r="K78" s="1" t="inlineStr">
        <is>
          <t>2026-06</t>
        </is>
      </c>
      <c r="L78" s="1" t="inlineStr">
        <is>
          <t>C. Duarte</t>
        </is>
      </c>
    </row>
    <row r="79">
      <c r="A79" s="1" t="inlineStr">
        <is>
          <t>SHP-2026-0078</t>
        </is>
      </c>
      <c r="B79" s="1" t="inlineStr">
        <is>
          <t>PO-VRS-9146</t>
        </is>
      </c>
      <c r="C79" s="1" t="inlineStr">
        <is>
          <t>Vantage Robotics Supply</t>
        </is>
      </c>
      <c r="D79" s="2" t="n">
        <v>46125</v>
      </c>
      <c r="E79" s="1" t="inlineStr">
        <is>
          <t>Customer collection</t>
        </is>
      </c>
      <c r="F79" s="1" t="inlineStr">
        <is>
          <t>SR516871</t>
        </is>
      </c>
      <c r="G79" s="2" t="n">
        <v>46129</v>
      </c>
      <c r="H79" s="1" t="n">
        <v>616332.89</v>
      </c>
      <c r="I79" s="1" t="inlineStr">
        <is>
          <t>No blocker; queued for month-end run</t>
        </is>
      </c>
      <c r="J79" s="1">
        <f>ROUND(DATE(2026,7,31)-D79,0)</f>
        <v/>
      </c>
      <c r="K79" s="1" t="inlineStr">
        <is>
          <t>2026-05</t>
        </is>
      </c>
      <c r="L79" s="1" t="inlineStr">
        <is>
          <t>M. Kubiak</t>
        </is>
      </c>
    </row>
    <row r="80">
      <c r="A80" s="1" t="inlineStr">
        <is>
          <t>SHP-2026-0079</t>
        </is>
      </c>
      <c r="B80" s="1" t="inlineStr">
        <is>
          <t>PO-CFF-2752</t>
        </is>
      </c>
      <c r="C80" s="1" t="inlineStr">
        <is>
          <t>Crestline Fulfillment</t>
        </is>
      </c>
      <c r="D80" s="2" t="n">
        <v>46142</v>
      </c>
      <c r="E80" s="1" t="inlineStr">
        <is>
          <t>Customer collection</t>
        </is>
      </c>
      <c r="F80" s="1" t="inlineStr">
        <is>
          <t>SR651870</t>
        </is>
      </c>
      <c r="G80" s="2" t="n">
        <v>46143</v>
      </c>
      <c r="H80" s="1" t="n">
        <v>238251.55</v>
      </c>
      <c r="I80" s="1" t="inlineStr">
        <is>
          <t>Awaiting signed delivery note</t>
        </is>
      </c>
      <c r="J80" s="1">
        <f>ROUND(DATE(2026,7,31)-D80,0)</f>
        <v/>
      </c>
      <c r="K80" s="1" t="inlineStr">
        <is>
          <t>2026-06</t>
        </is>
      </c>
      <c r="L80" s="1" t="inlineStr">
        <is>
          <t>G. Pike</t>
        </is>
      </c>
    </row>
    <row r="81">
      <c r="A81" s="1" t="inlineStr">
        <is>
          <t>SHP-2026-0080</t>
        </is>
      </c>
      <c r="B81" s="1" t="inlineStr">
        <is>
          <t>PO-EWP-5306</t>
        </is>
      </c>
      <c r="C81" s="1" t="inlineStr">
        <is>
          <t>Elmsworth Publishing</t>
        </is>
      </c>
      <c r="D81" s="2" t="n">
        <v>46077</v>
      </c>
      <c r="E81" s="1" t="inlineStr">
        <is>
          <t>Pioneer Freight Union</t>
        </is>
      </c>
      <c r="F81" s="1" t="inlineStr">
        <is>
          <t>SR827045</t>
        </is>
      </c>
      <c r="G81" s="2" t="n">
        <v>46080</v>
      </c>
      <c r="H81" s="1" t="n">
        <v>507895.36</v>
      </c>
      <c r="I81" s="1" t="inlineStr">
        <is>
          <t>Acceptance milestone not yet reached</t>
        </is>
      </c>
      <c r="J81" s="1">
        <f>ROUND(DATE(2026,7,31)-D81,0)</f>
        <v/>
      </c>
      <c r="K81" s="1" t="inlineStr">
        <is>
          <t>2026-03</t>
        </is>
      </c>
      <c r="L81" s="1" t="inlineStr">
        <is>
          <t>D. Mwangi</t>
        </is>
      </c>
    </row>
    <row r="82">
      <c r="A82" s="1" t="inlineStr">
        <is>
          <t>SHP-2026-0081</t>
        </is>
      </c>
      <c r="B82" s="1" t="inlineStr">
        <is>
          <t>PO-VRS-8862</t>
        </is>
      </c>
      <c r="C82" s="1" t="inlineStr">
        <is>
          <t>Vantage Robotics Supply</t>
        </is>
      </c>
      <c r="D82" s="2" t="n">
        <v>46045</v>
      </c>
      <c r="E82" s="1" t="inlineStr">
        <is>
          <t>Zephyr Air Cargo</t>
        </is>
      </c>
      <c r="F82" s="1" t="inlineStr">
        <is>
          <t>SR710429</t>
        </is>
      </c>
      <c r="G82" s="2" t="n">
        <v>46055</v>
      </c>
      <c r="H82" s="1" t="n">
        <v>246591.66</v>
      </c>
      <c r="I82" s="1" t="inlineStr">
        <is>
          <t>Acceptance milestone not yet reached</t>
        </is>
      </c>
      <c r="J82" s="1">
        <f>ROUND(DATE(2026,7,31)-D82,0)</f>
        <v/>
      </c>
      <c r="K82" s="1" t="inlineStr">
        <is>
          <t>2026-03</t>
        </is>
      </c>
      <c r="L82" s="1" t="inlineStr">
        <is>
          <t>M. Kubiak</t>
        </is>
      </c>
    </row>
    <row r="83">
      <c r="A83" s="1" t="inlineStr">
        <is>
          <t>SHP-2026-0082</t>
        </is>
      </c>
      <c r="B83" s="1" t="inlineStr">
        <is>
          <t>PO-BMC-7678</t>
        </is>
      </c>
      <c r="C83" s="1" t="inlineStr">
        <is>
          <t>Blue Mesa Components</t>
        </is>
      </c>
      <c r="D83" s="2" t="n">
        <v>46042</v>
      </c>
      <c r="E83" s="1" t="inlineStr">
        <is>
          <t>Zephyr Air Cargo</t>
        </is>
      </c>
      <c r="F83" s="1" t="inlineStr">
        <is>
          <t>SR218144</t>
        </is>
      </c>
      <c r="G83" s="2" t="n">
        <v>46045</v>
      </c>
      <c r="H83" s="1" t="n">
        <v>618430.4</v>
      </c>
      <c r="I83" s="1" t="inlineStr">
        <is>
          <t>Customer purchase order value exceeded</t>
        </is>
      </c>
      <c r="J83" s="1">
        <f>ROUND(DATE(2026,7,31)-D83,0)</f>
        <v/>
      </c>
      <c r="K83" s="1" t="inlineStr">
        <is>
          <t>2026-02</t>
        </is>
      </c>
      <c r="L83" s="1" t="inlineStr">
        <is>
          <t>D. Mwangi</t>
        </is>
      </c>
    </row>
    <row r="84">
      <c r="A84" s="1" t="inlineStr">
        <is>
          <t>SHP-2026-0083</t>
        </is>
      </c>
      <c r="B84" s="1" t="inlineStr">
        <is>
          <t>PO-SRR-8328</t>
        </is>
      </c>
      <c r="C84" s="1" t="inlineStr">
        <is>
          <t>Summit Ridge Retail</t>
        </is>
      </c>
      <c r="D84" s="2" t="n">
        <v>46213</v>
      </c>
      <c r="E84" s="1" t="inlineStr">
        <is>
          <t>Sable Ridge Freight</t>
        </is>
      </c>
      <c r="F84" s="1" t="inlineStr">
        <is>
          <t>SR373718</t>
        </is>
      </c>
      <c r="G84" s="2" t="n">
        <v>46216</v>
      </c>
      <c r="H84" s="1" t="n">
        <v>75813.92</v>
      </c>
      <c r="I84" s="1" t="inlineStr">
        <is>
          <t>Billing address under review</t>
        </is>
      </c>
      <c r="J84" s="1">
        <f>ROUND(DATE(2026,7,31)-D84,0)</f>
        <v/>
      </c>
      <c r="K84" s="1" t="inlineStr">
        <is>
          <t>2026-08</t>
        </is>
      </c>
      <c r="L84" s="1" t="inlineStr">
        <is>
          <t>M. Kubiak</t>
        </is>
      </c>
    </row>
    <row r="85">
      <c r="A85" s="1" t="inlineStr">
        <is>
          <t>SHP-2026-0084</t>
        </is>
      </c>
      <c r="B85" s="1" t="inlineStr">
        <is>
          <t>PO-DGC-4517</t>
        </is>
      </c>
      <c r="C85" s="1" t="inlineStr">
        <is>
          <t>Dorsey Grain Cooperative</t>
        </is>
      </c>
      <c r="D85" s="2" t="n">
        <v>46168</v>
      </c>
      <c r="E85" s="1" t="inlineStr">
        <is>
          <t>Zephyr Air Cargo</t>
        </is>
      </c>
      <c r="F85" s="1" t="inlineStr">
        <is>
          <t>SR690965</t>
        </is>
      </c>
      <c r="G85" s="2" t="n">
        <v>46171</v>
      </c>
      <c r="H85" s="1" t="n">
        <v>608022.34</v>
      </c>
      <c r="I85" s="1" t="inlineStr">
        <is>
          <t>Customer purchase order value exceeded</t>
        </is>
      </c>
      <c r="J85" s="1">
        <f>ROUND(DATE(2026,7,31)-D85,0)</f>
        <v/>
      </c>
      <c r="K85" s="1" t="inlineStr">
        <is>
          <t>2026-06</t>
        </is>
      </c>
      <c r="L85" s="1" t="inlineStr">
        <is>
          <t>G. Pike</t>
        </is>
      </c>
    </row>
    <row r="86">
      <c r="A86" s="1" t="inlineStr">
        <is>
          <t>SHP-2026-0085</t>
        </is>
      </c>
      <c r="B86" s="1" t="inlineStr">
        <is>
          <t>PO-RWO-4066</t>
        </is>
      </c>
      <c r="C86" s="1" t="inlineStr">
        <is>
          <t>Redwood Optics</t>
        </is>
      </c>
      <c r="D86" s="2" t="n">
        <v>46066</v>
      </c>
      <c r="E86" s="1" t="inlineStr">
        <is>
          <t>Customer collection</t>
        </is>
      </c>
      <c r="F86" s="1" t="inlineStr">
        <is>
          <t>SR746334</t>
        </is>
      </c>
      <c r="G86" s="2" t="n">
        <v>46078</v>
      </c>
      <c r="H86" s="1" t="n">
        <v>272237.44</v>
      </c>
      <c r="I86" s="1" t="inlineStr">
        <is>
          <t>Awaiting signed delivery note</t>
        </is>
      </c>
      <c r="J86" s="1">
        <f>ROUND(DATE(2026,7,31)-D86,0)</f>
        <v/>
      </c>
      <c r="K86" s="1" t="inlineStr">
        <is>
          <t>2026-03</t>
        </is>
      </c>
      <c r="L86" s="1" t="inlineStr">
        <is>
          <t>C. Duarte</t>
        </is>
      </c>
    </row>
    <row r="87">
      <c r="A87" s="1" t="inlineStr">
        <is>
          <t>SHP-2026-0086</t>
        </is>
      </c>
      <c r="B87" s="1" t="inlineStr">
        <is>
          <t>PO-BWA-2929</t>
        </is>
      </c>
      <c r="C87" s="1" t="inlineStr">
        <is>
          <t>Bellweather Auto Group</t>
        </is>
      </c>
      <c r="D87" s="2" t="n">
        <v>46197</v>
      </c>
      <c r="E87" s="1" t="inlineStr">
        <is>
          <t>Zephyr Air Cargo</t>
        </is>
      </c>
      <c r="F87" s="1" t="inlineStr">
        <is>
          <t>SR900000</t>
        </is>
      </c>
      <c r="G87" s="2" t="n">
        <v>46210</v>
      </c>
      <c r="H87" s="1" t="n">
        <v>654973.8199999999</v>
      </c>
      <c r="I87" s="1" t="inlineStr">
        <is>
          <t>No blocker; queued for month-end run</t>
        </is>
      </c>
      <c r="J87" s="1">
        <f>ROUND(DATE(2026,7,31)-D87,0)</f>
        <v/>
      </c>
      <c r="K87" s="1" t="inlineStr">
        <is>
          <t>2026-08</t>
        </is>
      </c>
      <c r="L87" s="1" t="inlineStr">
        <is>
          <t>G. Pike</t>
        </is>
      </c>
    </row>
    <row r="88">
      <c r="A88" s="1" t="inlineStr">
        <is>
          <t>SHP-2026-0087</t>
        </is>
      </c>
      <c r="B88" s="1" t="inlineStr">
        <is>
          <t>PO-GPD-8446</t>
        </is>
      </c>
      <c r="C88" s="1" t="inlineStr">
        <is>
          <t>Granite Peak Distribution</t>
        </is>
      </c>
      <c r="D88" s="2" t="n">
        <v>46066</v>
      </c>
      <c r="E88" s="1" t="inlineStr">
        <is>
          <t>Zephyr Air Cargo</t>
        </is>
      </c>
      <c r="F88" s="1" t="inlineStr">
        <is>
          <t>SR109000</t>
        </is>
      </c>
      <c r="G88" s="2" t="n">
        <v>46069</v>
      </c>
      <c r="H88" s="1" t="n">
        <v>518066.03</v>
      </c>
      <c r="I88" s="1" t="inlineStr">
        <is>
          <t>No blocker; queued for month-end run</t>
        </is>
      </c>
      <c r="J88" s="1">
        <f>ROUND(DATE(2026,7,31)-D88,0)</f>
        <v/>
      </c>
      <c r="K88" s="1" t="inlineStr">
        <is>
          <t>2026-03</t>
        </is>
      </c>
      <c r="L88" s="1" t="inlineStr">
        <is>
          <t>D. Mwangi</t>
        </is>
      </c>
    </row>
    <row r="89">
      <c r="A89" s="1" t="inlineStr">
        <is>
          <t>SHP-2026-0088</t>
        </is>
      </c>
      <c r="B89" s="1" t="inlineStr">
        <is>
          <t>PO-KPP-1453</t>
        </is>
      </c>
      <c r="C89" s="1" t="inlineStr">
        <is>
          <t>Keystone Paper &amp; Pack</t>
        </is>
      </c>
      <c r="D89" s="2" t="n">
        <v>46176</v>
      </c>
      <c r="E89" s="1" t="inlineStr">
        <is>
          <t>Pioneer Freight Union</t>
        </is>
      </c>
      <c r="F89" s="1" t="inlineStr">
        <is>
          <t>SR188812</t>
        </is>
      </c>
      <c r="G89" s="2" t="n">
        <v>46188</v>
      </c>
      <c r="H89" s="1" t="n">
        <v>450932.77</v>
      </c>
      <c r="I89" s="1" t="inlineStr">
        <is>
          <t>No blocker; queued for month-end run</t>
        </is>
      </c>
      <c r="J89" s="1">
        <f>ROUND(DATE(2026,7,31)-D89,0)</f>
        <v/>
      </c>
      <c r="K89" s="1" t="inlineStr">
        <is>
          <t>2026-07</t>
        </is>
      </c>
      <c r="L89" s="1" t="inlineStr">
        <is>
          <t>D. Mwangi</t>
        </is>
      </c>
    </row>
    <row r="90">
      <c r="A90" s="1" t="inlineStr">
        <is>
          <t>SHP-2026-0089</t>
        </is>
      </c>
      <c r="B90" s="1" t="inlineStr">
        <is>
          <t>PO-AST-9319</t>
        </is>
      </c>
      <c r="C90" s="1" t="inlineStr">
        <is>
          <t>Asterion Logistics</t>
        </is>
      </c>
      <c r="D90" s="2" t="n">
        <v>46097</v>
      </c>
      <c r="E90" s="1" t="inlineStr">
        <is>
          <t>Sable Ridge Freight</t>
        </is>
      </c>
      <c r="F90" s="1" t="inlineStr">
        <is>
          <t>SR894491</t>
        </is>
      </c>
      <c r="G90" s="2" t="n">
        <v>46111</v>
      </c>
      <c r="H90" s="1" t="n">
        <v>776853.46</v>
      </c>
      <c r="I90" s="1" t="inlineStr">
        <is>
          <t>No blocker; queued for month-end run</t>
        </is>
      </c>
      <c r="J90" s="1">
        <f>ROUND(DATE(2026,7,31)-D90,0)</f>
        <v/>
      </c>
      <c r="K90" s="1" t="inlineStr">
        <is>
          <t>2026-04</t>
        </is>
      </c>
      <c r="L90" s="1" t="inlineStr">
        <is>
          <t>D. Mwangi</t>
        </is>
      </c>
    </row>
    <row r="91">
      <c r="A91" s="1" t="inlineStr">
        <is>
          <t>SHP-2026-0090</t>
        </is>
      </c>
      <c r="B91" s="1" t="inlineStr">
        <is>
          <t>PO-CMS-8877</t>
        </is>
      </c>
      <c r="C91" s="1" t="inlineStr">
        <is>
          <t>Calder Marine Supply</t>
        </is>
      </c>
      <c r="D91" s="2" t="n">
        <v>46133</v>
      </c>
      <c r="E91" s="1" t="inlineStr">
        <is>
          <t>Pioneer Freight Union</t>
        </is>
      </c>
      <c r="F91" s="1" t="inlineStr">
        <is>
          <t>SR594501</t>
        </is>
      </c>
      <c r="G91" s="2" t="n">
        <v>46135</v>
      </c>
      <c r="H91" s="1" t="n">
        <v>85732.75</v>
      </c>
      <c r="I91" s="1" t="inlineStr">
        <is>
          <t>Held pending credit check</t>
        </is>
      </c>
      <c r="J91" s="1">
        <f>ROUND(DATE(2026,7,31)-D91,0)</f>
        <v/>
      </c>
      <c r="K91" s="1" t="inlineStr">
        <is>
          <t>2026-05</t>
        </is>
      </c>
      <c r="L91" s="1" t="inlineStr">
        <is>
          <t>D. Mwangi</t>
        </is>
      </c>
    </row>
    <row r="92">
      <c r="A92" s="1" t="inlineStr">
        <is>
          <t>SHP-2026-0091</t>
        </is>
      </c>
      <c r="B92" s="1" t="inlineStr">
        <is>
          <t>PO-ZAC-3209</t>
        </is>
      </c>
      <c r="C92" s="1" t="inlineStr">
        <is>
          <t>Zephyr Air Cargo</t>
        </is>
      </c>
      <c r="D92" s="2" t="n">
        <v>46143</v>
      </c>
      <c r="E92" s="1" t="inlineStr">
        <is>
          <t>Sable Ridge Freight</t>
        </is>
      </c>
      <c r="F92" s="1" t="inlineStr">
        <is>
          <t>SR719945</t>
        </is>
      </c>
      <c r="G92" s="2" t="n">
        <v>46149</v>
      </c>
      <c r="H92" s="1" t="n">
        <v>610955.26</v>
      </c>
      <c r="I92" s="1" t="inlineStr">
        <is>
          <t>Billing address under review</t>
        </is>
      </c>
      <c r="J92" s="1">
        <f>ROUND(DATE(2026,7,31)-D92,0)</f>
        <v/>
      </c>
      <c r="K92" s="1" t="inlineStr">
        <is>
          <t>2026-06</t>
        </is>
      </c>
      <c r="L92" s="1" t="inlineStr">
        <is>
          <t>G. Pike</t>
        </is>
      </c>
    </row>
    <row r="93">
      <c r="A93" s="1" t="inlineStr">
        <is>
          <t>SHP-2026-0092</t>
        </is>
      </c>
      <c r="B93" s="1" t="inlineStr">
        <is>
          <t>PO-VRS-5335</t>
        </is>
      </c>
      <c r="C93" s="1" t="inlineStr">
        <is>
          <t>Vantage Robotics Supply</t>
        </is>
      </c>
      <c r="D93" s="2" t="n">
        <v>46195</v>
      </c>
      <c r="E93" s="1" t="inlineStr">
        <is>
          <t>Zephyr Air Cargo</t>
        </is>
      </c>
      <c r="F93" s="1" t="inlineStr">
        <is>
          <t>SR513075</t>
        </is>
      </c>
      <c r="G93" s="2" t="n">
        <v>46204</v>
      </c>
      <c r="H93" s="1" t="n">
        <v>386198.25</v>
      </c>
      <c r="I93" s="1" t="inlineStr">
        <is>
          <t>Acceptance milestone not yet reached</t>
        </is>
      </c>
      <c r="J93" s="1">
        <f>ROUND(DATE(2026,7,31)-D93,0)</f>
        <v/>
      </c>
      <c r="K93" s="1" t="inlineStr">
        <is>
          <t>2026-08</t>
        </is>
      </c>
      <c r="L93" s="1" t="inlineStr">
        <is>
          <t>D. Mwangi</t>
        </is>
      </c>
    </row>
    <row r="94">
      <c r="A94" s="1" t="inlineStr">
        <is>
          <t>SHP-2026-0093</t>
        </is>
      </c>
      <c r="B94" s="1" t="inlineStr">
        <is>
          <t>PO-EVW-8754</t>
        </is>
      </c>
      <c r="C94" s="1" t="inlineStr">
        <is>
          <t>Evergreen Warehousing</t>
        </is>
      </c>
      <c r="D94" s="2" t="n">
        <v>46087</v>
      </c>
      <c r="E94" s="1" t="inlineStr">
        <is>
          <t>Pioneer Freight Union</t>
        </is>
      </c>
      <c r="F94" s="1" t="inlineStr">
        <is>
          <t>SR324794</t>
        </is>
      </c>
      <c r="G94" s="2" t="n">
        <v>46091</v>
      </c>
      <c r="H94" s="1" t="n">
        <v>609595.39</v>
      </c>
      <c r="I94" s="1" t="inlineStr">
        <is>
          <t>No blocker; queued for month-end run</t>
        </is>
      </c>
      <c r="J94" s="1">
        <f>ROUND(DATE(2026,7,31)-D94,0)</f>
        <v/>
      </c>
      <c r="K94" s="1" t="inlineStr">
        <is>
          <t>2026-04</t>
        </is>
      </c>
      <c r="L94" s="1" t="inlineStr">
        <is>
          <t>M. Kubiak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supplier</t>
        </is>
      </c>
      <c r="C1" s="1" t="inlineStr">
        <is>
          <t>sourcing_status</t>
        </is>
      </c>
      <c r="D1" s="1" t="inlineStr">
        <is>
          <t>quoted_lead_time_weeks</t>
        </is>
      </c>
      <c r="E1" s="1" t="inlineStr">
        <is>
          <t>actual_lead_time_weeks</t>
        </is>
      </c>
      <c r="F1" s="1" t="inlineStr">
        <is>
          <t>lead_time_variance_weeks</t>
        </is>
      </c>
      <c r="G1" s="1" t="inlineStr">
        <is>
          <t>safety_stock_weeks</t>
        </is>
      </c>
      <c r="H1" s="1" t="inlineStr">
        <is>
          <t>single_source</t>
        </is>
      </c>
      <c r="I1" s="1" t="inlineStr">
        <is>
          <t>last_price_change</t>
        </is>
      </c>
      <c r="J1" s="1" t="inlineStr">
        <is>
          <t>mitigation</t>
        </is>
      </c>
    </row>
    <row r="2">
      <c r="A2" s="1" t="inlineStr">
        <is>
          <t>Lidar module</t>
        </is>
      </c>
      <c r="B2" s="1" t="inlineStr">
        <is>
          <t>Marchmont Audit Partners</t>
        </is>
      </c>
      <c r="C2" s="1" t="inlineStr">
        <is>
          <t>Single source</t>
        </is>
      </c>
      <c r="D2" s="1" t="n">
        <v>15</v>
      </c>
      <c r="E2" s="1" t="n">
        <v>18</v>
      </c>
      <c r="F2" s="1">
        <f>E2-D2</f>
        <v/>
      </c>
      <c r="G2" s="1" t="n">
        <v>1</v>
      </c>
      <c r="H2" s="1" t="inlineStr">
        <is>
          <t>No</t>
        </is>
      </c>
      <c r="I2" s="2" t="n">
        <v>45992</v>
      </c>
      <c r="J2" s="1" t="inlineStr">
        <is>
          <t>Design change removes the part in the next revision</t>
        </is>
      </c>
    </row>
    <row r="3">
      <c r="A3" s="1" t="inlineStr">
        <is>
          <t>Battery pack, 48V</t>
        </is>
      </c>
      <c r="B3" s="1" t="inlineStr">
        <is>
          <t>Pennyworth Security Services</t>
        </is>
      </c>
      <c r="C3" s="1" t="inlineStr">
        <is>
          <t>Allocated by supplier</t>
        </is>
      </c>
      <c r="D3" s="1" t="n">
        <v>7</v>
      </c>
      <c r="E3" s="1" t="n">
        <v>5</v>
      </c>
      <c r="F3" s="1">
        <f>E3-D3</f>
        <v/>
      </c>
      <c r="G3" s="1" t="n">
        <v>8</v>
      </c>
      <c r="H3" s="1" t="inlineStr">
        <is>
          <t>Yes</t>
        </is>
      </c>
      <c r="I3" s="2" t="n">
        <v>46104</v>
      </c>
      <c r="J3" s="1" t="inlineStr">
        <is>
          <t>Second source under qualification</t>
        </is>
      </c>
    </row>
    <row r="4">
      <c r="A4" s="1" t="inlineStr">
        <is>
          <t>Safety relay board</t>
        </is>
      </c>
      <c r="B4" s="1" t="inlineStr">
        <is>
          <t>Kestrel Motion Components</t>
        </is>
      </c>
      <c r="C4" s="1" t="inlineStr">
        <is>
          <t>Allocated by supplier</t>
        </is>
      </c>
      <c r="D4" s="1" t="n">
        <v>10</v>
      </c>
      <c r="E4" s="1" t="n">
        <v>10</v>
      </c>
      <c r="F4" s="1">
        <f>E4-D4</f>
        <v/>
      </c>
      <c r="G4" s="1" t="n">
        <v>1</v>
      </c>
      <c r="H4" s="1" t="inlineStr">
        <is>
          <t>No</t>
        </is>
      </c>
      <c r="I4" s="2" t="n">
        <v>46003</v>
      </c>
      <c r="J4" s="1" t="inlineStr">
        <is>
          <t>Buffer stock increased at Reno</t>
        </is>
      </c>
    </row>
    <row r="5">
      <c r="A5" s="1" t="inlineStr">
        <is>
          <t>Main compute module</t>
        </is>
      </c>
      <c r="B5" s="1" t="inlineStr">
        <is>
          <t>Sundara Translation Services</t>
        </is>
      </c>
      <c r="C5" s="1" t="inlineStr">
        <is>
          <t>Qualifying second source</t>
        </is>
      </c>
      <c r="D5" s="1" t="n">
        <v>27</v>
      </c>
      <c r="E5" s="1" t="n">
        <v>28</v>
      </c>
      <c r="F5" s="1">
        <f>E5-D5</f>
        <v/>
      </c>
      <c r="G5" s="1" t="n">
        <v>1</v>
      </c>
      <c r="H5" s="1" t="inlineStr">
        <is>
          <t>Yes</t>
        </is>
      </c>
      <c r="I5" s="2" t="n">
        <v>45744</v>
      </c>
      <c r="J5" s="1" t="inlineStr">
        <is>
          <t>Second source under qualification</t>
        </is>
      </c>
    </row>
    <row r="6">
      <c r="A6" s="1" t="inlineStr">
        <is>
          <t>Chassis weldment</t>
        </is>
      </c>
      <c r="B6" s="1" t="inlineStr">
        <is>
          <t>Quillon Software Group</t>
        </is>
      </c>
      <c r="C6" s="1" t="inlineStr">
        <is>
          <t>Single source</t>
        </is>
      </c>
      <c r="D6" s="1" t="n">
        <v>21</v>
      </c>
      <c r="E6" s="1" t="n">
        <v>24</v>
      </c>
      <c r="F6" s="1">
        <f>E6-D6</f>
        <v/>
      </c>
      <c r="G6" s="1" t="n">
        <v>6</v>
      </c>
      <c r="H6" s="1" t="inlineStr">
        <is>
          <t>No</t>
        </is>
      </c>
      <c r="I6" s="2" t="n">
        <v>45911</v>
      </c>
      <c r="J6" s="1" t="inlineStr">
        <is>
          <t>Buffer stock increased at Reno</t>
        </is>
      </c>
    </row>
    <row r="7">
      <c r="A7" s="1" t="inlineStr">
        <is>
          <t>Charging contact plate</t>
        </is>
      </c>
      <c r="B7" s="1" t="inlineStr">
        <is>
          <t>Sundara Translation Services</t>
        </is>
      </c>
      <c r="C7" s="1" t="inlineStr">
        <is>
          <t>Single source</t>
        </is>
      </c>
      <c r="D7" s="1" t="n">
        <v>9</v>
      </c>
      <c r="E7" s="1" t="n">
        <v>7</v>
      </c>
      <c r="F7" s="1">
        <f>E7-D7</f>
        <v/>
      </c>
      <c r="G7" s="1" t="n">
        <v>3</v>
      </c>
      <c r="H7" s="1" t="inlineStr">
        <is>
          <t>Yes</t>
        </is>
      </c>
      <c r="I7" s="2" t="n">
        <v>45975</v>
      </c>
      <c r="J7" s="1" t="inlineStr">
        <is>
          <t>Buffer stock increased at Reno</t>
        </is>
      </c>
    </row>
    <row r="8">
      <c r="A8" s="1" t="inlineStr">
        <is>
          <t>Wire harness, upper</t>
        </is>
      </c>
      <c r="B8" s="1" t="inlineStr">
        <is>
          <t>Trellis Facilities Services</t>
        </is>
      </c>
      <c r="C8" s="1" t="inlineStr">
        <is>
          <t>Dual sourced</t>
        </is>
      </c>
      <c r="D8" s="1" t="n">
        <v>16</v>
      </c>
      <c r="E8" s="1" t="n">
        <v>14</v>
      </c>
      <c r="F8" s="1">
        <f>E8-D8</f>
        <v/>
      </c>
      <c r="G8" s="1" t="n">
        <v>2</v>
      </c>
      <c r="H8" s="1" t="inlineStr">
        <is>
          <t>No</t>
        </is>
      </c>
      <c r="I8" s="2" t="n">
        <v>46129</v>
      </c>
      <c r="J8" s="1" t="inlineStr">
        <is>
          <t>Blanket order placed through the next fiscal year</t>
        </is>
      </c>
    </row>
    <row r="9">
      <c r="A9" s="1" t="inlineStr">
        <is>
          <t>Payload deck casting</t>
        </is>
      </c>
      <c r="B9" s="1" t="inlineStr">
        <is>
          <t>Torvald Electrical Contractors</t>
        </is>
      </c>
      <c r="C9" s="1" t="inlineStr">
        <is>
          <t>Single source</t>
        </is>
      </c>
      <c r="D9" s="1" t="n">
        <v>5</v>
      </c>
      <c r="E9" s="1" t="n">
        <v>6</v>
      </c>
      <c r="F9" s="1">
        <f>E9-D9</f>
        <v/>
      </c>
      <c r="G9" s="1" t="n">
        <v>0</v>
      </c>
      <c r="H9" s="1" t="inlineStr">
        <is>
          <t>No</t>
        </is>
      </c>
      <c r="I9" s="2" t="n">
        <v>45728</v>
      </c>
      <c r="J9" s="1" t="inlineStr">
        <is>
          <t>No action; variance within tolerance</t>
        </is>
      </c>
    </row>
    <row r="10">
      <c r="A10" s="1" t="inlineStr">
        <is>
          <t>Camera module</t>
        </is>
      </c>
      <c r="B10" s="1" t="inlineStr">
        <is>
          <t>Kestrel Motion Components</t>
        </is>
      </c>
      <c r="C10" s="1" t="inlineStr">
        <is>
          <t>Single source</t>
        </is>
      </c>
      <c r="D10" s="1" t="n">
        <v>11</v>
      </c>
      <c r="E10" s="1" t="n">
        <v>22</v>
      </c>
      <c r="F10" s="1">
        <f>E10-D10</f>
        <v/>
      </c>
      <c r="G10" s="1" t="n">
        <v>11</v>
      </c>
      <c r="H10" s="1" t="inlineStr">
        <is>
          <t>No</t>
        </is>
      </c>
      <c r="I10" s="2" t="n">
        <v>45996</v>
      </c>
      <c r="J10" s="1" t="inlineStr">
        <is>
          <t>Design change removes the part in the next revision</t>
        </is>
      </c>
    </row>
    <row r="11">
      <c r="A11" s="1" t="inlineStr">
        <is>
          <t>Encoder assembly</t>
        </is>
      </c>
      <c r="B11" s="1" t="inlineStr">
        <is>
          <t>Delacroix Staffing</t>
        </is>
      </c>
      <c r="C11" s="1" t="inlineStr">
        <is>
          <t>Allocated by supplier</t>
        </is>
      </c>
      <c r="D11" s="1" t="n">
        <v>23</v>
      </c>
      <c r="E11" s="1" t="n">
        <v>26</v>
      </c>
      <c r="F11" s="1">
        <f>E11-D11</f>
        <v/>
      </c>
      <c r="G11" s="1" t="n">
        <v>6</v>
      </c>
      <c r="H11" s="1" t="inlineStr">
        <is>
          <t>Yes</t>
        </is>
      </c>
      <c r="I11" s="2" t="n">
        <v>45993</v>
      </c>
      <c r="J11" s="1" t="inlineStr">
        <is>
          <t>Buffer stock increased at Reno</t>
        </is>
      </c>
    </row>
    <row r="12">
      <c r="A12" s="1" t="inlineStr">
        <is>
          <t>Brake actuator</t>
        </is>
      </c>
      <c r="B12" s="1" t="inlineStr">
        <is>
          <t>Farrow Print and Signage</t>
        </is>
      </c>
      <c r="C12" s="1" t="inlineStr">
        <is>
          <t>Allocated by supplier</t>
        </is>
      </c>
      <c r="D12" s="1" t="n">
        <v>26</v>
      </c>
      <c r="E12" s="1" t="n">
        <v>24</v>
      </c>
      <c r="F12" s="1">
        <f>E12-D12</f>
        <v/>
      </c>
      <c r="G12" s="1" t="n">
        <v>7</v>
      </c>
      <c r="H12" s="1" t="inlineStr">
        <is>
          <t>Yes</t>
        </is>
      </c>
      <c r="I12" s="2" t="n">
        <v>46022</v>
      </c>
      <c r="J12" s="1" t="inlineStr">
        <is>
          <t>Second source under qualification</t>
        </is>
      </c>
    </row>
    <row r="13">
      <c r="A13" s="1" t="inlineStr">
        <is>
          <t>Cooling fan tray</t>
        </is>
      </c>
      <c r="B13" s="1" t="inlineStr">
        <is>
          <t>Marchmont Audit Partners</t>
        </is>
      </c>
      <c r="C13" s="1" t="inlineStr">
        <is>
          <t>Qualifying second source</t>
        </is>
      </c>
      <c r="D13" s="1" t="n">
        <v>15</v>
      </c>
      <c r="E13" s="1" t="n">
        <v>13</v>
      </c>
      <c r="F13" s="1">
        <f>E13-D13</f>
        <v/>
      </c>
      <c r="G13" s="1" t="n">
        <v>4</v>
      </c>
      <c r="H13" s="1" t="inlineStr">
        <is>
          <t>No</t>
        </is>
      </c>
      <c r="I13" s="2" t="n">
        <v>45840</v>
      </c>
      <c r="J13" s="1" t="inlineStr">
        <is>
          <t>Blanket order placed through the next fiscal year</t>
        </is>
      </c>
    </row>
    <row r="14">
      <c r="A14" s="1" t="inlineStr">
        <is>
          <t>Display bezel</t>
        </is>
      </c>
      <c r="B14" s="1" t="inlineStr">
        <is>
          <t>Merrivale Packaging Supply</t>
        </is>
      </c>
      <c r="C14" s="1" t="inlineStr">
        <is>
          <t>Qualifying second source</t>
        </is>
      </c>
      <c r="D14" s="1" t="n">
        <v>22</v>
      </c>
      <c r="E14" s="1" t="n">
        <v>20</v>
      </c>
      <c r="F14" s="1">
        <f>E14-D14</f>
        <v/>
      </c>
      <c r="G14" s="1" t="n">
        <v>11</v>
      </c>
      <c r="H14" s="1" t="inlineStr">
        <is>
          <t>Yes</t>
        </is>
      </c>
      <c r="I14" s="2" t="n">
        <v>46128</v>
      </c>
      <c r="J14" s="1" t="inlineStr">
        <is>
          <t>Buffer stock increased at Reno</t>
        </is>
      </c>
    </row>
    <row r="15">
      <c r="A15" s="1" t="inlineStr">
        <is>
          <t>Drive wheel assembly</t>
        </is>
      </c>
      <c r="B15" s="1" t="inlineStr">
        <is>
          <t>Broadmere Telecom</t>
        </is>
      </c>
      <c r="C15" s="1" t="inlineStr">
        <is>
          <t>Dual sourced</t>
        </is>
      </c>
      <c r="D15" s="1" t="n">
        <v>30</v>
      </c>
      <c r="E15" s="1" t="n">
        <v>41</v>
      </c>
      <c r="F15" s="1">
        <f>E15-D15</f>
        <v/>
      </c>
      <c r="G15" s="1" t="n">
        <v>5</v>
      </c>
      <c r="H15" s="1" t="inlineStr">
        <is>
          <t>No</t>
        </is>
      </c>
      <c r="I15" s="2" t="n">
        <v>45931</v>
      </c>
      <c r="J15" s="1" t="inlineStr">
        <is>
          <t>No action; variance within tolerance</t>
        </is>
      </c>
    </row>
    <row r="16">
      <c r="A16" s="1" t="inlineStr">
        <is>
          <t>Lidar module</t>
        </is>
      </c>
      <c r="B16" s="1" t="inlineStr">
        <is>
          <t>Highmoor Metal Finishing</t>
        </is>
      </c>
      <c r="C16" s="1" t="inlineStr">
        <is>
          <t>Qualifying second source</t>
        </is>
      </c>
      <c r="D16" s="1" t="n">
        <v>13</v>
      </c>
      <c r="E16" s="1" t="n">
        <v>24</v>
      </c>
      <c r="F16" s="1">
        <f>E16-D16</f>
        <v/>
      </c>
      <c r="G16" s="1" t="n">
        <v>11</v>
      </c>
      <c r="H16" s="1" t="inlineStr">
        <is>
          <t>No</t>
        </is>
      </c>
      <c r="I16" s="2" t="n">
        <v>45845</v>
      </c>
      <c r="J16" s="1" t="inlineStr">
        <is>
          <t>No action; variance within tolerance</t>
        </is>
      </c>
    </row>
    <row r="17">
      <c r="A17" s="1" t="inlineStr">
        <is>
          <t>Battery pack, 48V</t>
        </is>
      </c>
      <c r="B17" s="1" t="inlineStr">
        <is>
          <t>Sable Ridge Freight</t>
        </is>
      </c>
      <c r="C17" s="1" t="inlineStr">
        <is>
          <t>Single source</t>
        </is>
      </c>
      <c r="D17" s="1" t="n">
        <v>19</v>
      </c>
      <c r="E17" s="1" t="n">
        <v>19</v>
      </c>
      <c r="F17" s="1">
        <f>E17-D17</f>
        <v/>
      </c>
      <c r="G17" s="1" t="n">
        <v>11</v>
      </c>
      <c r="H17" s="1" t="inlineStr">
        <is>
          <t>Yes</t>
        </is>
      </c>
      <c r="I17" s="2" t="n">
        <v>46052</v>
      </c>
      <c r="J17" s="1" t="inlineStr">
        <is>
          <t>Blanket order placed through the next fiscal year</t>
        </is>
      </c>
    </row>
    <row r="18">
      <c r="A18" s="1" t="inlineStr">
        <is>
          <t>Safety relay board</t>
        </is>
      </c>
      <c r="B18" s="1" t="inlineStr">
        <is>
          <t>Ellingham Waste Management</t>
        </is>
      </c>
      <c r="C18" s="1" t="inlineStr">
        <is>
          <t>Qualifying second source</t>
        </is>
      </c>
      <c r="D18" s="1" t="n">
        <v>26</v>
      </c>
      <c r="E18" s="1" t="n">
        <v>29</v>
      </c>
      <c r="F18" s="1">
        <f>E18-D18</f>
        <v/>
      </c>
      <c r="G18" s="1" t="n">
        <v>7</v>
      </c>
      <c r="H18" s="1" t="inlineStr">
        <is>
          <t>No</t>
        </is>
      </c>
      <c r="I18" s="2" t="n">
        <v>46178</v>
      </c>
      <c r="J18" s="1" t="inlineStr">
        <is>
          <t>Design change removes the part in the next revision</t>
        </is>
      </c>
    </row>
    <row r="19">
      <c r="A19" s="1" t="inlineStr">
        <is>
          <t>Main compute module</t>
        </is>
      </c>
      <c r="B19" s="1" t="inlineStr">
        <is>
          <t>Kestrel Motion Components</t>
        </is>
      </c>
      <c r="C19" s="1" t="inlineStr">
        <is>
          <t>Single source</t>
        </is>
      </c>
      <c r="D19" s="1" t="n">
        <v>12</v>
      </c>
      <c r="E19" s="1" t="n">
        <v>13</v>
      </c>
      <c r="F19" s="1">
        <f>E19-D19</f>
        <v/>
      </c>
      <c r="G19" s="1" t="n">
        <v>9</v>
      </c>
      <c r="H19" s="1" t="inlineStr">
        <is>
          <t>No</t>
        </is>
      </c>
      <c r="I19" s="2" t="n">
        <v>46003</v>
      </c>
      <c r="J19" s="1" t="inlineStr">
        <is>
          <t>Design change removes the part in the next revision</t>
        </is>
      </c>
    </row>
    <row r="20">
      <c r="A20" s="1" t="inlineStr">
        <is>
          <t>Chassis weldment</t>
        </is>
      </c>
      <c r="B20" s="1" t="inlineStr">
        <is>
          <t>Marchmont Audit Partners</t>
        </is>
      </c>
      <c r="C20" s="1" t="inlineStr">
        <is>
          <t>Qualifying second source</t>
        </is>
      </c>
      <c r="D20" s="1" t="n">
        <v>27</v>
      </c>
      <c r="E20" s="1" t="n">
        <v>25</v>
      </c>
      <c r="F20" s="1">
        <f>E20-D20</f>
        <v/>
      </c>
      <c r="G20" s="1" t="n">
        <v>1</v>
      </c>
      <c r="H20" s="1" t="inlineStr">
        <is>
          <t>No</t>
        </is>
      </c>
      <c r="I20" s="2" t="n">
        <v>45882</v>
      </c>
      <c r="J20" s="1" t="inlineStr">
        <is>
          <t>No action; variance within tolerance</t>
        </is>
      </c>
    </row>
    <row r="21">
      <c r="A21" s="1" t="inlineStr">
        <is>
          <t>Charging contact plate</t>
        </is>
      </c>
      <c r="B21" s="1" t="inlineStr">
        <is>
          <t>Grayson Recruitment Media</t>
        </is>
      </c>
      <c r="C21" s="1" t="inlineStr">
        <is>
          <t>Qualifying second source</t>
        </is>
      </c>
      <c r="D21" s="1" t="n">
        <v>8</v>
      </c>
      <c r="E21" s="1" t="n">
        <v>11</v>
      </c>
      <c r="F21" s="1">
        <f>E21-D21</f>
        <v/>
      </c>
      <c r="G21" s="1" t="n">
        <v>8</v>
      </c>
      <c r="H21" s="1" t="inlineStr">
        <is>
          <t>No</t>
        </is>
      </c>
      <c r="I21" s="2" t="n">
        <v>45852</v>
      </c>
      <c r="J21" s="1" t="inlineStr">
        <is>
          <t>Buffer stock increased at Reno</t>
        </is>
      </c>
    </row>
    <row r="22">
      <c r="A22" s="1" t="inlineStr">
        <is>
          <t>Wire harness, upper</t>
        </is>
      </c>
      <c r="B22" s="1" t="inlineStr">
        <is>
          <t>Lucerne Travel Management</t>
        </is>
      </c>
      <c r="C22" s="1" t="inlineStr">
        <is>
          <t>Dual sourced</t>
        </is>
      </c>
      <c r="D22" s="1" t="n">
        <v>22</v>
      </c>
      <c r="E22" s="1" t="n">
        <v>28</v>
      </c>
      <c r="F22" s="1">
        <f>E22-D22</f>
        <v/>
      </c>
      <c r="G22" s="1" t="n">
        <v>8</v>
      </c>
      <c r="H22" s="1" t="inlineStr">
        <is>
          <t>No</t>
        </is>
      </c>
      <c r="I22" s="2" t="n">
        <v>45757</v>
      </c>
      <c r="J22" s="1" t="inlineStr">
        <is>
          <t>Blanket order placed through the next fiscal year</t>
        </is>
      </c>
    </row>
    <row r="23">
      <c r="A23" s="1" t="inlineStr">
        <is>
          <t>Payload deck casting</t>
        </is>
      </c>
      <c r="B23" s="1" t="inlineStr">
        <is>
          <t>Ellingham Waste Management</t>
        </is>
      </c>
      <c r="C23" s="1" t="inlineStr">
        <is>
          <t>Qualifying second source</t>
        </is>
      </c>
      <c r="D23" s="1" t="n">
        <v>29</v>
      </c>
      <c r="E23" s="1" t="n">
        <v>32</v>
      </c>
      <c r="F23" s="1">
        <f>E23-D23</f>
        <v/>
      </c>
      <c r="G23" s="1" t="n">
        <v>1</v>
      </c>
      <c r="H23" s="1" t="inlineStr">
        <is>
          <t>Yes</t>
        </is>
      </c>
      <c r="I23" s="2" t="n">
        <v>46108</v>
      </c>
      <c r="J23" s="1" t="inlineStr">
        <is>
          <t>No action; variance within tolerance</t>
        </is>
      </c>
    </row>
    <row r="24">
      <c r="A24" s="1" t="inlineStr">
        <is>
          <t>Camera module</t>
        </is>
      </c>
      <c r="B24" s="1" t="inlineStr">
        <is>
          <t>Halloway Sensors Ltd</t>
        </is>
      </c>
      <c r="C24" s="1" t="inlineStr">
        <is>
          <t>Allocated by supplier</t>
        </is>
      </c>
      <c r="D24" s="1" t="n">
        <v>16</v>
      </c>
      <c r="E24" s="1" t="n">
        <v>16</v>
      </c>
      <c r="F24" s="1">
        <f>E24-D24</f>
        <v/>
      </c>
      <c r="G24" s="1" t="n">
        <v>12</v>
      </c>
      <c r="H24" s="1" t="inlineStr">
        <is>
          <t>Yes</t>
        </is>
      </c>
      <c r="I24" s="2" t="n">
        <v>45933</v>
      </c>
      <c r="J24" s="1" t="inlineStr">
        <is>
          <t>Design change removes the part in the next revision</t>
        </is>
      </c>
    </row>
    <row r="25">
      <c r="A25" s="1" t="inlineStr">
        <is>
          <t>Encoder assembly</t>
        </is>
      </c>
      <c r="B25" s="1" t="inlineStr">
        <is>
          <t>Broadmere Telecom</t>
        </is>
      </c>
      <c r="C25" s="1" t="inlineStr">
        <is>
          <t>Single source</t>
        </is>
      </c>
      <c r="D25" s="1" t="n">
        <v>7</v>
      </c>
      <c r="E25" s="1" t="n">
        <v>10</v>
      </c>
      <c r="F25" s="1">
        <f>E25-D25</f>
        <v/>
      </c>
      <c r="G25" s="1" t="n">
        <v>9</v>
      </c>
      <c r="H25" s="1" t="inlineStr">
        <is>
          <t>Yes</t>
        </is>
      </c>
      <c r="I25" s="2" t="n">
        <v>45758</v>
      </c>
      <c r="J25" s="1" t="inlineStr">
        <is>
          <t>Second source under qualification</t>
        </is>
      </c>
    </row>
    <row r="26">
      <c r="A26" s="1" t="inlineStr">
        <is>
          <t>Brake actuator</t>
        </is>
      </c>
      <c r="B26" s="1" t="inlineStr">
        <is>
          <t>Bramblewood Catering</t>
        </is>
      </c>
      <c r="C26" s="1" t="inlineStr">
        <is>
          <t>Dual sourced</t>
        </is>
      </c>
      <c r="D26" s="1" t="n">
        <v>19</v>
      </c>
      <c r="E26" s="1" t="n">
        <v>30</v>
      </c>
      <c r="F26" s="1">
        <f>E26-D26</f>
        <v/>
      </c>
      <c r="G26" s="1" t="n">
        <v>10</v>
      </c>
      <c r="H26" s="1" t="inlineStr">
        <is>
          <t>Yes</t>
        </is>
      </c>
      <c r="I26" s="2" t="n">
        <v>45873</v>
      </c>
      <c r="J26" s="1" t="inlineStr">
        <is>
          <t>Blanket order placed through the next fiscal year</t>
        </is>
      </c>
    </row>
    <row r="27">
      <c r="A27" s="1" t="inlineStr">
        <is>
          <t>Cooling fan tray</t>
        </is>
      </c>
      <c r="B27" s="1" t="inlineStr">
        <is>
          <t>Torvald Electrical Contractors</t>
        </is>
      </c>
      <c r="C27" s="1" t="inlineStr">
        <is>
          <t>Single source</t>
        </is>
      </c>
      <c r="D27" s="1" t="n">
        <v>19</v>
      </c>
      <c r="E27" s="1" t="n">
        <v>25</v>
      </c>
      <c r="F27" s="1">
        <f>E27-D27</f>
        <v/>
      </c>
      <c r="G27" s="1" t="n">
        <v>2</v>
      </c>
      <c r="H27" s="1" t="inlineStr">
        <is>
          <t>No</t>
        </is>
      </c>
      <c r="I27" s="2" t="n">
        <v>45915</v>
      </c>
      <c r="J27" s="1" t="inlineStr">
        <is>
          <t>Blanket order placed through the next fiscal year</t>
        </is>
      </c>
    </row>
    <row r="28">
      <c r="A28" s="1" t="inlineStr">
        <is>
          <t>Display bezel</t>
        </is>
      </c>
      <c r="B28" s="1" t="inlineStr">
        <is>
          <t>Marchmont Audit Partners</t>
        </is>
      </c>
      <c r="C28" s="1" t="inlineStr">
        <is>
          <t>Dual sourced</t>
        </is>
      </c>
      <c r="D28" s="1" t="n">
        <v>27</v>
      </c>
      <c r="E28" s="1" t="n">
        <v>28</v>
      </c>
      <c r="F28" s="1">
        <f>E28-D28</f>
        <v/>
      </c>
      <c r="G28" s="1" t="n">
        <v>12</v>
      </c>
      <c r="H28" s="1" t="inlineStr">
        <is>
          <t>No</t>
        </is>
      </c>
      <c r="I28" s="2" t="n">
        <v>46182</v>
      </c>
      <c r="J28" s="1" t="inlineStr">
        <is>
          <t>No action; variance within tolerance</t>
        </is>
      </c>
    </row>
    <row r="29">
      <c r="A29" s="1" t="inlineStr">
        <is>
          <t>Drive wheel assembly</t>
        </is>
      </c>
      <c r="B29" s="1" t="inlineStr">
        <is>
          <t>Farrow Print and Signage</t>
        </is>
      </c>
      <c r="C29" s="1" t="inlineStr">
        <is>
          <t>Dual sourced</t>
        </is>
      </c>
      <c r="D29" s="1" t="n">
        <v>11</v>
      </c>
      <c r="E29" s="1" t="n">
        <v>11</v>
      </c>
      <c r="F29" s="1">
        <f>E29-D29</f>
        <v/>
      </c>
      <c r="G29" s="1" t="n">
        <v>3</v>
      </c>
      <c r="H29" s="1" t="inlineStr">
        <is>
          <t>Yes</t>
        </is>
      </c>
      <c r="I29" s="2" t="n">
        <v>46157</v>
      </c>
      <c r="J29" s="1" t="inlineStr">
        <is>
          <t>Design change removes the part in the next revision</t>
        </is>
      </c>
    </row>
    <row r="30">
      <c r="A30" s="1" t="inlineStr">
        <is>
          <t>Lidar module</t>
        </is>
      </c>
      <c r="B30" s="1" t="inlineStr">
        <is>
          <t>Ossian Insurance Brokers</t>
        </is>
      </c>
      <c r="C30" s="1" t="inlineStr">
        <is>
          <t>Allocated by supplier</t>
        </is>
      </c>
      <c r="D30" s="1" t="n">
        <v>27</v>
      </c>
      <c r="E30" s="1" t="n">
        <v>30</v>
      </c>
      <c r="F30" s="1">
        <f>E30-D30</f>
        <v/>
      </c>
      <c r="G30" s="1" t="n">
        <v>12</v>
      </c>
      <c r="H30" s="1" t="inlineStr">
        <is>
          <t>No</t>
        </is>
      </c>
      <c r="I30" s="2" t="n">
        <v>45968</v>
      </c>
      <c r="J30" s="1" t="inlineStr">
        <is>
          <t>Buffer stock increased at Reno</t>
        </is>
      </c>
    </row>
    <row r="31">
      <c r="A31" s="1" t="inlineStr">
        <is>
          <t>Battery pack, 48V</t>
        </is>
      </c>
      <c r="B31" s="1" t="inlineStr">
        <is>
          <t>Quillon Software Group</t>
        </is>
      </c>
      <c r="C31" s="1" t="inlineStr">
        <is>
          <t>Qualifying second source</t>
        </is>
      </c>
      <c r="D31" s="1" t="n">
        <v>10</v>
      </c>
      <c r="E31" s="1" t="n">
        <v>10</v>
      </c>
      <c r="F31" s="1">
        <f>E31-D31</f>
        <v/>
      </c>
      <c r="G31" s="1" t="n">
        <v>5</v>
      </c>
      <c r="H31" s="1" t="inlineStr">
        <is>
          <t>Yes</t>
        </is>
      </c>
      <c r="I31" s="2" t="n">
        <v>46086</v>
      </c>
      <c r="J31" s="1" t="inlineStr">
        <is>
          <t>Blanket order placed through the next fiscal year</t>
        </is>
      </c>
    </row>
    <row r="32">
      <c r="A32" s="1" t="inlineStr">
        <is>
          <t>Safety relay board</t>
        </is>
      </c>
      <c r="B32" s="1" t="inlineStr">
        <is>
          <t>Lucerne Travel Management</t>
        </is>
      </c>
      <c r="C32" s="1" t="inlineStr">
        <is>
          <t>Single source</t>
        </is>
      </c>
      <c r="D32" s="1" t="n">
        <v>5</v>
      </c>
      <c r="E32" s="1" t="n">
        <v>3</v>
      </c>
      <c r="F32" s="1">
        <f>E32-D32</f>
        <v/>
      </c>
      <c r="G32" s="1" t="n">
        <v>4</v>
      </c>
      <c r="H32" s="1" t="inlineStr">
        <is>
          <t>Yes</t>
        </is>
      </c>
      <c r="I32" s="2" t="n">
        <v>46084</v>
      </c>
      <c r="J32" s="1" t="inlineStr">
        <is>
          <t>Buffer stock increased at Reno</t>
        </is>
      </c>
    </row>
    <row r="33">
      <c r="A33" s="1" t="inlineStr">
        <is>
          <t>Main compute module</t>
        </is>
      </c>
      <c r="B33" s="1" t="inlineStr">
        <is>
          <t>Northbridge Compute Cloud</t>
        </is>
      </c>
      <c r="C33" s="1" t="inlineStr">
        <is>
          <t>Qualifying second source</t>
        </is>
      </c>
      <c r="D33" s="1" t="n">
        <v>23</v>
      </c>
      <c r="E33" s="1" t="n">
        <v>24</v>
      </c>
      <c r="F33" s="1">
        <f>E33-D33</f>
        <v/>
      </c>
      <c r="G33" s="1" t="n">
        <v>4</v>
      </c>
      <c r="H33" s="1" t="inlineStr">
        <is>
          <t>No</t>
        </is>
      </c>
      <c r="I33" s="2" t="n">
        <v>45975</v>
      </c>
      <c r="J33" s="1" t="inlineStr">
        <is>
          <t>No action; variance within tolerance</t>
        </is>
      </c>
    </row>
    <row r="34">
      <c r="A34" s="1" t="inlineStr">
        <is>
          <t>Chassis weldment</t>
        </is>
      </c>
      <c r="B34" s="1" t="inlineStr">
        <is>
          <t>Torvald Electrical Contractors</t>
        </is>
      </c>
      <c r="C34" s="1" t="inlineStr">
        <is>
          <t>Allocated by supplier</t>
        </is>
      </c>
      <c r="D34" s="1" t="n">
        <v>18</v>
      </c>
      <c r="E34" s="1" t="n">
        <v>18</v>
      </c>
      <c r="F34" s="1">
        <f>E34-D34</f>
        <v/>
      </c>
      <c r="G34" s="1" t="n">
        <v>8</v>
      </c>
      <c r="H34" s="1" t="inlineStr">
        <is>
          <t>No</t>
        </is>
      </c>
      <c r="I34" s="2" t="n">
        <v>45940</v>
      </c>
      <c r="J34" s="1" t="inlineStr">
        <is>
          <t>Second source under qualification</t>
        </is>
      </c>
    </row>
    <row r="35">
      <c r="A35" s="1" t="inlineStr">
        <is>
          <t>Charging contact plate</t>
        </is>
      </c>
      <c r="B35" s="1" t="inlineStr">
        <is>
          <t>Wexler Priestley LLP</t>
        </is>
      </c>
      <c r="C35" s="1" t="inlineStr">
        <is>
          <t>Allocated by supplier</t>
        </is>
      </c>
      <c r="D35" s="1" t="n">
        <v>10</v>
      </c>
      <c r="E35" s="1" t="n">
        <v>13</v>
      </c>
      <c r="F35" s="1">
        <f>E35-D35</f>
        <v/>
      </c>
      <c r="G35" s="1" t="n">
        <v>10</v>
      </c>
      <c r="H35" s="1" t="inlineStr">
        <is>
          <t>No</t>
        </is>
      </c>
      <c r="I35" s="2" t="n">
        <v>46185</v>
      </c>
      <c r="J35" s="1" t="inlineStr">
        <is>
          <t>Buffer stock increased at Reno</t>
        </is>
      </c>
    </row>
    <row r="36">
      <c r="A36" s="1" t="inlineStr">
        <is>
          <t>Wire harness, upper</t>
        </is>
      </c>
      <c r="B36" s="1" t="inlineStr">
        <is>
          <t>Kestrel Motion Components</t>
        </is>
      </c>
      <c r="C36" s="1" t="inlineStr">
        <is>
          <t>Dual sourced</t>
        </is>
      </c>
      <c r="D36" s="1" t="n">
        <v>23</v>
      </c>
      <c r="E36" s="1" t="n">
        <v>24</v>
      </c>
      <c r="F36" s="1">
        <f>E36-D36</f>
        <v/>
      </c>
      <c r="G36" s="1" t="n">
        <v>3</v>
      </c>
      <c r="H36" s="1" t="inlineStr">
        <is>
          <t>No</t>
        </is>
      </c>
      <c r="I36" s="2" t="n">
        <v>45806</v>
      </c>
      <c r="J36" s="1" t="inlineStr">
        <is>
          <t>Design change removes the part in the next revision</t>
        </is>
      </c>
    </row>
    <row r="37">
      <c r="A37" s="1" t="inlineStr">
        <is>
          <t>Payload deck casting</t>
        </is>
      </c>
      <c r="B37" s="1" t="inlineStr">
        <is>
          <t>Quillon Software Group</t>
        </is>
      </c>
      <c r="C37" s="1" t="inlineStr">
        <is>
          <t>Dual sourced</t>
        </is>
      </c>
      <c r="D37" s="1" t="n">
        <v>26</v>
      </c>
      <c r="E37" s="1" t="n">
        <v>29</v>
      </c>
      <c r="F37" s="1">
        <f>E37-D37</f>
        <v/>
      </c>
      <c r="G37" s="1" t="n">
        <v>1</v>
      </c>
      <c r="H37" s="1" t="inlineStr">
        <is>
          <t>No</t>
        </is>
      </c>
      <c r="I37" s="2" t="n">
        <v>45849</v>
      </c>
      <c r="J37" s="1" t="inlineStr">
        <is>
          <t>Design change removes the part in the next revision</t>
        </is>
      </c>
    </row>
    <row r="38">
      <c r="A38" s="1" t="inlineStr">
        <is>
          <t>Camera module</t>
        </is>
      </c>
      <c r="B38" s="1" t="inlineStr">
        <is>
          <t>Northbridge Compute Cloud</t>
        </is>
      </c>
      <c r="C38" s="1" t="inlineStr">
        <is>
          <t>Single source</t>
        </is>
      </c>
      <c r="D38" s="1" t="n">
        <v>9</v>
      </c>
      <c r="E38" s="1" t="n">
        <v>12</v>
      </c>
      <c r="F38" s="1">
        <f>E38-D38</f>
        <v/>
      </c>
      <c r="G38" s="1" t="n">
        <v>0</v>
      </c>
      <c r="H38" s="1" t="inlineStr">
        <is>
          <t>Yes</t>
        </is>
      </c>
      <c r="I38" s="2" t="n">
        <v>45931</v>
      </c>
      <c r="J38" s="1" t="inlineStr">
        <is>
          <t>No action; variance within tolerance</t>
        </is>
      </c>
    </row>
    <row r="39">
      <c r="A39" s="1" t="inlineStr">
        <is>
          <t>Encoder assembly</t>
        </is>
      </c>
      <c r="B39" s="1" t="inlineStr">
        <is>
          <t>Ellingham Waste Management</t>
        </is>
      </c>
      <c r="C39" s="1" t="inlineStr">
        <is>
          <t>Dual sourced</t>
        </is>
      </c>
      <c r="D39" s="1" t="n">
        <v>22</v>
      </c>
      <c r="E39" s="1" t="n">
        <v>25</v>
      </c>
      <c r="F39" s="1">
        <f>E39-D39</f>
        <v/>
      </c>
      <c r="G39" s="1" t="n">
        <v>2</v>
      </c>
      <c r="H39" s="1" t="inlineStr">
        <is>
          <t>Yes</t>
        </is>
      </c>
      <c r="I39" s="2" t="n">
        <v>45968</v>
      </c>
      <c r="J39" s="1" t="inlineStr">
        <is>
          <t>Buffer stock increased at Reno</t>
        </is>
      </c>
    </row>
    <row r="40">
      <c r="A40" s="1" t="inlineStr">
        <is>
          <t>Brake actuator</t>
        </is>
      </c>
      <c r="B40" s="1" t="inlineStr">
        <is>
          <t>Northbridge Compute Cloud</t>
        </is>
      </c>
      <c r="C40" s="1" t="inlineStr">
        <is>
          <t>Qualifying second source</t>
        </is>
      </c>
      <c r="D40" s="1" t="n">
        <v>5</v>
      </c>
      <c r="E40" s="1" t="n">
        <v>5</v>
      </c>
      <c r="F40" s="1">
        <f>E40-D40</f>
        <v/>
      </c>
      <c r="G40" s="1" t="n">
        <v>7</v>
      </c>
      <c r="H40" s="1" t="inlineStr">
        <is>
          <t>No</t>
        </is>
      </c>
      <c r="I40" s="2" t="n">
        <v>46052</v>
      </c>
      <c r="J40" s="1" t="inlineStr">
        <is>
          <t>Second source under qualification</t>
        </is>
      </c>
    </row>
    <row r="41">
      <c r="A41" s="1" t="inlineStr">
        <is>
          <t>Cooling fan tray</t>
        </is>
      </c>
      <c r="B41" s="1" t="inlineStr">
        <is>
          <t>Calderon Machining Works</t>
        </is>
      </c>
      <c r="C41" s="1" t="inlineStr">
        <is>
          <t>Allocated by supplier</t>
        </is>
      </c>
      <c r="D41" s="1" t="n">
        <v>8</v>
      </c>
      <c r="E41" s="1" t="n">
        <v>6</v>
      </c>
      <c r="F41" s="1">
        <f>E41-D41</f>
        <v/>
      </c>
      <c r="G41" s="1" t="n">
        <v>10</v>
      </c>
      <c r="H41" s="1" t="inlineStr">
        <is>
          <t>No</t>
        </is>
      </c>
      <c r="I41" s="2" t="n">
        <v>46108</v>
      </c>
      <c r="J41" s="1" t="inlineStr">
        <is>
          <t>No action; variance within tolerance</t>
        </is>
      </c>
    </row>
    <row r="42">
      <c r="A42" s="1" t="inlineStr">
        <is>
          <t>Display bezel</t>
        </is>
      </c>
      <c r="B42" s="1" t="inlineStr">
        <is>
          <t>Pemberton Battery Systems</t>
        </is>
      </c>
      <c r="C42" s="1" t="inlineStr">
        <is>
          <t>Dual sourced</t>
        </is>
      </c>
      <c r="D42" s="1" t="n">
        <v>11</v>
      </c>
      <c r="E42" s="1" t="n">
        <v>22</v>
      </c>
      <c r="F42" s="1">
        <f>E42-D42</f>
        <v/>
      </c>
      <c r="G42" s="1" t="n">
        <v>3</v>
      </c>
      <c r="H42" s="1" t="inlineStr">
        <is>
          <t>No</t>
        </is>
      </c>
      <c r="I42" s="2" t="n">
        <v>45852</v>
      </c>
      <c r="J42" s="1" t="inlineStr">
        <is>
          <t>No action; variance within tolerance</t>
        </is>
      </c>
    </row>
    <row r="43">
      <c r="A43" s="1" t="inlineStr">
        <is>
          <t>Drive wheel assembly</t>
        </is>
      </c>
      <c r="B43" s="1" t="inlineStr">
        <is>
          <t>Quillon Software Group</t>
        </is>
      </c>
      <c r="C43" s="1" t="inlineStr">
        <is>
          <t>Single source</t>
        </is>
      </c>
      <c r="D43" s="1" t="n">
        <v>21</v>
      </c>
      <c r="E43" s="1" t="n">
        <v>19</v>
      </c>
      <c r="F43" s="1">
        <f>E43-D43</f>
        <v/>
      </c>
      <c r="G43" s="1" t="n">
        <v>7</v>
      </c>
      <c r="H43" s="1" t="inlineStr">
        <is>
          <t>No</t>
        </is>
      </c>
      <c r="I43" s="2" t="n">
        <v>46162</v>
      </c>
      <c r="J43" s="1" t="inlineStr">
        <is>
          <t>Blanket order placed through the next fiscal year</t>
        </is>
      </c>
    </row>
    <row r="44">
      <c r="A44" s="1" t="inlineStr">
        <is>
          <t>Lidar module</t>
        </is>
      </c>
      <c r="B44" s="1" t="inlineStr">
        <is>
          <t>Delacroix Staffing</t>
        </is>
      </c>
      <c r="C44" s="1" t="inlineStr">
        <is>
          <t>Qualifying second source</t>
        </is>
      </c>
      <c r="D44" s="1" t="n">
        <v>8</v>
      </c>
      <c r="E44" s="1" t="n">
        <v>9</v>
      </c>
      <c r="F44" s="1">
        <f>E44-D44</f>
        <v/>
      </c>
      <c r="G44" s="1" t="n">
        <v>0</v>
      </c>
      <c r="H44" s="1" t="inlineStr">
        <is>
          <t>No</t>
        </is>
      </c>
      <c r="I44" s="2" t="n">
        <v>45916</v>
      </c>
      <c r="J44" s="1" t="inlineStr">
        <is>
          <t>Design change removes the part in the next revision</t>
        </is>
      </c>
    </row>
    <row r="45">
      <c r="A45" s="1" t="inlineStr">
        <is>
          <t>Battery pack, 48V</t>
        </is>
      </c>
      <c r="B45" s="1" t="inlineStr">
        <is>
          <t>Wexler Priestley LLP</t>
        </is>
      </c>
      <c r="C45" s="1" t="inlineStr">
        <is>
          <t>Qualifying second source</t>
        </is>
      </c>
      <c r="D45" s="1" t="n">
        <v>16</v>
      </c>
      <c r="E45" s="1" t="n">
        <v>22</v>
      </c>
      <c r="F45" s="1">
        <f>E45-D45</f>
        <v/>
      </c>
      <c r="G45" s="1" t="n">
        <v>2</v>
      </c>
      <c r="H45" s="1" t="inlineStr">
        <is>
          <t>Yes</t>
        </is>
      </c>
      <c r="I45" s="2" t="n">
        <v>46139</v>
      </c>
      <c r="J45" s="1" t="inlineStr">
        <is>
          <t>Design change removes the part in the next revision</t>
        </is>
      </c>
    </row>
    <row r="46">
      <c r="A46" s="1" t="inlineStr">
        <is>
          <t>Safety relay board</t>
        </is>
      </c>
      <c r="B46" s="1" t="inlineStr">
        <is>
          <t>Merrivale Packaging Supply</t>
        </is>
      </c>
      <c r="C46" s="1" t="inlineStr">
        <is>
          <t>Allocated by supplier</t>
        </is>
      </c>
      <c r="D46" s="1" t="n">
        <v>16</v>
      </c>
      <c r="E46" s="1" t="n">
        <v>16</v>
      </c>
      <c r="F46" s="1">
        <f>E46-D46</f>
        <v/>
      </c>
      <c r="G46" s="1" t="n">
        <v>9</v>
      </c>
      <c r="H46" s="1" t="inlineStr">
        <is>
          <t>No</t>
        </is>
      </c>
      <c r="I46" s="2" t="n">
        <v>46008</v>
      </c>
      <c r="J46" s="1" t="inlineStr">
        <is>
          <t>Design change removes the part in the next revision</t>
        </is>
      </c>
    </row>
    <row r="47">
      <c r="A47" s="1" t="inlineStr">
        <is>
          <t>Main compute module</t>
        </is>
      </c>
      <c r="B47" s="1" t="inlineStr">
        <is>
          <t>Quillon Software Group</t>
        </is>
      </c>
      <c r="C47" s="1" t="inlineStr">
        <is>
          <t>Allocated by supplier</t>
        </is>
      </c>
      <c r="D47" s="1" t="n">
        <v>22</v>
      </c>
      <c r="E47" s="1" t="n">
        <v>22</v>
      </c>
      <c r="F47" s="1">
        <f>E47-D47</f>
        <v/>
      </c>
      <c r="G47" s="1" t="n">
        <v>11</v>
      </c>
      <c r="H47" s="1" t="inlineStr">
        <is>
          <t>Yes</t>
        </is>
      </c>
      <c r="I47" s="2" t="n">
        <v>45765</v>
      </c>
      <c r="J47" s="1" t="inlineStr">
        <is>
          <t>Buffer stock increased at Reno</t>
        </is>
      </c>
    </row>
    <row r="48">
      <c r="A48" s="1" t="inlineStr">
        <is>
          <t>Chassis weldment</t>
        </is>
      </c>
      <c r="B48" s="1" t="inlineStr">
        <is>
          <t>Kestrel Motion Components</t>
        </is>
      </c>
      <c r="C48" s="1" t="inlineStr">
        <is>
          <t>Allocated by supplier</t>
        </is>
      </c>
      <c r="D48" s="1" t="n">
        <v>18</v>
      </c>
      <c r="E48" s="1" t="n">
        <v>21</v>
      </c>
      <c r="F48" s="1">
        <f>E48-D48</f>
        <v/>
      </c>
      <c r="G48" s="1" t="n">
        <v>8</v>
      </c>
      <c r="H48" s="1" t="inlineStr">
        <is>
          <t>No</t>
        </is>
      </c>
      <c r="I48" s="2" t="n">
        <v>45727</v>
      </c>
      <c r="J48" s="1" t="inlineStr">
        <is>
          <t>Buffer stock increased at Reno</t>
        </is>
      </c>
    </row>
    <row r="49">
      <c r="A49" s="1" t="inlineStr">
        <is>
          <t>Charging contact plate</t>
        </is>
      </c>
      <c r="B49" s="1" t="inlineStr">
        <is>
          <t>Wexler Priestley LLP</t>
        </is>
      </c>
      <c r="C49" s="1" t="inlineStr">
        <is>
          <t>Dual sourced</t>
        </is>
      </c>
      <c r="D49" s="1" t="n">
        <v>21</v>
      </c>
      <c r="E49" s="1" t="n">
        <v>22</v>
      </c>
      <c r="F49" s="1">
        <f>E49-D49</f>
        <v/>
      </c>
      <c r="G49" s="1" t="n">
        <v>4</v>
      </c>
      <c r="H49" s="1" t="inlineStr">
        <is>
          <t>Yes</t>
        </is>
      </c>
      <c r="I49" s="2" t="n">
        <v>45777</v>
      </c>
      <c r="J49" s="1" t="inlineStr">
        <is>
          <t>Blanket order placed through the next fiscal year</t>
        </is>
      </c>
    </row>
    <row r="50">
      <c r="A50" s="1" t="inlineStr">
        <is>
          <t>Wire harness, upper</t>
        </is>
      </c>
      <c r="B50" s="1" t="inlineStr">
        <is>
          <t>Calderon Machining Works</t>
        </is>
      </c>
      <c r="C50" s="1" t="inlineStr">
        <is>
          <t>Qualifying second source</t>
        </is>
      </c>
      <c r="D50" s="1" t="n">
        <v>27</v>
      </c>
      <c r="E50" s="1" t="n">
        <v>27</v>
      </c>
      <c r="F50" s="1">
        <f>E50-D50</f>
        <v/>
      </c>
      <c r="G50" s="1" t="n">
        <v>8</v>
      </c>
      <c r="H50" s="1" t="inlineStr">
        <is>
          <t>No</t>
        </is>
      </c>
      <c r="I50" s="2" t="n">
        <v>46015</v>
      </c>
      <c r="J50" s="1" t="inlineStr">
        <is>
          <t>Buffer stock increased at Reno</t>
        </is>
      </c>
    </row>
    <row r="51">
      <c r="A51" s="1" t="inlineStr">
        <is>
          <t>Payload deck casting</t>
        </is>
      </c>
      <c r="B51" s="1" t="inlineStr">
        <is>
          <t>Northbridge Compute Cloud</t>
        </is>
      </c>
      <c r="C51" s="1" t="inlineStr">
        <is>
          <t>Qualifying second source</t>
        </is>
      </c>
      <c r="D51" s="1" t="n">
        <v>29</v>
      </c>
      <c r="E51" s="1" t="n">
        <v>35</v>
      </c>
      <c r="F51" s="1">
        <f>E51-D51</f>
        <v/>
      </c>
      <c r="G51" s="1" t="n">
        <v>4</v>
      </c>
      <c r="H51" s="1" t="inlineStr">
        <is>
          <t>No</t>
        </is>
      </c>
      <c r="I51" s="2" t="n">
        <v>46132</v>
      </c>
      <c r="J51" s="1" t="inlineStr">
        <is>
          <t>No action; variance within tolerance</t>
        </is>
      </c>
    </row>
    <row r="52">
      <c r="A52" s="1" t="inlineStr">
        <is>
          <t>Camera module</t>
        </is>
      </c>
      <c r="B52" s="1" t="inlineStr">
        <is>
          <t>Wexler Priestley LLP</t>
        </is>
      </c>
      <c r="C52" s="1" t="inlineStr">
        <is>
          <t>Single source</t>
        </is>
      </c>
      <c r="D52" s="1" t="n">
        <v>24</v>
      </c>
      <c r="E52" s="1" t="n">
        <v>27</v>
      </c>
      <c r="F52" s="1">
        <f>E52-D52</f>
        <v/>
      </c>
      <c r="G52" s="1" t="n">
        <v>2</v>
      </c>
      <c r="H52" s="1" t="inlineStr">
        <is>
          <t>No</t>
        </is>
      </c>
      <c r="I52" s="2" t="n">
        <v>46022</v>
      </c>
      <c r="J52" s="1" t="inlineStr">
        <is>
          <t>Second source under qualification</t>
        </is>
      </c>
    </row>
    <row r="53">
      <c r="A53" s="1" t="inlineStr">
        <is>
          <t>Encoder assembly</t>
        </is>
      </c>
      <c r="B53" s="1" t="inlineStr">
        <is>
          <t>Quillon Software Group</t>
        </is>
      </c>
      <c r="C53" s="1" t="inlineStr">
        <is>
          <t>Allocated by supplier</t>
        </is>
      </c>
      <c r="D53" s="1" t="n">
        <v>24</v>
      </c>
      <c r="E53" s="1" t="n">
        <v>24</v>
      </c>
      <c r="F53" s="1">
        <f>E53-D53</f>
        <v/>
      </c>
      <c r="G53" s="1" t="n">
        <v>9</v>
      </c>
      <c r="H53" s="1" t="inlineStr">
        <is>
          <t>No</t>
        </is>
      </c>
      <c r="I53" s="2" t="n">
        <v>45793</v>
      </c>
      <c r="J53" s="1" t="inlineStr">
        <is>
          <t>Second source under qualification</t>
        </is>
      </c>
    </row>
    <row r="54">
      <c r="A54" s="1" t="inlineStr">
        <is>
          <t>Brake actuator</t>
        </is>
      </c>
      <c r="B54" s="1" t="inlineStr">
        <is>
          <t>Halloway Sensors Ltd</t>
        </is>
      </c>
      <c r="C54" s="1" t="inlineStr">
        <is>
          <t>Allocated by supplier</t>
        </is>
      </c>
      <c r="D54" s="1" t="n">
        <v>14</v>
      </c>
      <c r="E54" s="1" t="n">
        <v>12</v>
      </c>
      <c r="F54" s="1">
        <f>E54-D54</f>
        <v/>
      </c>
      <c r="G54" s="1" t="n">
        <v>1</v>
      </c>
      <c r="H54" s="1" t="inlineStr">
        <is>
          <t>No</t>
        </is>
      </c>
      <c r="I54" s="2" t="n">
        <v>45994</v>
      </c>
      <c r="J54" s="1" t="inlineStr">
        <is>
          <t>Buffer stock increased at Reno</t>
        </is>
      </c>
    </row>
    <row r="55">
      <c r="A55" s="1" t="inlineStr">
        <is>
          <t>Cooling fan tray</t>
        </is>
      </c>
      <c r="B55" s="1" t="inlineStr">
        <is>
          <t>Calderon Machining Works</t>
        </is>
      </c>
      <c r="C55" s="1" t="inlineStr">
        <is>
          <t>Single source</t>
        </is>
      </c>
      <c r="D55" s="1" t="n">
        <v>22</v>
      </c>
      <c r="E55" s="1" t="n">
        <v>33</v>
      </c>
      <c r="F55" s="1">
        <f>E55-D55</f>
        <v/>
      </c>
      <c r="G55" s="1" t="n">
        <v>8</v>
      </c>
      <c r="H55" s="1" t="inlineStr">
        <is>
          <t>No</t>
        </is>
      </c>
      <c r="I55" s="2" t="n">
        <v>46143</v>
      </c>
      <c r="J55" s="1" t="inlineStr">
        <is>
          <t>No action; variance within tolerance</t>
        </is>
      </c>
    </row>
    <row r="56">
      <c r="A56" s="1" t="inlineStr">
        <is>
          <t>Display bezel</t>
        </is>
      </c>
      <c r="B56" s="1" t="inlineStr">
        <is>
          <t>Broadmere Telecom</t>
        </is>
      </c>
      <c r="C56" s="1" t="inlineStr">
        <is>
          <t>Single source</t>
        </is>
      </c>
      <c r="D56" s="1" t="n">
        <v>13</v>
      </c>
      <c r="E56" s="1" t="n">
        <v>19</v>
      </c>
      <c r="F56" s="1">
        <f>E56-D56</f>
        <v/>
      </c>
      <c r="G56" s="1" t="n">
        <v>11</v>
      </c>
      <c r="H56" s="1" t="inlineStr">
        <is>
          <t>No</t>
        </is>
      </c>
      <c r="I56" s="2" t="n">
        <v>46192</v>
      </c>
      <c r="J56" s="1" t="inlineStr">
        <is>
          <t>Second source under qualification</t>
        </is>
      </c>
    </row>
    <row r="57">
      <c r="A57" s="1" t="inlineStr">
        <is>
          <t>Drive wheel assembly</t>
        </is>
      </c>
      <c r="B57" s="1" t="inlineStr">
        <is>
          <t>Calderon Machining Works</t>
        </is>
      </c>
      <c r="C57" s="1" t="inlineStr">
        <is>
          <t>Single source</t>
        </is>
      </c>
      <c r="D57" s="1" t="n">
        <v>26</v>
      </c>
      <c r="E57" s="1" t="n">
        <v>37</v>
      </c>
      <c r="F57" s="1">
        <f>E57-D57</f>
        <v/>
      </c>
      <c r="G57" s="1" t="n">
        <v>1</v>
      </c>
      <c r="H57" s="1" t="inlineStr">
        <is>
          <t>Yes</t>
        </is>
      </c>
      <c r="I57" s="2" t="n">
        <v>45807</v>
      </c>
      <c r="J57" s="1" t="inlineStr">
        <is>
          <t>Buffer stock increased at Reno</t>
        </is>
      </c>
    </row>
    <row r="58">
      <c r="A58" s="1" t="inlineStr">
        <is>
          <t>Lidar module</t>
        </is>
      </c>
      <c r="B58" s="1" t="inlineStr">
        <is>
          <t>Trellis Facilities Services</t>
        </is>
      </c>
      <c r="C58" s="1" t="inlineStr">
        <is>
          <t>Dual sourced</t>
        </is>
      </c>
      <c r="D58" s="1" t="n">
        <v>5</v>
      </c>
      <c r="E58" s="1" t="n">
        <v>3</v>
      </c>
      <c r="F58" s="1">
        <f>E58-D58</f>
        <v/>
      </c>
      <c r="G58" s="1" t="n">
        <v>8</v>
      </c>
      <c r="H58" s="1" t="inlineStr">
        <is>
          <t>No</t>
        </is>
      </c>
      <c r="I58" s="2" t="n">
        <v>45796</v>
      </c>
      <c r="J58" s="1" t="inlineStr">
        <is>
          <t>Blanket order placed through the next fiscal year</t>
        </is>
      </c>
    </row>
    <row r="59">
      <c r="A59" s="1" t="inlineStr">
        <is>
          <t>Battery pack, 48V</t>
        </is>
      </c>
      <c r="B59" s="1" t="inlineStr">
        <is>
          <t>Torvald Electrical Contractors</t>
        </is>
      </c>
      <c r="C59" s="1" t="inlineStr">
        <is>
          <t>Dual sourced</t>
        </is>
      </c>
      <c r="D59" s="1" t="n">
        <v>18</v>
      </c>
      <c r="E59" s="1" t="n">
        <v>24</v>
      </c>
      <c r="F59" s="1">
        <f>E59-D59</f>
        <v/>
      </c>
      <c r="G59" s="1" t="n">
        <v>3</v>
      </c>
      <c r="H59" s="1" t="inlineStr">
        <is>
          <t>No</t>
        </is>
      </c>
      <c r="I59" s="2" t="n">
        <v>45730</v>
      </c>
      <c r="J59" s="1" t="inlineStr">
        <is>
          <t>No action; variance within tolerance</t>
        </is>
      </c>
    </row>
    <row r="60">
      <c r="A60" s="1" t="inlineStr">
        <is>
          <t>Safety relay board</t>
        </is>
      </c>
      <c r="B60" s="1" t="inlineStr">
        <is>
          <t>Lucerne Travel Management</t>
        </is>
      </c>
      <c r="C60" s="1" t="inlineStr">
        <is>
          <t>Qualifying second source</t>
        </is>
      </c>
      <c r="D60" s="1" t="n">
        <v>21</v>
      </c>
      <c r="E60" s="1" t="n">
        <v>22</v>
      </c>
      <c r="F60" s="1">
        <f>E60-D60</f>
        <v/>
      </c>
      <c r="G60" s="1" t="n">
        <v>1</v>
      </c>
      <c r="H60" s="1" t="inlineStr">
        <is>
          <t>No</t>
        </is>
      </c>
      <c r="I60" s="2" t="n">
        <v>45849</v>
      </c>
      <c r="J60" s="1" t="inlineStr">
        <is>
          <t>Buffer stock increased at Reno</t>
        </is>
      </c>
    </row>
    <row r="61">
      <c r="A61" s="1" t="inlineStr">
        <is>
          <t>Main compute module</t>
        </is>
      </c>
      <c r="B61" s="1" t="inlineStr">
        <is>
          <t>Farrow Print and Signage</t>
        </is>
      </c>
      <c r="C61" s="1" t="inlineStr">
        <is>
          <t>Single source</t>
        </is>
      </c>
      <c r="D61" s="1" t="n">
        <v>7</v>
      </c>
      <c r="E61" s="1" t="n">
        <v>10</v>
      </c>
      <c r="F61" s="1">
        <f>E61-D61</f>
        <v/>
      </c>
      <c r="G61" s="1" t="n">
        <v>4</v>
      </c>
      <c r="H61" s="1" t="inlineStr">
        <is>
          <t>No</t>
        </is>
      </c>
      <c r="I61" s="2" t="n">
        <v>46157</v>
      </c>
      <c r="J61" s="1" t="inlineStr">
        <is>
          <t>Blanket order placed through the next fiscal year</t>
        </is>
      </c>
    </row>
    <row r="62">
      <c r="A62" s="1" t="inlineStr">
        <is>
          <t>Chassis weldment</t>
        </is>
      </c>
      <c r="B62" s="1" t="inlineStr">
        <is>
          <t>Ossian Insurance Brokers</t>
        </is>
      </c>
      <c r="C62" s="1" t="inlineStr">
        <is>
          <t>Allocated by supplier</t>
        </is>
      </c>
      <c r="D62" s="1" t="n">
        <v>5</v>
      </c>
      <c r="E62" s="1" t="n">
        <v>16</v>
      </c>
      <c r="F62" s="1">
        <f>E62-D62</f>
        <v/>
      </c>
      <c r="G62" s="1" t="n">
        <v>0</v>
      </c>
      <c r="H62" s="1" t="inlineStr">
        <is>
          <t>No</t>
        </is>
      </c>
      <c r="I62" s="2" t="n">
        <v>45952</v>
      </c>
      <c r="J62" s="1" t="inlineStr">
        <is>
          <t>Blanket order placed through the next fiscal year</t>
        </is>
      </c>
    </row>
    <row r="63">
      <c r="A63" s="1" t="inlineStr">
        <is>
          <t>Charging contact plate</t>
        </is>
      </c>
      <c r="B63" s="1" t="inlineStr">
        <is>
          <t>Grayson Recruitment Media</t>
        </is>
      </c>
      <c r="C63" s="1" t="inlineStr">
        <is>
          <t>Qualifying second source</t>
        </is>
      </c>
      <c r="D63" s="1" t="n">
        <v>29</v>
      </c>
      <c r="E63" s="1" t="n">
        <v>27</v>
      </c>
      <c r="F63" s="1">
        <f>E63-D63</f>
        <v/>
      </c>
      <c r="G63" s="1" t="n">
        <v>9</v>
      </c>
      <c r="H63" s="1" t="inlineStr">
        <is>
          <t>Yes</t>
        </is>
      </c>
      <c r="I63" s="2" t="n">
        <v>45985</v>
      </c>
      <c r="J63" s="1" t="inlineStr">
        <is>
          <t>Blanket order placed through the next fiscal year</t>
        </is>
      </c>
    </row>
    <row r="64">
      <c r="A64" s="1" t="inlineStr">
        <is>
          <t>Wire harness, upper</t>
        </is>
      </c>
      <c r="B64" s="1" t="inlineStr">
        <is>
          <t>Highmoor Metal Finishing</t>
        </is>
      </c>
      <c r="C64" s="1" t="inlineStr">
        <is>
          <t>Single source</t>
        </is>
      </c>
      <c r="D64" s="1" t="n">
        <v>9</v>
      </c>
      <c r="E64" s="1" t="n">
        <v>15</v>
      </c>
      <c r="F64" s="1">
        <f>E64-D64</f>
        <v/>
      </c>
      <c r="G64" s="1" t="n">
        <v>10</v>
      </c>
      <c r="H64" s="1" t="inlineStr">
        <is>
          <t>Yes</t>
        </is>
      </c>
      <c r="I64" s="2" t="n">
        <v>46073</v>
      </c>
      <c r="J64" s="1" t="inlineStr">
        <is>
          <t>Second source under qualification</t>
        </is>
      </c>
    </row>
    <row r="65">
      <c r="A65" s="1" t="inlineStr">
        <is>
          <t>Payload deck casting</t>
        </is>
      </c>
      <c r="B65" s="1" t="inlineStr">
        <is>
          <t>Highmoor Metal Finishing</t>
        </is>
      </c>
      <c r="C65" s="1" t="inlineStr">
        <is>
          <t>Qualifying second source</t>
        </is>
      </c>
      <c r="D65" s="1" t="n">
        <v>22</v>
      </c>
      <c r="E65" s="1" t="n">
        <v>25</v>
      </c>
      <c r="F65" s="1">
        <f>E65-D65</f>
        <v/>
      </c>
      <c r="G65" s="1" t="n">
        <v>6</v>
      </c>
      <c r="H65" s="1" t="inlineStr">
        <is>
          <t>No</t>
        </is>
      </c>
      <c r="I65" s="2" t="n">
        <v>45779</v>
      </c>
      <c r="J65" s="1" t="inlineStr">
        <is>
          <t>Blanket order placed through the next fiscal year</t>
        </is>
      </c>
    </row>
    <row r="66">
      <c r="A66" s="1" t="inlineStr">
        <is>
          <t>Camera module</t>
        </is>
      </c>
      <c r="B66" s="1" t="inlineStr">
        <is>
          <t>Highmoor Metal Finishing</t>
        </is>
      </c>
      <c r="C66" s="1" t="inlineStr">
        <is>
          <t>Allocated by supplier</t>
        </is>
      </c>
      <c r="D66" s="1" t="n">
        <v>5</v>
      </c>
      <c r="E66" s="1" t="n">
        <v>16</v>
      </c>
      <c r="F66" s="1">
        <f>E66-D66</f>
        <v/>
      </c>
      <c r="G66" s="1" t="n">
        <v>3</v>
      </c>
      <c r="H66" s="1" t="inlineStr">
        <is>
          <t>No</t>
        </is>
      </c>
      <c r="I66" s="2" t="n">
        <v>46076</v>
      </c>
      <c r="J66" s="1" t="inlineStr">
        <is>
          <t>No action; variance within tolerance</t>
        </is>
      </c>
    </row>
    <row r="67">
      <c r="A67" s="1" t="inlineStr">
        <is>
          <t>Encoder assembly</t>
        </is>
      </c>
      <c r="B67" s="1" t="inlineStr">
        <is>
          <t>Northbridge Compute Cloud</t>
        </is>
      </c>
      <c r="C67" s="1" t="inlineStr">
        <is>
          <t>Dual sourced</t>
        </is>
      </c>
      <c r="D67" s="1" t="n">
        <v>18</v>
      </c>
      <c r="E67" s="1" t="n">
        <v>16</v>
      </c>
      <c r="F67" s="1">
        <f>E67-D67</f>
        <v/>
      </c>
      <c r="G67" s="1" t="n">
        <v>7</v>
      </c>
      <c r="H67" s="1" t="inlineStr">
        <is>
          <t>No</t>
        </is>
      </c>
      <c r="I67" s="2" t="n">
        <v>45861</v>
      </c>
      <c r="J67" s="1" t="inlineStr">
        <is>
          <t>No action; variance within tolerance</t>
        </is>
      </c>
    </row>
    <row r="68">
      <c r="A68" s="1" t="inlineStr">
        <is>
          <t>Brake actuator</t>
        </is>
      </c>
      <c r="B68" s="1" t="inlineStr">
        <is>
          <t>Halloway Sensors Ltd</t>
        </is>
      </c>
      <c r="C68" s="1" t="inlineStr">
        <is>
          <t>Qualifying second source</t>
        </is>
      </c>
      <c r="D68" s="1" t="n">
        <v>20</v>
      </c>
      <c r="E68" s="1" t="n">
        <v>21</v>
      </c>
      <c r="F68" s="1">
        <f>E68-D68</f>
        <v/>
      </c>
      <c r="G68" s="1" t="n">
        <v>12</v>
      </c>
      <c r="H68" s="1" t="inlineStr">
        <is>
          <t>Yes</t>
        </is>
      </c>
      <c r="I68" s="2" t="n">
        <v>46149</v>
      </c>
      <c r="J68" s="1" t="inlineStr">
        <is>
          <t>Buffer stock increased at Reno</t>
        </is>
      </c>
    </row>
    <row r="69">
      <c r="A69" s="1" t="inlineStr">
        <is>
          <t>Cooling fan tray</t>
        </is>
      </c>
      <c r="B69" s="1" t="inlineStr">
        <is>
          <t>Torvald Electrical Contractors</t>
        </is>
      </c>
      <c r="C69" s="1" t="inlineStr">
        <is>
          <t>Dual sourced</t>
        </is>
      </c>
      <c r="D69" s="1" t="n">
        <v>10</v>
      </c>
      <c r="E69" s="1" t="n">
        <v>13</v>
      </c>
      <c r="F69" s="1">
        <f>E69-D69</f>
        <v/>
      </c>
      <c r="G69" s="1" t="n">
        <v>1</v>
      </c>
      <c r="H69" s="1" t="inlineStr">
        <is>
          <t>No</t>
        </is>
      </c>
      <c r="I69" s="2" t="n">
        <v>46024</v>
      </c>
      <c r="J69" s="1" t="inlineStr">
        <is>
          <t>Blanket order placed through the next fiscal year</t>
        </is>
      </c>
    </row>
    <row r="70">
      <c r="A70" s="1" t="inlineStr">
        <is>
          <t>Display bezel</t>
        </is>
      </c>
      <c r="B70" s="1" t="inlineStr">
        <is>
          <t>Kestrel Motion Components</t>
        </is>
      </c>
      <c r="C70" s="1" t="inlineStr">
        <is>
          <t>Dual sourced</t>
        </is>
      </c>
      <c r="D70" s="1" t="n">
        <v>14</v>
      </c>
      <c r="E70" s="1" t="n">
        <v>25</v>
      </c>
      <c r="F70" s="1">
        <f>E70-D70</f>
        <v/>
      </c>
      <c r="G70" s="1" t="n">
        <v>8</v>
      </c>
      <c r="H70" s="1" t="inlineStr">
        <is>
          <t>No</t>
        </is>
      </c>
      <c r="I70" s="2" t="n">
        <v>45888</v>
      </c>
      <c r="J70" s="1" t="inlineStr">
        <is>
          <t>Design change removes the part in the next revision</t>
        </is>
      </c>
    </row>
    <row r="71">
      <c r="A71" s="1" t="inlineStr">
        <is>
          <t>Drive wheel assembly</t>
        </is>
      </c>
      <c r="B71" s="1" t="inlineStr">
        <is>
          <t>Sundara Translation Services</t>
        </is>
      </c>
      <c r="C71" s="1" t="inlineStr">
        <is>
          <t>Dual sourced</t>
        </is>
      </c>
      <c r="D71" s="1" t="n">
        <v>26</v>
      </c>
      <c r="E71" s="1" t="n">
        <v>24</v>
      </c>
      <c r="F71" s="1">
        <f>E71-D71</f>
        <v/>
      </c>
      <c r="G71" s="1" t="n">
        <v>7</v>
      </c>
      <c r="H71" s="1" t="inlineStr">
        <is>
          <t>Yes</t>
        </is>
      </c>
      <c r="I71" s="2" t="n">
        <v>45818</v>
      </c>
      <c r="J71" s="1" t="inlineStr">
        <is>
          <t>No action; variance within tolerance</t>
        </is>
      </c>
    </row>
    <row r="72">
      <c r="A72" s="1" t="inlineStr">
        <is>
          <t>Lidar module</t>
        </is>
      </c>
      <c r="B72" s="1" t="inlineStr">
        <is>
          <t>Ossian Insurance Brokers</t>
        </is>
      </c>
      <c r="C72" s="1" t="inlineStr">
        <is>
          <t>Dual sourced</t>
        </is>
      </c>
      <c r="D72" s="1" t="n">
        <v>22</v>
      </c>
      <c r="E72" s="1" t="n">
        <v>20</v>
      </c>
      <c r="F72" s="1">
        <f>E72-D72</f>
        <v/>
      </c>
      <c r="G72" s="1" t="n">
        <v>2</v>
      </c>
      <c r="H72" s="1" t="inlineStr">
        <is>
          <t>Yes</t>
        </is>
      </c>
      <c r="I72" s="2" t="n">
        <v>45790</v>
      </c>
      <c r="J72" s="1" t="inlineStr">
        <is>
          <t>Buffer stock increased at Reno</t>
        </is>
      </c>
    </row>
    <row r="73">
      <c r="A73" s="1" t="inlineStr">
        <is>
          <t>Battery pack, 48V</t>
        </is>
      </c>
      <c r="B73" s="1" t="inlineStr">
        <is>
          <t>Pemberton Battery Systems</t>
        </is>
      </c>
      <c r="C73" s="1" t="inlineStr">
        <is>
          <t>Qualifying second source</t>
        </is>
      </c>
      <c r="D73" s="1" t="n">
        <v>24</v>
      </c>
      <c r="E73" s="1" t="n">
        <v>22</v>
      </c>
      <c r="F73" s="1">
        <f>E73-D73</f>
        <v/>
      </c>
      <c r="G73" s="1" t="n">
        <v>10</v>
      </c>
      <c r="H73" s="1" t="inlineStr">
        <is>
          <t>Yes</t>
        </is>
      </c>
      <c r="I73" s="2" t="n">
        <v>46035</v>
      </c>
      <c r="J73" s="1" t="inlineStr">
        <is>
          <t>Buffer stock increased at Reno</t>
        </is>
      </c>
    </row>
    <row r="74">
      <c r="A74" s="1" t="inlineStr">
        <is>
          <t>Safety relay board</t>
        </is>
      </c>
      <c r="B74" s="1" t="inlineStr">
        <is>
          <t>Ellingham Waste Management</t>
        </is>
      </c>
      <c r="C74" s="1" t="inlineStr">
        <is>
          <t>Dual sourced</t>
        </is>
      </c>
      <c r="D74" s="1" t="n">
        <v>28</v>
      </c>
      <c r="E74" s="1" t="n">
        <v>28</v>
      </c>
      <c r="F74" s="1">
        <f>E74-D74</f>
        <v/>
      </c>
      <c r="G74" s="1" t="n">
        <v>2</v>
      </c>
      <c r="H74" s="1" t="inlineStr">
        <is>
          <t>Yes</t>
        </is>
      </c>
      <c r="I74" s="2" t="n">
        <v>46003</v>
      </c>
      <c r="J74" s="1" t="inlineStr">
        <is>
          <t>Buffer stock increased at Reno</t>
        </is>
      </c>
    </row>
    <row r="75">
      <c r="A75" s="1" t="inlineStr">
        <is>
          <t>Main compute module</t>
        </is>
      </c>
      <c r="B75" s="1" t="inlineStr">
        <is>
          <t>Pemberton Battery Systems</t>
        </is>
      </c>
      <c r="C75" s="1" t="inlineStr">
        <is>
          <t>Qualifying second source</t>
        </is>
      </c>
      <c r="D75" s="1" t="n">
        <v>30</v>
      </c>
      <c r="E75" s="1" t="n">
        <v>31</v>
      </c>
      <c r="F75" s="1">
        <f>E75-D75</f>
        <v/>
      </c>
      <c r="G75" s="1" t="n">
        <v>5</v>
      </c>
      <c r="H75" s="1" t="inlineStr">
        <is>
          <t>No</t>
        </is>
      </c>
      <c r="I75" s="2" t="n">
        <v>45877</v>
      </c>
      <c r="J75" s="1" t="inlineStr">
        <is>
          <t>Buffer stock increased at Reno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2026-08-09T15:57:49Z</dcterms:created>
  <dcterms:modified xmlns:dcterms="http://purl.org/dc/terms/" xmlns:xsi="http://www.w3.org/2001/XMLSchema-instance" xsi:type="dcterms:W3CDTF">2026-08-09T15:57:49Z</dcterms:modified>
</cp:coreProperties>
</file>