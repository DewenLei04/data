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 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cohort_logos</t>
        </is>
      </c>
      <c r="C1" s="1" t="inlineStr">
        <is>
          <t>cohort_starting_arr</t>
        </is>
      </c>
      <c r="D1" s="1" t="inlineStr">
        <is>
          <t>arr_month_3</t>
        </is>
      </c>
      <c r="E1" s="1" t="inlineStr">
        <is>
          <t>arr_month_6</t>
        </is>
      </c>
      <c r="F1" s="1" t="inlineStr">
        <is>
          <t>arr_month_12</t>
        </is>
      </c>
      <c r="G1" s="1" t="inlineStr">
        <is>
          <t>arr_month_18</t>
        </is>
      </c>
      <c r="H1" s="1" t="inlineStr">
        <is>
          <t>arr_month_24</t>
        </is>
      </c>
      <c r="I1" s="1" t="inlineStr">
        <is>
          <t>net_retention_month_12</t>
        </is>
      </c>
      <c r="J1" s="1" t="inlineStr">
        <is>
          <t>logos_retained_month_12</t>
        </is>
      </c>
      <c r="K1" s="1" t="inlineStr">
        <is>
          <t>logo_retention_month_12</t>
        </is>
      </c>
      <c r="L1" s="1" t="inlineStr">
        <is>
          <t>cohort_note</t>
        </is>
      </c>
    </row>
    <row r="2">
      <c r="A2" s="1" t="inlineStr">
        <is>
          <t>2022-07</t>
        </is>
      </c>
      <c r="B2" s="1" t="n">
        <v>5</v>
      </c>
      <c r="C2" s="1" t="n">
        <v>894401.12</v>
      </c>
      <c r="D2" s="1" t="n">
        <v>965953.21</v>
      </c>
      <c r="E2" s="1" t="n">
        <v>1073281.34</v>
      </c>
      <c r="F2" s="1" t="n">
        <v>876513.1</v>
      </c>
      <c r="G2" s="1" t="n">
        <v>885457.11</v>
      </c>
      <c r="H2" s="1" t="n">
        <v>849681.0600000001</v>
      </c>
      <c r="I2" s="1">
        <f>IF(F2="","",ROUND(F2/C2,3))</f>
        <v/>
      </c>
      <c r="J2" s="1" t="n">
        <v>3</v>
      </c>
      <c r="K2" s="1">
        <f>IF(J2="","",ROUND(J2/B2,3))</f>
        <v/>
      </c>
      <c r="L2" s="1" t="inlineStr">
        <is>
          <t>Cohort landed just before the pricing change, so uplift lags</t>
        </is>
      </c>
    </row>
    <row r="3">
      <c r="A3" s="1" t="inlineStr">
        <is>
          <t>2022-08</t>
        </is>
      </c>
      <c r="B3" s="1" t="n">
        <v>5</v>
      </c>
      <c r="C3" s="1" t="n">
        <v>347695.93</v>
      </c>
      <c r="D3" s="1" t="n">
        <v>351172.89</v>
      </c>
      <c r="E3" s="1" t="n">
        <v>344218.97</v>
      </c>
      <c r="F3" s="1" t="n">
        <v>389419.44</v>
      </c>
      <c r="G3" s="1" t="n">
        <v>326834.17</v>
      </c>
      <c r="H3" s="1" t="n">
        <v>323357.21</v>
      </c>
      <c r="I3" s="1">
        <f>IF(F3="","",ROUND(F3/C3,3))</f>
        <v/>
      </c>
      <c r="J3" s="1" t="n">
        <v>5</v>
      </c>
      <c r="K3" s="1">
        <f>IF(J3="","",ROUND(J3/B3,3))</f>
        <v/>
      </c>
      <c r="L3" s="1" t="inlineStr">
        <is>
          <t>Cohort too young for the twenty-four month column</t>
        </is>
      </c>
    </row>
    <row r="4">
      <c r="A4" s="1" t="inlineStr">
        <is>
          <t>2022-09</t>
        </is>
      </c>
      <c r="B4" s="1" t="n">
        <v>9</v>
      </c>
      <c r="C4" s="1" t="n">
        <v>1347441.49</v>
      </c>
      <c r="D4" s="1" t="n">
        <v>1522608.88</v>
      </c>
      <c r="E4" s="1" t="n">
        <v>1455236.81</v>
      </c>
      <c r="F4" s="1" t="n">
        <v>1576506.54</v>
      </c>
      <c r="G4" s="1" t="n">
        <v>1536083.3</v>
      </c>
      <c r="H4" s="1" t="n">
        <v>1253120.59</v>
      </c>
      <c r="I4" s="1">
        <f>IF(F4="","",ROUND(F4/C4,3))</f>
        <v/>
      </c>
      <c r="J4" s="1" t="n">
        <v>8</v>
      </c>
      <c r="K4" s="1">
        <f>IF(J4="","",ROUND(J4/B4,3))</f>
        <v/>
      </c>
      <c r="L4" s="1" t="inlineStr">
        <is>
          <t>One logo was acquired and the contract novated</t>
        </is>
      </c>
    </row>
    <row r="5">
      <c r="A5" s="1" t="inlineStr">
        <is>
          <t>2022-10</t>
        </is>
      </c>
      <c r="B5" s="1" t="n">
        <v>8</v>
      </c>
      <c r="C5" s="1" t="n">
        <v>1018578.76</v>
      </c>
      <c r="D5" s="1" t="n">
        <v>1201922.94</v>
      </c>
      <c r="E5" s="1" t="n">
        <v>998207.1800000001</v>
      </c>
      <c r="F5" s="1" t="n">
        <v>926906.67</v>
      </c>
      <c r="G5" s="1" t="n">
        <v>1171365.57</v>
      </c>
      <c r="H5" s="1" t="n">
        <v>1171365.57</v>
      </c>
      <c r="I5" s="1">
        <f>IF(F5="","",ROUND(F5/C5,3))</f>
        <v/>
      </c>
      <c r="J5" s="1" t="n">
        <v>8</v>
      </c>
      <c r="K5" s="1">
        <f>IF(J5="","",ROUND(J5/B5,3))</f>
        <v/>
      </c>
      <c r="L5" s="1" t="inlineStr">
        <is>
          <t>Cohort landed just before the pricing change, so uplift lags</t>
        </is>
      </c>
    </row>
    <row r="6">
      <c r="A6" s="1" t="inlineStr">
        <is>
          <t>2022-11</t>
        </is>
      </c>
      <c r="B6" s="1" t="n">
        <v>9</v>
      </c>
      <c r="C6" s="1" t="n">
        <v>664783.21</v>
      </c>
      <c r="D6" s="1" t="n">
        <v>658135.38</v>
      </c>
      <c r="E6" s="1" t="n">
        <v>644839.71</v>
      </c>
      <c r="F6" s="1" t="n">
        <v>631544.05</v>
      </c>
      <c r="G6" s="1" t="n">
        <v>757852.86</v>
      </c>
      <c r="H6" s="1" t="n">
        <v>571713.5600000001</v>
      </c>
      <c r="I6" s="1">
        <f>IF(F6="","",ROUND(F6/C6,3))</f>
        <v/>
      </c>
      <c r="J6" s="1" t="n">
        <v>7</v>
      </c>
      <c r="K6" s="1">
        <f>IF(J6="","",ROUND(J6/B6,3))</f>
        <v/>
      </c>
      <c r="L6" s="1" t="inlineStr">
        <is>
          <t>Cohort landed just before the pricing change, so uplift lags</t>
        </is>
      </c>
    </row>
    <row r="7">
      <c r="A7" s="1" t="inlineStr">
        <is>
          <t>2022-12</t>
        </is>
      </c>
      <c r="B7" s="1" t="n">
        <v>2</v>
      </c>
      <c r="C7" s="1" t="n">
        <v>1403623.42</v>
      </c>
      <c r="D7" s="1" t="n">
        <v>1656275.64</v>
      </c>
      <c r="E7" s="1" t="n">
        <v>1628203.17</v>
      </c>
      <c r="F7" s="1" t="n">
        <v>1235188.61</v>
      </c>
      <c r="G7" s="1" t="n">
        <v>1600130.7</v>
      </c>
      <c r="H7" s="1" t="n">
        <v>1305369.78</v>
      </c>
      <c r="I7" s="1">
        <f>IF(F7="","",ROUND(F7/C7,3))</f>
        <v/>
      </c>
      <c r="J7" s="1" t="n">
        <v>2</v>
      </c>
      <c r="K7" s="1">
        <f>IF(J7="","",ROUND(J7/B7,3))</f>
        <v/>
      </c>
      <c r="L7" s="1" t="inlineStr">
        <is>
          <t>Two logos in this cohort expanded to a second site within the year</t>
        </is>
      </c>
    </row>
    <row r="8">
      <c r="A8" s="1" t="inlineStr">
        <is>
          <t>2023-01</t>
        </is>
      </c>
      <c r="B8" s="1" t="n">
        <v>8</v>
      </c>
      <c r="C8" s="1" t="n">
        <v>1378273.72</v>
      </c>
      <c r="D8" s="1" t="n">
        <v>1378273.72</v>
      </c>
      <c r="E8" s="1" t="n">
        <v>1268011.82</v>
      </c>
      <c r="F8" s="1" t="n">
        <v>1336925.51</v>
      </c>
      <c r="G8" s="1" t="n">
        <v>1323142.77</v>
      </c>
      <c r="H8" s="1" t="n">
        <v>1433404.67</v>
      </c>
      <c r="I8" s="1">
        <f>IF(F8="","",ROUND(F8/C8,3))</f>
        <v/>
      </c>
      <c r="J8" s="1" t="n">
        <v>8</v>
      </c>
      <c r="K8" s="1">
        <f>IF(J8="","",ROUND(J8/B8,3))</f>
        <v/>
      </c>
      <c r="L8" s="1" t="inlineStr">
        <is>
          <t>Cohort landed just before the pricing change, so uplift lags</t>
        </is>
      </c>
    </row>
    <row r="9">
      <c r="A9" s="1" t="inlineStr">
        <is>
          <t>2023-02</t>
        </is>
      </c>
      <c r="B9" s="1" t="n">
        <v>7</v>
      </c>
      <c r="C9" s="1" t="n">
        <v>381431.91</v>
      </c>
      <c r="D9" s="1" t="n">
        <v>438646.7</v>
      </c>
      <c r="E9" s="1" t="n">
        <v>453903.97</v>
      </c>
      <c r="F9" s="1" t="n">
        <v>419575.1</v>
      </c>
      <c r="G9" s="1" t="n">
        <v>343288.72</v>
      </c>
      <c r="H9" s="1" t="n">
        <v>396689.19</v>
      </c>
      <c r="I9" s="1">
        <f>IF(F9="","",ROUND(F9/C9,3))</f>
        <v/>
      </c>
      <c r="J9" s="1" t="n">
        <v>7</v>
      </c>
      <c r="K9" s="1">
        <f>IF(J9="","",ROUND(J9/B9,3))</f>
        <v/>
      </c>
      <c r="L9" s="1" t="inlineStr">
        <is>
          <t>One pilot did not convert to a production footprint</t>
        </is>
      </c>
    </row>
    <row r="10">
      <c r="A10" s="1" t="inlineStr">
        <is>
          <t>2023-03</t>
        </is>
      </c>
      <c r="B10" s="1" t="n">
        <v>9</v>
      </c>
      <c r="C10" s="1" t="n">
        <v>1102974.68</v>
      </c>
      <c r="D10" s="1" t="n">
        <v>1158123.41</v>
      </c>
      <c r="E10" s="1" t="n">
        <v>1301510.12</v>
      </c>
      <c r="F10" s="1" t="n">
        <v>1312539.87</v>
      </c>
      <c r="G10" s="1" t="n">
        <v>1136063.92</v>
      </c>
      <c r="H10" s="1" t="n">
        <v>1235331.64</v>
      </c>
      <c r="I10" s="1">
        <f>IF(F10="","",ROUND(F10/C10,3))</f>
        <v/>
      </c>
      <c r="J10" s="1" t="n">
        <v>7</v>
      </c>
      <c r="K10" s="1">
        <f>IF(J10="","",ROUND(J10/B10,3))</f>
        <v/>
      </c>
      <c r="L10" s="1" t="inlineStr">
        <is>
          <t>Two logos in this cohort expanded to a second site within the year</t>
        </is>
      </c>
    </row>
    <row r="11">
      <c r="A11" s="1" t="inlineStr">
        <is>
          <t>2023-04</t>
        </is>
      </c>
      <c r="B11" s="1" t="n">
        <v>5</v>
      </c>
      <c r="C11" s="1" t="n">
        <v>1303479.32</v>
      </c>
      <c r="D11" s="1" t="n">
        <v>1381688.08</v>
      </c>
      <c r="E11" s="1" t="n">
        <v>1577209.98</v>
      </c>
      <c r="F11" s="1" t="n">
        <v>1420792.46</v>
      </c>
      <c r="G11" s="1" t="n">
        <v>1160096.59</v>
      </c>
      <c r="H11" s="1" t="n">
        <v>1107957.42</v>
      </c>
      <c r="I11" s="1">
        <f>IF(F11="","",ROUND(F11/C11,3))</f>
        <v/>
      </c>
      <c r="J11" s="1" t="n">
        <v>3</v>
      </c>
      <c r="K11" s="1">
        <f>IF(J11="","",ROUND(J11/B11,3))</f>
        <v/>
      </c>
      <c r="L11" s="1" t="inlineStr">
        <is>
          <t>Cohort landed just before the pricing change, so uplift lags</t>
        </is>
      </c>
    </row>
    <row r="12">
      <c r="A12" s="1" t="inlineStr">
        <is>
          <t>2023-05</t>
        </is>
      </c>
      <c r="B12" s="1" t="n">
        <v>2</v>
      </c>
      <c r="C12" s="1" t="n">
        <v>619170.88</v>
      </c>
      <c r="D12" s="1" t="n">
        <v>637746.01</v>
      </c>
      <c r="E12" s="1" t="n">
        <v>705854.8</v>
      </c>
      <c r="F12" s="1" t="n">
        <v>693471.39</v>
      </c>
      <c r="G12" s="1" t="n">
        <v>532486.96</v>
      </c>
      <c r="H12" s="1" t="n">
        <v>718238.22</v>
      </c>
      <c r="I12" s="1">
        <f>IF(F12="","",ROUND(F12/C12,3))</f>
        <v/>
      </c>
      <c r="J12" s="1" t="n">
        <v>1</v>
      </c>
      <c r="K12" s="1">
        <f>IF(J12="","",ROUND(J12/B12,3))</f>
        <v/>
      </c>
      <c r="L12" s="1" t="inlineStr">
        <is>
          <t>Retention measured on annual fee only, services excluded</t>
        </is>
      </c>
    </row>
    <row r="13">
      <c r="A13" s="1" t="inlineStr">
        <is>
          <t>2023-06</t>
        </is>
      </c>
      <c r="B13" s="1" t="n">
        <v>7</v>
      </c>
      <c r="C13" s="1" t="n">
        <v>1308239.51</v>
      </c>
      <c r="D13" s="1" t="n">
        <v>1452145.86</v>
      </c>
      <c r="E13" s="1" t="n">
        <v>1308239.51</v>
      </c>
      <c r="F13" s="1" t="n">
        <v>1151250.77</v>
      </c>
      <c r="G13" s="1" t="n">
        <v>1399816.28</v>
      </c>
      <c r="H13" s="1" t="n">
        <v>1216662.74</v>
      </c>
      <c r="I13" s="1">
        <f>IF(F13="","",ROUND(F13/C13,3))</f>
        <v/>
      </c>
      <c r="J13" s="1" t="n">
        <v>5</v>
      </c>
      <c r="K13" s="1">
        <f>IF(J13="","",ROUND(J13/B13,3))</f>
        <v/>
      </c>
      <c r="L13" s="1" t="inlineStr">
        <is>
          <t>One logo was acquired and the contract novated</t>
        </is>
      </c>
    </row>
    <row r="14">
      <c r="A14" s="1" t="inlineStr">
        <is>
          <t>2023-07</t>
        </is>
      </c>
      <c r="B14" s="1" t="n">
        <v>5</v>
      </c>
      <c r="C14" s="1" t="n">
        <v>718065.77</v>
      </c>
      <c r="D14" s="1" t="n">
        <v>746788.4</v>
      </c>
      <c r="E14" s="1" t="n">
        <v>854498.27</v>
      </c>
      <c r="F14" s="1" t="n">
        <v>753969.0600000001</v>
      </c>
      <c r="G14" s="1" t="n">
        <v>753969.0600000001</v>
      </c>
      <c r="H14" s="1" t="n">
        <v>696523.8</v>
      </c>
      <c r="I14" s="1">
        <f>IF(F14="","",ROUND(F14/C14,3))</f>
        <v/>
      </c>
      <c r="J14" s="1" t="n">
        <v>5</v>
      </c>
      <c r="K14" s="1">
        <f>IF(J14="","",ROUND(J14/B14,3))</f>
        <v/>
      </c>
      <c r="L14" s="1" t="inlineStr">
        <is>
          <t>Cohort landed just before the pricing change, so uplift lags</t>
        </is>
      </c>
    </row>
    <row r="15">
      <c r="A15" s="1" t="inlineStr">
        <is>
          <t>2023-08</t>
        </is>
      </c>
      <c r="B15" s="1" t="n">
        <v>4</v>
      </c>
      <c r="C15" s="1" t="n">
        <v>504691.1</v>
      </c>
      <c r="D15" s="1" t="n">
        <v>565254.03</v>
      </c>
      <c r="E15" s="1" t="n">
        <v>474409.63</v>
      </c>
      <c r="F15" s="1" t="n">
        <v>469362.72</v>
      </c>
      <c r="G15" s="1" t="n">
        <v>570300.9399999999</v>
      </c>
      <c r="H15" s="1" t="n">
        <v>504691.1</v>
      </c>
      <c r="I15" s="1">
        <f>IF(F15="","",ROUND(F15/C15,3))</f>
        <v/>
      </c>
      <c r="J15" s="1" t="n">
        <v>2</v>
      </c>
      <c r="K15" s="1">
        <f>IF(J15="","",ROUND(J15/B15,3))</f>
        <v/>
      </c>
      <c r="L15" s="1" t="inlineStr">
        <is>
          <t>One pilot did not convert to a production footprint</t>
        </is>
      </c>
    </row>
    <row r="16">
      <c r="A16" s="1" t="inlineStr">
        <is>
          <t>2023-09</t>
        </is>
      </c>
      <c r="B16" s="1" t="n">
        <v>8</v>
      </c>
      <c r="C16" s="1" t="n">
        <v>1023561.64</v>
      </c>
      <c r="D16" s="1" t="n">
        <v>1187331.5</v>
      </c>
      <c r="E16" s="1" t="n">
        <v>1207802.74</v>
      </c>
      <c r="F16" s="1" t="n">
        <v>1136153.42</v>
      </c>
      <c r="G16" s="1" t="n">
        <v>1105446.57</v>
      </c>
      <c r="H16" s="1" t="n">
        <v>982619.17</v>
      </c>
      <c r="I16" s="1">
        <f>IF(F16="","",ROUND(F16/C16,3))</f>
        <v/>
      </c>
      <c r="J16" s="1" t="n">
        <v>6</v>
      </c>
      <c r="K16" s="1">
        <f>IF(J16="","",ROUND(J16/B16,3))</f>
        <v/>
      </c>
      <c r="L16" s="1" t="inlineStr">
        <is>
          <t>Two logos in this cohort expanded to a second site within the year</t>
        </is>
      </c>
    </row>
    <row r="17">
      <c r="A17" s="1" t="inlineStr">
        <is>
          <t>2023-10</t>
        </is>
      </c>
      <c r="B17" s="1" t="n">
        <v>7</v>
      </c>
      <c r="C17" s="1" t="n">
        <v>1012881.53</v>
      </c>
      <c r="D17" s="1" t="n">
        <v>1144556.13</v>
      </c>
      <c r="E17" s="1" t="n">
        <v>1144556.13</v>
      </c>
      <c r="F17" s="1" t="n">
        <v>1195200.21</v>
      </c>
      <c r="G17" s="1" t="n">
        <v>982495.08</v>
      </c>
      <c r="H17" s="1" t="n">
        <v>1144556.13</v>
      </c>
      <c r="I17" s="1">
        <f>IF(F17="","",ROUND(F17/C17,3))</f>
        <v/>
      </c>
      <c r="J17" s="1" t="n">
        <v>5</v>
      </c>
      <c r="K17" s="1">
        <f>IF(J17="","",ROUND(J17/B17,3))</f>
        <v/>
      </c>
      <c r="L17" s="1" t="inlineStr">
        <is>
          <t>Retention measured on annual fee only, services excluded</t>
        </is>
      </c>
    </row>
    <row r="18">
      <c r="A18" s="1" t="inlineStr">
        <is>
          <t>2023-11</t>
        </is>
      </c>
      <c r="B18" s="1" t="n">
        <v>2</v>
      </c>
      <c r="C18" s="1" t="n">
        <v>1263352.5</v>
      </c>
      <c r="D18" s="1" t="n">
        <v>1212818.4</v>
      </c>
      <c r="E18" s="1" t="n">
        <v>1263352.5</v>
      </c>
      <c r="F18" s="1" t="n">
        <v>1187551.35</v>
      </c>
      <c r="G18" s="1" t="n">
        <v>1478122.42</v>
      </c>
      <c r="H18" s="1" t="n">
        <v>1187551.35</v>
      </c>
      <c r="I18" s="1">
        <f>IF(F18="","",ROUND(F18/C18,3))</f>
        <v/>
      </c>
      <c r="J18" s="1" t="n">
        <v>0</v>
      </c>
      <c r="K18" s="1">
        <f>IF(J18="","",ROUND(J18/B18,3))</f>
        <v/>
      </c>
      <c r="L18" s="1" t="inlineStr">
        <is>
          <t>Two logos in this cohort expanded to a second site within the year</t>
        </is>
      </c>
    </row>
    <row r="19">
      <c r="A19" s="1" t="inlineStr">
        <is>
          <t>2023-12</t>
        </is>
      </c>
      <c r="B19" s="1" t="n">
        <v>2</v>
      </c>
      <c r="C19" s="1" t="n">
        <v>564488.03</v>
      </c>
      <c r="D19" s="1" t="n">
        <v>581422.67</v>
      </c>
      <c r="E19" s="1" t="n">
        <v>637871.47</v>
      </c>
      <c r="F19" s="1" t="n">
        <v>570132.91</v>
      </c>
      <c r="G19" s="1" t="n">
        <v>530618.75</v>
      </c>
      <c r="H19" s="1" t="n">
        <v>513684.11</v>
      </c>
      <c r="I19" s="1">
        <f>IF(F19="","",ROUND(F19/C19,3))</f>
        <v/>
      </c>
      <c r="J19" s="1" t="n">
        <v>2</v>
      </c>
      <c r="K19" s="1">
        <f>IF(J19="","",ROUND(J19/B19,3))</f>
        <v/>
      </c>
      <c r="L19" s="1" t="inlineStr">
        <is>
          <t>Cohort too young for the twenty-four month column</t>
        </is>
      </c>
    </row>
    <row r="20">
      <c r="A20" s="1" t="inlineStr">
        <is>
          <t>2024-01</t>
        </is>
      </c>
      <c r="B20" s="1" t="n">
        <v>5</v>
      </c>
      <c r="C20" s="1" t="n">
        <v>1256411.57</v>
      </c>
      <c r="D20" s="1" t="n">
        <v>1394616.84</v>
      </c>
      <c r="E20" s="1" t="n">
        <v>1155898.64</v>
      </c>
      <c r="F20" s="1" t="n">
        <v>1394616.84</v>
      </c>
      <c r="G20" s="1" t="n">
        <v>1168462.76</v>
      </c>
      <c r="H20" s="1" t="n">
        <v>1444873.31</v>
      </c>
      <c r="I20" s="1">
        <f>IF(F20="","",ROUND(F20/C20,3))</f>
        <v/>
      </c>
      <c r="J20" s="1" t="n">
        <v>3</v>
      </c>
      <c r="K20" s="1">
        <f>IF(J20="","",ROUND(J20/B20,3))</f>
        <v/>
      </c>
      <c r="L20" s="1" t="inlineStr">
        <is>
          <t>Retention measured on annual fee only, services excluded</t>
        </is>
      </c>
    </row>
    <row r="21">
      <c r="A21" s="1" t="inlineStr">
        <is>
          <t>2024-02</t>
        </is>
      </c>
      <c r="B21" s="1" t="n">
        <v>6</v>
      </c>
      <c r="C21" s="1" t="n">
        <v>1297082.09</v>
      </c>
      <c r="D21" s="1" t="n">
        <v>1400848.66</v>
      </c>
      <c r="E21" s="1" t="n">
        <v>1491644.4</v>
      </c>
      <c r="F21" s="1" t="n">
        <v>1193315.52</v>
      </c>
      <c r="G21" s="1" t="n">
        <v>1439761.12</v>
      </c>
      <c r="H21" s="1" t="n">
        <v>1439761.12</v>
      </c>
      <c r="I21" s="1">
        <f>IF(F21="","",ROUND(F21/C21,3))</f>
        <v/>
      </c>
      <c r="J21" s="1" t="n">
        <v>6</v>
      </c>
      <c r="K21" s="1">
        <f>IF(J21="","",ROUND(J21/B21,3))</f>
        <v/>
      </c>
      <c r="L21" s="1" t="inlineStr">
        <is>
          <t>One pilot did not convert to a production footprint</t>
        </is>
      </c>
    </row>
    <row r="22">
      <c r="A22" s="1" t="inlineStr">
        <is>
          <t>2024-03</t>
        </is>
      </c>
      <c r="B22" s="1" t="n">
        <v>3</v>
      </c>
      <c r="C22" s="1" t="n">
        <v>680218.08</v>
      </c>
      <c r="D22" s="1" t="n">
        <v>659811.54</v>
      </c>
      <c r="E22" s="1" t="n">
        <v>795855.15</v>
      </c>
      <c r="F22" s="1" t="n">
        <v>775448.61</v>
      </c>
      <c r="G22" s="1" t="n">
        <v>659811.54</v>
      </c>
      <c r="H22" s="1" t="n">
        <v>680218.08</v>
      </c>
      <c r="I22" s="1">
        <f>IF(F22="","",ROUND(F22/C22,3))</f>
        <v/>
      </c>
      <c r="J22" s="1" t="n">
        <v>2</v>
      </c>
      <c r="K22" s="1">
        <f>IF(J22="","",ROUND(J22/B22,3))</f>
        <v/>
      </c>
      <c r="L22" s="1" t="inlineStr">
        <is>
          <t>Cohort landed just before the pricing change, so uplift lags</t>
        </is>
      </c>
    </row>
    <row r="23">
      <c r="A23" s="1" t="inlineStr">
        <is>
          <t>2024-04</t>
        </is>
      </c>
      <c r="B23" s="1" t="n">
        <v>6</v>
      </c>
      <c r="C23" s="1" t="n">
        <v>1350424.78</v>
      </c>
      <c r="D23" s="1" t="n">
        <v>1309912.04</v>
      </c>
      <c r="E23" s="1" t="n">
        <v>1579996.99</v>
      </c>
      <c r="F23" s="1" t="n">
        <v>1431450.27</v>
      </c>
      <c r="G23" s="1" t="n">
        <v>1336920.53</v>
      </c>
      <c r="H23" s="1" t="n">
        <v>1498971.51</v>
      </c>
      <c r="I23" s="1">
        <f>IF(F23="","",ROUND(F23/C23,3))</f>
        <v/>
      </c>
      <c r="J23" s="1" t="n">
        <v>5</v>
      </c>
      <c r="K23" s="1">
        <f>IF(J23="","",ROUND(J23/B23,3))</f>
        <v/>
      </c>
      <c r="L23" s="1" t="inlineStr">
        <is>
          <t>Cohort landed just before the pricing change, so uplift lags</t>
        </is>
      </c>
    </row>
    <row r="24">
      <c r="A24" s="1" t="inlineStr">
        <is>
          <t>2024-05</t>
        </is>
      </c>
      <c r="B24" s="1" t="n">
        <v>6</v>
      </c>
      <c r="C24" s="1" t="n">
        <v>337633.56</v>
      </c>
      <c r="D24" s="1" t="n">
        <v>381525.92</v>
      </c>
      <c r="E24" s="1" t="n">
        <v>398407.6</v>
      </c>
      <c r="F24" s="1" t="n">
        <v>405160.27</v>
      </c>
      <c r="G24" s="1" t="n">
        <v>347762.57</v>
      </c>
      <c r="H24" s="1" t="n">
        <v>300493.87</v>
      </c>
      <c r="I24" s="1">
        <f>IF(F24="","",ROUND(F24/C24,3))</f>
        <v/>
      </c>
      <c r="J24" s="1" t="n">
        <v>4</v>
      </c>
      <c r="K24" s="1">
        <f>IF(J24="","",ROUND(J24/B24,3))</f>
        <v/>
      </c>
      <c r="L24" s="1" t="inlineStr">
        <is>
          <t>Cohort landed just before the pricing change, so uplift lags</t>
        </is>
      </c>
    </row>
    <row r="25">
      <c r="A25" s="1" t="inlineStr">
        <is>
          <t>2024-06</t>
        </is>
      </c>
      <c r="B25" s="1" t="n">
        <v>5</v>
      </c>
      <c r="C25" s="1" t="n">
        <v>864494.62</v>
      </c>
      <c r="D25" s="1" t="n">
        <v>959589.03</v>
      </c>
      <c r="E25" s="1" t="n">
        <v>1037393.54</v>
      </c>
      <c r="F25" s="1" t="n">
        <v>933654.1899999999</v>
      </c>
      <c r="G25" s="1" t="n">
        <v>855849.67</v>
      </c>
      <c r="H25" s="1" t="n">
        <v>829914.84</v>
      </c>
      <c r="I25" s="1">
        <f>IF(F25="","",ROUND(F25/C25,3))</f>
        <v/>
      </c>
      <c r="J25" s="1" t="n">
        <v>3</v>
      </c>
      <c r="K25" s="1">
        <f>IF(J25="","",ROUND(J25/B25,3))</f>
        <v/>
      </c>
      <c r="L25" s="1" t="inlineStr">
        <is>
          <t>Retention measured on annual fee only, services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