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st Region" sheetId="1" state="visible" r:id="rId1"/>
    <sheet xmlns:r="http://schemas.openxmlformats.org/officeDocument/2006/relationships" name="Central Region" sheetId="2" state="visible" r:id="rId2"/>
    <sheet xmlns:r="http://schemas.openxmlformats.org/officeDocument/2006/relationships" name="East Region" sheetId="3" state="visible" r:id="rId3"/>
    <sheet xmlns:r="http://schemas.openxmlformats.org/officeDocument/2006/relationships" name="Deferred and Dispu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contract_ref</t>
        </is>
      </c>
      <c r="B1" s="1" t="inlineStr">
        <is>
          <t>customer</t>
        </is>
      </c>
      <c r="C1" s="1" t="inlineStr">
        <is>
          <t>site</t>
        </is>
      </c>
      <c r="D1" s="1" t="inlineStr">
        <is>
          <t>milestone_code</t>
        </is>
      </c>
      <c r="E1" s="1" t="inlineStr">
        <is>
          <t>milestone_description</t>
        </is>
      </c>
      <c r="F1" s="1" t="inlineStr">
        <is>
          <t>planned_date</t>
        </is>
      </c>
      <c r="G1" s="1" t="inlineStr">
        <is>
          <t>actual_date</t>
        </is>
      </c>
      <c r="H1" s="1" t="inlineStr">
        <is>
          <t>days_variance</t>
        </is>
      </c>
      <c r="I1" s="1" t="inlineStr">
        <is>
          <t>acceptance_evidence</t>
        </is>
      </c>
      <c r="J1" s="1" t="inlineStr">
        <is>
          <t>invoice_trigger</t>
        </is>
      </c>
      <c r="K1" s="1" t="inlineStr">
        <is>
          <t>milestone_amount</t>
        </is>
      </c>
      <c r="L1" s="1" t="inlineStr">
        <is>
          <t>invoiced_flag</t>
        </is>
      </c>
      <c r="M1" s="1" t="inlineStr">
        <is>
          <t>status</t>
        </is>
      </c>
      <c r="N1" s="1" t="inlineStr">
        <is>
          <t>owner</t>
        </is>
      </c>
    </row>
    <row r="2">
      <c r="A2" s="1" t="inlineStr">
        <is>
          <t>ZAC-SOW-2026-345</t>
        </is>
      </c>
      <c r="B2" s="1" t="inlineStr">
        <is>
          <t>Zephyr Air Cargo</t>
        </is>
      </c>
      <c r="C2" s="1" t="inlineStr">
        <is>
          <t>Zephyr Ramp 2</t>
        </is>
      </c>
      <c r="D2" s="1" t="inlineStr">
        <is>
          <t>M20</t>
        </is>
      </c>
      <c r="E2" s="1" t="inlineStr">
        <is>
          <t>Site survey complete and layout approved</t>
        </is>
      </c>
      <c r="F2" s="2" t="n">
        <v>45723</v>
      </c>
      <c r="G2" s="2" t="n">
        <v>45757</v>
      </c>
      <c r="H2" s="1">
        <f>IF(G2="","",G2-F2)</f>
        <v/>
      </c>
      <c r="I2" s="1" t="inlineStr">
        <is>
          <t>Conditional acceptance letter with open punch list</t>
        </is>
      </c>
      <c r="J2" s="1" t="inlineStr">
        <is>
          <t>None</t>
        </is>
      </c>
      <c r="K2" s="1" t="n">
        <v>0</v>
      </c>
      <c r="L2" s="1" t="inlineStr">
        <is>
          <t>No</t>
        </is>
      </c>
      <c r="M2" s="1" t="inlineStr">
        <is>
          <t>Complete</t>
        </is>
      </c>
      <c r="N2" s="1" t="inlineStr">
        <is>
          <t>S. Vitale</t>
        </is>
      </c>
    </row>
    <row r="3">
      <c r="A3" s="1" t="inlineStr">
        <is>
          <t>YHG-SOW-2024-326</t>
        </is>
      </c>
      <c r="B3" s="1" t="inlineStr">
        <is>
          <t>Yarrow Home Goods</t>
        </is>
      </c>
      <c r="C3" s="1" t="inlineStr">
        <is>
          <t>Yarrow FC3</t>
        </is>
      </c>
      <c r="D3" s="1" t="inlineStr">
        <is>
          <t>M30</t>
        </is>
      </c>
      <c r="E3" s="1" t="inlineStr">
        <is>
          <t>Hardware shipped to site</t>
        </is>
      </c>
      <c r="F3" s="2" t="n">
        <v>46041</v>
      </c>
      <c r="G3" s="2" t="n">
        <v>46043</v>
      </c>
      <c r="H3" s="1">
        <f>IF(G3="","",G3-F3)</f>
        <v/>
      </c>
      <c r="I3" s="1" t="inlineStr">
        <is>
          <t>Conditional acceptance letter with open punch list</t>
        </is>
      </c>
      <c r="J3" s="1" t="inlineStr">
        <is>
          <t>40 percent on shipment</t>
        </is>
      </c>
      <c r="K3" s="1" t="n">
        <v>274580.93</v>
      </c>
      <c r="L3" s="1" t="inlineStr">
        <is>
          <t>Yes</t>
        </is>
      </c>
      <c r="M3" s="1" t="inlineStr">
        <is>
          <t>Complete</t>
        </is>
      </c>
      <c r="N3" s="1" t="inlineStr">
        <is>
          <t>J. Alvarez</t>
        </is>
      </c>
    </row>
    <row r="4">
      <c r="A4" s="1" t="inlineStr">
        <is>
          <t>RWO-SOW-2024-374</t>
        </is>
      </c>
      <c r="B4" s="1" t="inlineStr">
        <is>
          <t>Redwood Optics</t>
        </is>
      </c>
      <c r="C4" s="1" t="inlineStr">
        <is>
          <t>Redwood Clean 3</t>
        </is>
      </c>
      <c r="D4" s="1" t="inlineStr">
        <is>
          <t>M40</t>
        </is>
      </c>
      <c r="E4" s="1" t="inlineStr">
        <is>
          <t>Mechanical installation complete</t>
        </is>
      </c>
      <c r="F4" s="2" t="n">
        <v>45947</v>
      </c>
      <c r="G4" s="1" t="inlineStr"/>
      <c r="H4" s="1">
        <f>IF(G4="","",G4-F4)</f>
        <v/>
      </c>
      <c r="I4" s="1" t="inlineStr">
        <is>
          <t>No evidence located; open request with the account team</t>
        </is>
      </c>
      <c r="J4" s="1" t="inlineStr">
        <is>
          <t>None</t>
        </is>
      </c>
      <c r="K4" s="1" t="n">
        <v>0</v>
      </c>
      <c r="L4" s="1" t="inlineStr">
        <is>
          <t>No</t>
        </is>
      </c>
      <c r="M4" s="1" t="inlineStr">
        <is>
          <t>In progress</t>
        </is>
      </c>
      <c r="N4" s="1" t="inlineStr">
        <is>
          <t>J. Alvarez</t>
        </is>
      </c>
    </row>
    <row r="5">
      <c r="A5" s="1" t="inlineStr">
        <is>
          <t>JHS-SOW-2026-113</t>
        </is>
      </c>
      <c r="B5" s="1" t="inlineStr">
        <is>
          <t>Juniper Health Supply</t>
        </is>
      </c>
      <c r="C5" s="1" t="inlineStr">
        <is>
          <t>Juniper Sterile 1</t>
        </is>
      </c>
      <c r="D5" s="1" t="inlineStr">
        <is>
          <t>M50</t>
        </is>
      </c>
      <c r="E5" s="1" t="inlineStr">
        <is>
          <t>Network and warehouse-system integration complete</t>
        </is>
      </c>
      <c r="F5" s="2" t="n">
        <v>46196</v>
      </c>
      <c r="G5" s="2" t="n">
        <v>46213</v>
      </c>
      <c r="H5" s="1">
        <f>IF(G5="","",G5-F5)</f>
        <v/>
      </c>
      <c r="I5" s="1" t="inlineStr">
        <is>
          <t>Training attendance register</t>
        </is>
      </c>
      <c r="J5" s="1" t="inlineStr">
        <is>
          <t>None</t>
        </is>
      </c>
      <c r="K5" s="1" t="n">
        <v>0</v>
      </c>
      <c r="L5" s="1" t="inlineStr">
        <is>
          <t>No</t>
        </is>
      </c>
      <c r="M5" s="1" t="inlineStr">
        <is>
          <t>Deferred at customer request</t>
        </is>
      </c>
      <c r="N5" s="1" t="inlineStr">
        <is>
          <t>S. Vitale</t>
        </is>
      </c>
    </row>
    <row r="6">
      <c r="A6" s="1" t="inlineStr">
        <is>
          <t>NFB-SOW-2026-883</t>
        </is>
      </c>
      <c r="B6" s="1" t="inlineStr">
        <is>
          <t>Northfield Beverage</t>
        </is>
      </c>
      <c r="C6" s="1" t="inlineStr">
        <is>
          <t>Northfield Line 5</t>
        </is>
      </c>
      <c r="D6" s="1" t="inlineStr">
        <is>
          <t>M60</t>
        </is>
      </c>
      <c r="E6" s="1" t="inlineStr">
        <is>
          <t>Safety validation witnessed by customer</t>
        </is>
      </c>
      <c r="F6" s="2" t="n">
        <v>45771</v>
      </c>
      <c r="G6" s="2" t="n">
        <v>45772</v>
      </c>
      <c r="H6" s="1">
        <f>IF(G6="","",G6-F6)</f>
        <v/>
      </c>
      <c r="I6" s="1" t="inlineStr">
        <is>
          <t>Site sign-off form with throughput log attached</t>
        </is>
      </c>
      <c r="J6" s="1" t="inlineStr">
        <is>
          <t>None</t>
        </is>
      </c>
      <c r="K6" s="1" t="n">
        <v>0</v>
      </c>
      <c r="L6" s="1" t="inlineStr">
        <is>
          <t>No</t>
        </is>
      </c>
      <c r="M6" s="1" t="inlineStr">
        <is>
          <t>Deferred at customer request</t>
        </is>
      </c>
      <c r="N6" s="1" t="inlineStr">
        <is>
          <t>S. Vitale</t>
        </is>
      </c>
    </row>
    <row r="7">
      <c r="A7" s="1" t="inlineStr">
        <is>
          <t>EWP-SOW-2026-929</t>
        </is>
      </c>
      <c r="B7" s="1" t="inlineStr">
        <is>
          <t>Elmsworth Publishing</t>
        </is>
      </c>
      <c r="C7" s="1" t="inlineStr">
        <is>
          <t>Elmsworth Bindery</t>
        </is>
      </c>
      <c r="D7" s="1" t="inlineStr">
        <is>
          <t>M70</t>
        </is>
      </c>
      <c r="E7" s="1" t="inlineStr">
        <is>
          <t>Pilot cell operating at contracted throughput</t>
        </is>
      </c>
      <c r="F7" s="2" t="n">
        <v>46002</v>
      </c>
      <c r="G7" s="2" t="n">
        <v>46003</v>
      </c>
      <c r="H7" s="1">
        <f>IF(G7="","",G7-F7)</f>
        <v/>
      </c>
      <c r="I7" s="1" t="inlineStr">
        <is>
          <t>Training attendance register</t>
        </is>
      </c>
      <c r="J7" s="1" t="inlineStr">
        <is>
          <t>20 percent on pilot</t>
        </is>
      </c>
      <c r="K7" s="1" t="n">
        <v>419417.3</v>
      </c>
      <c r="L7" s="1" t="inlineStr">
        <is>
          <t>Yes</t>
        </is>
      </c>
      <c r="M7" s="1" t="inlineStr">
        <is>
          <t>Complete</t>
        </is>
      </c>
      <c r="N7" s="1" t="inlineStr">
        <is>
          <t>H. Ferrand</t>
        </is>
      </c>
    </row>
    <row r="8">
      <c r="A8" s="1" t="inlineStr">
        <is>
          <t>RWO-SOW-2024-376</t>
        </is>
      </c>
      <c r="B8" s="1" t="inlineStr">
        <is>
          <t>Redwood Optics</t>
        </is>
      </c>
      <c r="C8" s="1" t="inlineStr">
        <is>
          <t>Redwood Clean 3</t>
        </is>
      </c>
      <c r="D8" s="1" t="inlineStr">
        <is>
          <t>M80</t>
        </is>
      </c>
      <c r="E8" s="1" t="inlineStr">
        <is>
          <t>Operator training delivered and signed off</t>
        </is>
      </c>
      <c r="F8" s="2" t="n">
        <v>46035</v>
      </c>
      <c r="G8" s="2" t="n">
        <v>46037</v>
      </c>
      <c r="H8" s="1">
        <f>IF(G8="","",G8-F8)</f>
        <v/>
      </c>
      <c r="I8" s="1" t="inlineStr">
        <is>
          <t>Conditional acceptance letter with open punch list</t>
        </is>
      </c>
      <c r="J8" s="1" t="inlineStr">
        <is>
          <t>None</t>
        </is>
      </c>
      <c r="K8" s="1" t="n">
        <v>0</v>
      </c>
      <c r="L8" s="1" t="inlineStr">
        <is>
          <t>No</t>
        </is>
      </c>
      <c r="M8" s="1" t="inlineStr">
        <is>
          <t>Complete</t>
        </is>
      </c>
      <c r="N8" s="1" t="inlineStr">
        <is>
          <t>F. Lindstrom</t>
        </is>
      </c>
    </row>
    <row r="9">
      <c r="A9" s="1" t="inlineStr">
        <is>
          <t>RWO-SOW-2025-111</t>
        </is>
      </c>
      <c r="B9" s="1" t="inlineStr">
        <is>
          <t>Redwood Optics</t>
        </is>
      </c>
      <c r="C9" s="1" t="inlineStr">
        <is>
          <t>Redwood Clean 3</t>
        </is>
      </c>
      <c r="D9" s="1" t="inlineStr">
        <is>
          <t>M90</t>
        </is>
      </c>
      <c r="E9" s="1" t="inlineStr">
        <is>
          <t>Customer acceptance certificate countersigned</t>
        </is>
      </c>
      <c r="F9" s="2" t="n">
        <v>45741</v>
      </c>
      <c r="G9" s="1" t="inlineStr"/>
      <c r="H9" s="1">
        <f>IF(G9="","",G9-F9)</f>
        <v/>
      </c>
      <c r="I9" s="1" t="inlineStr">
        <is>
          <t>No evidence located; open request with the account team</t>
        </is>
      </c>
      <c r="J9" s="1" t="inlineStr">
        <is>
          <t>20 percent on acceptance</t>
        </is>
      </c>
      <c r="K9" s="1" t="n">
        <v>479275.59</v>
      </c>
      <c r="L9" s="1" t="inlineStr">
        <is>
          <t>No</t>
        </is>
      </c>
      <c r="M9" s="1" t="inlineStr">
        <is>
          <t>Planned</t>
        </is>
      </c>
      <c r="N9" s="1" t="inlineStr">
        <is>
          <t>B. Ng</t>
        </is>
      </c>
    </row>
    <row r="10">
      <c r="A10" s="1" t="inlineStr">
        <is>
          <t>AST-SOW-2025-616</t>
        </is>
      </c>
      <c r="B10" s="1" t="inlineStr">
        <is>
          <t>Asterion Logistics</t>
        </is>
      </c>
      <c r="C10" s="1" t="inlineStr">
        <is>
          <t>Tracy DC</t>
        </is>
      </c>
      <c r="D10" s="1" t="inlineStr">
        <is>
          <t>M95</t>
        </is>
      </c>
      <c r="E10" s="1" t="inlineStr">
        <is>
          <t>Warranty commencement recorded</t>
        </is>
      </c>
      <c r="F10" s="2" t="n">
        <v>46077</v>
      </c>
      <c r="G10" s="2" t="n">
        <v>46094</v>
      </c>
      <c r="H10" s="1">
        <f>IF(G10="","",G10-F10)</f>
        <v/>
      </c>
      <c r="I10" s="1" t="inlineStr">
        <is>
          <t>Integration test report countersigned by customer IT</t>
        </is>
      </c>
      <c r="J10" s="1" t="inlineStr">
        <is>
          <t>None</t>
        </is>
      </c>
      <c r="K10" s="1" t="n">
        <v>0</v>
      </c>
      <c r="L10" s="1" t="inlineStr">
        <is>
          <t>No</t>
        </is>
      </c>
      <c r="M10" s="1" t="inlineStr">
        <is>
          <t>Complete</t>
        </is>
      </c>
      <c r="N10" s="1" t="inlineStr">
        <is>
          <t>S. Vitale</t>
        </is>
      </c>
    </row>
    <row r="11">
      <c r="A11" s="1" t="inlineStr">
        <is>
          <t>UVP-SOW-2026-179</t>
        </is>
      </c>
      <c r="B11" s="1" t="inlineStr">
        <is>
          <t>Union Vale Pharma</t>
        </is>
      </c>
      <c r="C11" s="1" t="inlineStr">
        <is>
          <t>Union Vale Vault</t>
        </is>
      </c>
      <c r="D11" s="1" t="inlineStr">
        <is>
          <t>M10</t>
        </is>
      </c>
      <c r="E11" s="1" t="inlineStr">
        <is>
          <t>Contract signature and order acknowledgement</t>
        </is>
      </c>
      <c r="F11" s="2" t="n">
        <v>46147</v>
      </c>
      <c r="G11" s="2" t="n">
        <v>46150</v>
      </c>
      <c r="H11" s="1">
        <f>IF(G11="","",G11-F11)</f>
        <v/>
      </c>
      <c r="I11" s="1" t="inlineStr">
        <is>
          <t>Integration test report countersigned by customer IT</t>
        </is>
      </c>
      <c r="J11" s="1" t="inlineStr">
        <is>
          <t>20 percent on signature</t>
        </is>
      </c>
      <c r="K11" s="1" t="n">
        <v>249701.27</v>
      </c>
      <c r="L11" s="1" t="inlineStr">
        <is>
          <t>No</t>
        </is>
      </c>
      <c r="M11" s="1" t="inlineStr">
        <is>
          <t>Conditionally accepted</t>
        </is>
      </c>
      <c r="N11" s="1" t="inlineStr">
        <is>
          <t>J. Alvarez</t>
        </is>
      </c>
    </row>
    <row r="12">
      <c r="A12" s="1" t="inlineStr">
        <is>
          <t>DGC-SOW-2026-927</t>
        </is>
      </c>
      <c r="B12" s="1" t="inlineStr">
        <is>
          <t>Dorsey Grain Cooperative</t>
        </is>
      </c>
      <c r="C12" s="1" t="inlineStr">
        <is>
          <t>Dorsey Elevator 2</t>
        </is>
      </c>
      <c r="D12" s="1" t="inlineStr">
        <is>
          <t>M20</t>
        </is>
      </c>
      <c r="E12" s="1" t="inlineStr">
        <is>
          <t>Site survey complete and layout approved</t>
        </is>
      </c>
      <c r="F12" s="2" t="n">
        <v>46206</v>
      </c>
      <c r="G12" s="2" t="n">
        <v>46206</v>
      </c>
      <c r="H12" s="1">
        <f>IF(G12="","",G12-F12)</f>
        <v/>
      </c>
      <c r="I12" s="1" t="inlineStr">
        <is>
          <t>Countersigned acceptance certificate</t>
        </is>
      </c>
      <c r="J12" s="1" t="inlineStr">
        <is>
          <t>None</t>
        </is>
      </c>
      <c r="K12" s="1" t="n">
        <v>0</v>
      </c>
      <c r="L12" s="1" t="inlineStr">
        <is>
          <t>No</t>
        </is>
      </c>
      <c r="M12" s="1" t="inlineStr">
        <is>
          <t>Deferred at customer request</t>
        </is>
      </c>
      <c r="N12" s="1" t="inlineStr">
        <is>
          <t>F. Lindstrom</t>
        </is>
      </c>
    </row>
    <row r="13">
      <c r="A13" s="1" t="inlineStr">
        <is>
          <t>DBI-SOW-2024-403</t>
        </is>
      </c>
      <c r="B13" s="1" t="inlineStr">
        <is>
          <t>Dunbar Industrial</t>
        </is>
      </c>
      <c r="C13" s="1" t="inlineStr">
        <is>
          <t>Dunbar Works</t>
        </is>
      </c>
      <c r="D13" s="1" t="inlineStr">
        <is>
          <t>M30</t>
        </is>
      </c>
      <c r="E13" s="1" t="inlineStr">
        <is>
          <t>Hardware shipped to site</t>
        </is>
      </c>
      <c r="F13" s="2" t="n">
        <v>46016</v>
      </c>
      <c r="G13" s="2" t="n">
        <v>46010</v>
      </c>
      <c r="H13" s="1">
        <f>IF(G13="","",G13-F13)</f>
        <v/>
      </c>
      <c r="I13" s="1" t="inlineStr">
        <is>
          <t>Integration test report countersigned by customer IT</t>
        </is>
      </c>
      <c r="J13" s="1" t="inlineStr">
        <is>
          <t>40 percent on shipment</t>
        </is>
      </c>
      <c r="K13" s="1" t="n">
        <v>145290.08</v>
      </c>
      <c r="L13" s="1" t="inlineStr">
        <is>
          <t>Yes</t>
        </is>
      </c>
      <c r="M13" s="1" t="inlineStr">
        <is>
          <t>Complete</t>
        </is>
      </c>
      <c r="N13" s="1" t="inlineStr">
        <is>
          <t>B. Ng</t>
        </is>
      </c>
    </row>
    <row r="14">
      <c r="A14" s="1" t="inlineStr">
        <is>
          <t>MDY-SOW-2025-103</t>
        </is>
      </c>
      <c r="B14" s="1" t="inlineStr">
        <is>
          <t>Meridian Dynamics</t>
        </is>
      </c>
      <c r="C14" s="1" t="inlineStr">
        <is>
          <t>Meridian Bay 7</t>
        </is>
      </c>
      <c r="D14" s="1" t="inlineStr">
        <is>
          <t>M40</t>
        </is>
      </c>
      <c r="E14" s="1" t="inlineStr">
        <is>
          <t>Mechanical installation complete</t>
        </is>
      </c>
      <c r="F14" s="2" t="n">
        <v>45989</v>
      </c>
      <c r="G14" s="1" t="inlineStr"/>
      <c r="H14" s="1">
        <f>IF(G14="","",G14-F14)</f>
        <v/>
      </c>
      <c r="I14" s="1" t="inlineStr">
        <is>
          <t>No evidence located; open request with the account team</t>
        </is>
      </c>
      <c r="J14" s="1" t="inlineStr">
        <is>
          <t>None</t>
        </is>
      </c>
      <c r="K14" s="1" t="n">
        <v>0</v>
      </c>
      <c r="L14" s="1" t="inlineStr">
        <is>
          <t>No</t>
        </is>
      </c>
      <c r="M14" s="1" t="inlineStr">
        <is>
          <t>Blocked on customer</t>
        </is>
      </c>
      <c r="N14" s="1" t="inlineStr">
        <is>
          <t>B. Ng</t>
        </is>
      </c>
    </row>
    <row r="15">
      <c r="A15" s="1" t="inlineStr">
        <is>
          <t>JHS-SOW-2025-394</t>
        </is>
      </c>
      <c r="B15" s="1" t="inlineStr">
        <is>
          <t>Juniper Health Supply</t>
        </is>
      </c>
      <c r="C15" s="1" t="inlineStr">
        <is>
          <t>Juniper Sterile 1</t>
        </is>
      </c>
      <c r="D15" s="1" t="inlineStr">
        <is>
          <t>M50</t>
        </is>
      </c>
      <c r="E15" s="1" t="inlineStr">
        <is>
          <t>Network and warehouse-system integration complete</t>
        </is>
      </c>
      <c r="F15" s="2" t="n">
        <v>45744</v>
      </c>
      <c r="G15" s="2" t="n">
        <v>45744</v>
      </c>
      <c r="H15" s="1">
        <f>IF(G15="","",G15-F15)</f>
        <v/>
      </c>
      <c r="I15" s="1" t="inlineStr">
        <is>
          <t>Training attendance register</t>
        </is>
      </c>
      <c r="J15" s="1" t="inlineStr">
        <is>
          <t>None</t>
        </is>
      </c>
      <c r="K15" s="1" t="n">
        <v>0</v>
      </c>
      <c r="L15" s="1" t="inlineStr">
        <is>
          <t>No</t>
        </is>
      </c>
      <c r="M15" s="1" t="inlineStr">
        <is>
          <t>Deferred at customer request</t>
        </is>
      </c>
      <c r="N15" s="1" t="inlineStr">
        <is>
          <t>S. Vitale</t>
        </is>
      </c>
    </row>
    <row r="16">
      <c r="A16" s="1" t="inlineStr">
        <is>
          <t>ABT-SOW-2026-211</t>
        </is>
      </c>
      <c r="B16" s="1" t="inlineStr">
        <is>
          <t>Alderbrook Textiles</t>
        </is>
      </c>
      <c r="C16" s="1" t="inlineStr">
        <is>
          <t>Alderbrook Loom 1</t>
        </is>
      </c>
      <c r="D16" s="1" t="inlineStr">
        <is>
          <t>M60</t>
        </is>
      </c>
      <c r="E16" s="1" t="inlineStr">
        <is>
          <t>Safety validation witnessed by customer</t>
        </is>
      </c>
      <c r="F16" s="2" t="n">
        <v>45828</v>
      </c>
      <c r="G16" s="2" t="n">
        <v>45833</v>
      </c>
      <c r="H16" s="1">
        <f>IF(G16="","",G16-F16)</f>
        <v/>
      </c>
      <c r="I16" s="1" t="inlineStr">
        <is>
          <t>Site sign-off form with throughput log attached</t>
        </is>
      </c>
      <c r="J16" s="1" t="inlineStr">
        <is>
          <t>None</t>
        </is>
      </c>
      <c r="K16" s="1" t="n">
        <v>0</v>
      </c>
      <c r="L16" s="1" t="inlineStr">
        <is>
          <t>No</t>
        </is>
      </c>
      <c r="M16" s="1" t="inlineStr">
        <is>
          <t>Conditionally accepted</t>
        </is>
      </c>
      <c r="N16" s="1" t="inlineStr">
        <is>
          <t>H. Ferrand</t>
        </is>
      </c>
    </row>
    <row r="17">
      <c r="A17" s="1" t="inlineStr">
        <is>
          <t>RWO-SOW-2026-976</t>
        </is>
      </c>
      <c r="B17" s="1" t="inlineStr">
        <is>
          <t>Redwood Optics</t>
        </is>
      </c>
      <c r="C17" s="1" t="inlineStr">
        <is>
          <t>Redwood Clean 3</t>
        </is>
      </c>
      <c r="D17" s="1" t="inlineStr">
        <is>
          <t>M70</t>
        </is>
      </c>
      <c r="E17" s="1" t="inlineStr">
        <is>
          <t>Pilot cell operating at contracted throughput</t>
        </is>
      </c>
      <c r="F17" s="2" t="n">
        <v>45699</v>
      </c>
      <c r="G17" s="2" t="n">
        <v>45698</v>
      </c>
      <c r="H17" s="1">
        <f>IF(G17="","",G17-F17)</f>
        <v/>
      </c>
      <c r="I17" s="1" t="inlineStr">
        <is>
          <t>Countersigned acceptance certificate</t>
        </is>
      </c>
      <c r="J17" s="1" t="inlineStr">
        <is>
          <t>20 percent on pilot</t>
        </is>
      </c>
      <c r="K17" s="1" t="n">
        <v>220206.76</v>
      </c>
      <c r="L17" s="1" t="inlineStr">
        <is>
          <t>Yes</t>
        </is>
      </c>
      <c r="M17" s="1" t="inlineStr">
        <is>
          <t>Complete</t>
        </is>
      </c>
      <c r="N17" s="1" t="inlineStr">
        <is>
          <t>S. Vitale</t>
        </is>
      </c>
    </row>
    <row r="18">
      <c r="A18" s="1" t="inlineStr">
        <is>
          <t>HLS-SOW-2024-617</t>
        </is>
      </c>
      <c r="B18" s="1" t="inlineStr">
        <is>
          <t>Harborline Systems</t>
        </is>
      </c>
      <c r="C18" s="1" t="inlineStr">
        <is>
          <t>Harborline Pier 9</t>
        </is>
      </c>
      <c r="D18" s="1" t="inlineStr">
        <is>
          <t>M80</t>
        </is>
      </c>
      <c r="E18" s="1" t="inlineStr">
        <is>
          <t>Operator training delivered and signed off</t>
        </is>
      </c>
      <c r="F18" s="2" t="n">
        <v>46115</v>
      </c>
      <c r="G18" s="2" t="n">
        <v>46115</v>
      </c>
      <c r="H18" s="1">
        <f>IF(G18="","",G18-F18)</f>
        <v/>
      </c>
      <c r="I18" s="1" t="inlineStr">
        <is>
          <t>Countersigned acceptance certificate</t>
        </is>
      </c>
      <c r="J18" s="1" t="inlineStr">
        <is>
          <t>None</t>
        </is>
      </c>
      <c r="K18" s="1" t="n">
        <v>0</v>
      </c>
      <c r="L18" s="1" t="inlineStr">
        <is>
          <t>No</t>
        </is>
      </c>
      <c r="M18" s="1" t="inlineStr">
        <is>
          <t>Complete</t>
        </is>
      </c>
      <c r="N18" s="1" t="inlineStr">
        <is>
          <t>S. Vitale</t>
        </is>
      </c>
    </row>
    <row r="19">
      <c r="A19" s="1" t="inlineStr">
        <is>
          <t>UVP-SOW-2025-515</t>
        </is>
      </c>
      <c r="B19" s="1" t="inlineStr">
        <is>
          <t>Union Vale Pharma</t>
        </is>
      </c>
      <c r="C19" s="1" t="inlineStr">
        <is>
          <t>Union Vale Vault</t>
        </is>
      </c>
      <c r="D19" s="1" t="inlineStr">
        <is>
          <t>M90</t>
        </is>
      </c>
      <c r="E19" s="1" t="inlineStr">
        <is>
          <t>Customer acceptance certificate countersigned</t>
        </is>
      </c>
      <c r="F19" s="2" t="n">
        <v>46136</v>
      </c>
      <c r="G19" s="2" t="n">
        <v>46143</v>
      </c>
      <c r="H19" s="1">
        <f>IF(G19="","",G19-F19)</f>
        <v/>
      </c>
      <c r="I19" s="1" t="inlineStr">
        <is>
          <t>Customer email confirmation retained in the deployment file</t>
        </is>
      </c>
      <c r="J19" s="1" t="inlineStr">
        <is>
          <t>20 percent on acceptance</t>
        </is>
      </c>
      <c r="K19" s="1" t="n">
        <v>450313.13</v>
      </c>
      <c r="L19" s="1" t="inlineStr">
        <is>
          <t>No</t>
        </is>
      </c>
      <c r="M19" s="1" t="inlineStr">
        <is>
          <t>Conditionally accepted</t>
        </is>
      </c>
      <c r="N19" s="1" t="inlineStr">
        <is>
          <t>B. Ng</t>
        </is>
      </c>
    </row>
    <row r="20">
      <c r="A20" s="1" t="inlineStr">
        <is>
          <t>DGC-SOW-2024-578</t>
        </is>
      </c>
      <c r="B20" s="1" t="inlineStr">
        <is>
          <t>Dorsey Grain Cooperative</t>
        </is>
      </c>
      <c r="C20" s="1" t="inlineStr">
        <is>
          <t>Dorsey Elevator 2</t>
        </is>
      </c>
      <c r="D20" s="1" t="inlineStr">
        <is>
          <t>M95</t>
        </is>
      </c>
      <c r="E20" s="1" t="inlineStr">
        <is>
          <t>Warranty commencement recorded</t>
        </is>
      </c>
      <c r="F20" s="2" t="n">
        <v>45989</v>
      </c>
      <c r="G20" s="2" t="n">
        <v>45989</v>
      </c>
      <c r="H20" s="1">
        <f>IF(G20="","",G20-F20)</f>
        <v/>
      </c>
      <c r="I20" s="1" t="inlineStr">
        <is>
          <t>Training attendance register</t>
        </is>
      </c>
      <c r="J20" s="1" t="inlineStr">
        <is>
          <t>None</t>
        </is>
      </c>
      <c r="K20" s="1" t="n">
        <v>0</v>
      </c>
      <c r="L20" s="1" t="inlineStr">
        <is>
          <t>No</t>
        </is>
      </c>
      <c r="M20" s="1" t="inlineStr">
        <is>
          <t>Deferred at customer request</t>
        </is>
      </c>
      <c r="N20" s="1" t="inlineStr">
        <is>
          <t>J. Alvarez</t>
        </is>
      </c>
    </row>
    <row r="21">
      <c r="A21" s="1" t="inlineStr">
        <is>
          <t>BMC-SOW-2024-284</t>
        </is>
      </c>
      <c r="B21" s="1" t="inlineStr">
        <is>
          <t>Blue Mesa Components</t>
        </is>
      </c>
      <c r="C21" s="1" t="inlineStr">
        <is>
          <t>Mesa Plant 2</t>
        </is>
      </c>
      <c r="D21" s="1" t="inlineStr">
        <is>
          <t>M10</t>
        </is>
      </c>
      <c r="E21" s="1" t="inlineStr">
        <is>
          <t>Contract signature and order acknowledgement</t>
        </is>
      </c>
      <c r="F21" s="2" t="n">
        <v>45937</v>
      </c>
      <c r="G21" s="2" t="n">
        <v>45971</v>
      </c>
      <c r="H21" s="1">
        <f>IF(G21="","",G21-F21)</f>
        <v/>
      </c>
      <c r="I21" s="1" t="inlineStr">
        <is>
          <t>Witnessed safety validation report</t>
        </is>
      </c>
      <c r="J21" s="1" t="inlineStr">
        <is>
          <t>20 percent on signature</t>
        </is>
      </c>
      <c r="K21" s="1" t="n">
        <v>318316.9</v>
      </c>
      <c r="L21" s="1" t="inlineStr">
        <is>
          <t>Yes</t>
        </is>
      </c>
      <c r="M21" s="1" t="inlineStr">
        <is>
          <t>Complete</t>
        </is>
      </c>
      <c r="N21" s="1" t="inlineStr">
        <is>
          <t>H. Ferrand</t>
        </is>
      </c>
    </row>
    <row r="22">
      <c r="A22" s="1" t="inlineStr">
        <is>
          <t>RWO-SOW-2024-635</t>
        </is>
      </c>
      <c r="B22" s="1" t="inlineStr">
        <is>
          <t>Redwood Optics</t>
        </is>
      </c>
      <c r="C22" s="1" t="inlineStr">
        <is>
          <t>Redwood Clean 3</t>
        </is>
      </c>
      <c r="D22" s="1" t="inlineStr">
        <is>
          <t>M20</t>
        </is>
      </c>
      <c r="E22" s="1" t="inlineStr">
        <is>
          <t>Site survey complete and layout approved</t>
        </is>
      </c>
      <c r="F22" s="2" t="n">
        <v>46185</v>
      </c>
      <c r="G22" s="2" t="n">
        <v>46185</v>
      </c>
      <c r="H22" s="1">
        <f>IF(G22="","",G22-F22)</f>
        <v/>
      </c>
      <c r="I22" s="1" t="inlineStr">
        <is>
          <t>Customer email confirmation retained in the deployment file</t>
        </is>
      </c>
      <c r="J22" s="1" t="inlineStr">
        <is>
          <t>None</t>
        </is>
      </c>
      <c r="K22" s="1" t="n">
        <v>0</v>
      </c>
      <c r="L22" s="1" t="inlineStr">
        <is>
          <t>No</t>
        </is>
      </c>
      <c r="M22" s="1" t="inlineStr">
        <is>
          <t>Complete</t>
        </is>
      </c>
      <c r="N22" s="1" t="inlineStr">
        <is>
          <t>F. Lindstrom</t>
        </is>
      </c>
    </row>
    <row r="23">
      <c r="A23" s="1" t="inlineStr">
        <is>
          <t>NFB-SOW-2024-790</t>
        </is>
      </c>
      <c r="B23" s="1" t="inlineStr">
        <is>
          <t>Northfield Beverage</t>
        </is>
      </c>
      <c r="C23" s="1" t="inlineStr">
        <is>
          <t>Northfield Line 5</t>
        </is>
      </c>
      <c r="D23" s="1" t="inlineStr">
        <is>
          <t>M30</t>
        </is>
      </c>
      <c r="E23" s="1" t="inlineStr">
        <is>
          <t>Hardware shipped to site</t>
        </is>
      </c>
      <c r="F23" s="2" t="n">
        <v>46107</v>
      </c>
      <c r="G23" s="2" t="n">
        <v>46101</v>
      </c>
      <c r="H23" s="1">
        <f>IF(G23="","",G23-F23)</f>
        <v/>
      </c>
      <c r="I23" s="1" t="inlineStr">
        <is>
          <t>Customer email confirmation retained in the deployment file</t>
        </is>
      </c>
      <c r="J23" s="1" t="inlineStr">
        <is>
          <t>40 percent on shipment</t>
        </is>
      </c>
      <c r="K23" s="1" t="n">
        <v>205933.38</v>
      </c>
      <c r="L23" s="1" t="inlineStr">
        <is>
          <t>Yes</t>
        </is>
      </c>
      <c r="M23" s="1" t="inlineStr">
        <is>
          <t>Complete</t>
        </is>
      </c>
      <c r="N23" s="1" t="inlineStr">
        <is>
          <t>J. Alvarez</t>
        </is>
      </c>
    </row>
    <row r="24">
      <c r="A24" s="1" t="inlineStr">
        <is>
          <t>NFB-SOW-2026-688</t>
        </is>
      </c>
      <c r="B24" s="1" t="inlineStr">
        <is>
          <t>Northfield Beverage</t>
        </is>
      </c>
      <c r="C24" s="1" t="inlineStr">
        <is>
          <t>Northfield Line 5</t>
        </is>
      </c>
      <c r="D24" s="1" t="inlineStr">
        <is>
          <t>M40</t>
        </is>
      </c>
      <c r="E24" s="1" t="inlineStr">
        <is>
          <t>Mechanical installation complete</t>
        </is>
      </c>
      <c r="F24" s="2" t="n">
        <v>45897</v>
      </c>
      <c r="G24" s="2" t="n">
        <v>45902</v>
      </c>
      <c r="H24" s="1">
        <f>IF(G24="","",G24-F24)</f>
        <v/>
      </c>
      <c r="I24" s="1" t="inlineStr">
        <is>
          <t>Integration test report countersigned by customer IT</t>
        </is>
      </c>
      <c r="J24" s="1" t="inlineStr">
        <is>
          <t>None</t>
        </is>
      </c>
      <c r="K24" s="1" t="n">
        <v>0</v>
      </c>
      <c r="L24" s="1" t="inlineStr">
        <is>
          <t>No</t>
        </is>
      </c>
      <c r="M24" s="1" t="inlineStr">
        <is>
          <t>Deferred at customer request</t>
        </is>
      </c>
      <c r="N24" s="1" t="inlineStr">
        <is>
          <t>J. Alvarez</t>
        </is>
      </c>
    </row>
    <row r="25">
      <c r="A25" s="1" t="inlineStr">
        <is>
          <t>OGF-SOW-2024-571</t>
        </is>
      </c>
      <c r="B25" s="1" t="inlineStr">
        <is>
          <t>Orchard Grove Foods</t>
        </is>
      </c>
      <c r="C25" s="1" t="inlineStr">
        <is>
          <t>Orchard Cold 2</t>
        </is>
      </c>
      <c r="D25" s="1" t="inlineStr">
        <is>
          <t>M50</t>
        </is>
      </c>
      <c r="E25" s="1" t="inlineStr">
        <is>
          <t>Network and warehouse-system integration complete</t>
        </is>
      </c>
      <c r="F25" s="2" t="n">
        <v>46157</v>
      </c>
      <c r="G25" s="2" t="n">
        <v>46164</v>
      </c>
      <c r="H25" s="1">
        <f>IF(G25="","",G25-F25)</f>
        <v/>
      </c>
      <c r="I25" s="1" t="inlineStr">
        <is>
          <t>Training attendance register</t>
        </is>
      </c>
      <c r="J25" s="1" t="inlineStr">
        <is>
          <t>None</t>
        </is>
      </c>
      <c r="K25" s="1" t="n">
        <v>0</v>
      </c>
      <c r="L25" s="1" t="inlineStr">
        <is>
          <t>No</t>
        </is>
      </c>
      <c r="M25" s="1" t="inlineStr">
        <is>
          <t>Conditionally accepted</t>
        </is>
      </c>
      <c r="N25" s="1" t="inlineStr">
        <is>
          <t>B. Ng</t>
        </is>
      </c>
    </row>
    <row r="26">
      <c r="A26" s="1" t="inlineStr">
        <is>
          <t>OGF-SOW-2026-711</t>
        </is>
      </c>
      <c r="B26" s="1" t="inlineStr">
        <is>
          <t>Orchard Grove Foods</t>
        </is>
      </c>
      <c r="C26" s="1" t="inlineStr">
        <is>
          <t>Orchard Cold 2</t>
        </is>
      </c>
      <c r="D26" s="1" t="inlineStr">
        <is>
          <t>M60</t>
        </is>
      </c>
      <c r="E26" s="1" t="inlineStr">
        <is>
          <t>Safety validation witnessed by customer</t>
        </is>
      </c>
      <c r="F26" s="2" t="n">
        <v>45838</v>
      </c>
      <c r="G26" s="2" t="n">
        <v>45838</v>
      </c>
      <c r="H26" s="1">
        <f>IF(G26="","",G26-F26)</f>
        <v/>
      </c>
      <c r="I26" s="1" t="inlineStr">
        <is>
          <t>Witnessed safety validation report</t>
        </is>
      </c>
      <c r="J26" s="1" t="inlineStr">
        <is>
          <t>None</t>
        </is>
      </c>
      <c r="K26" s="1" t="n">
        <v>0</v>
      </c>
      <c r="L26" s="1" t="inlineStr">
        <is>
          <t>No</t>
        </is>
      </c>
      <c r="M26" s="1" t="inlineStr">
        <is>
          <t>Complete</t>
        </is>
      </c>
      <c r="N26" s="1" t="inlineStr">
        <is>
          <t>H. Ferrand</t>
        </is>
      </c>
    </row>
    <row r="27">
      <c r="A27" s="1" t="inlineStr">
        <is>
          <t>QBM-SOW-2026-200</t>
        </is>
      </c>
      <c r="B27" s="1" t="inlineStr">
        <is>
          <t>Quarrybridge Materials</t>
        </is>
      </c>
      <c r="C27" s="1" t="inlineStr">
        <is>
          <t>Quarrybridge Site 1</t>
        </is>
      </c>
      <c r="D27" s="1" t="inlineStr">
        <is>
          <t>M70</t>
        </is>
      </c>
      <c r="E27" s="1" t="inlineStr">
        <is>
          <t>Pilot cell operating at contracted throughput</t>
        </is>
      </c>
      <c r="F27" s="2" t="n">
        <v>45790</v>
      </c>
      <c r="G27" s="1" t="inlineStr"/>
      <c r="H27" s="1">
        <f>IF(G27="","",G27-F27)</f>
        <v/>
      </c>
      <c r="I27" s="1" t="inlineStr">
        <is>
          <t>No evidence located; open request with the account team</t>
        </is>
      </c>
      <c r="J27" s="1" t="inlineStr">
        <is>
          <t>20 percent on pilot</t>
        </is>
      </c>
      <c r="K27" s="1" t="n">
        <v>448056.99</v>
      </c>
      <c r="L27" s="1" t="inlineStr">
        <is>
          <t>No</t>
        </is>
      </c>
      <c r="M27" s="1" t="inlineStr">
        <is>
          <t>In progress</t>
        </is>
      </c>
      <c r="N27" s="1" t="inlineStr">
        <is>
          <t>H. Ferrand</t>
        </is>
      </c>
    </row>
    <row r="28">
      <c r="A28" s="1" t="inlineStr">
        <is>
          <t>OGF-SOW-2025-902</t>
        </is>
      </c>
      <c r="B28" s="1" t="inlineStr">
        <is>
          <t>Orchard Grove Foods</t>
        </is>
      </c>
      <c r="C28" s="1" t="inlineStr">
        <is>
          <t>Orchard Cold 2</t>
        </is>
      </c>
      <c r="D28" s="1" t="inlineStr">
        <is>
          <t>M80</t>
        </is>
      </c>
      <c r="E28" s="1" t="inlineStr">
        <is>
          <t>Operator training delivered and signed off</t>
        </is>
      </c>
      <c r="F28" s="2" t="n">
        <v>46122</v>
      </c>
      <c r="G28" s="2" t="n">
        <v>46140</v>
      </c>
      <c r="H28" s="1">
        <f>IF(G28="","",G28-F28)</f>
        <v/>
      </c>
      <c r="I28" s="1" t="inlineStr">
        <is>
          <t>Site sign-off form with throughput log attached</t>
        </is>
      </c>
      <c r="J28" s="1" t="inlineStr">
        <is>
          <t>None</t>
        </is>
      </c>
      <c r="K28" s="1" t="n">
        <v>0</v>
      </c>
      <c r="L28" s="1" t="inlineStr">
        <is>
          <t>No</t>
        </is>
      </c>
      <c r="M28" s="1" t="inlineStr">
        <is>
          <t>Complete</t>
        </is>
      </c>
      <c r="N28" s="1" t="inlineStr">
        <is>
          <t>H. Ferrand</t>
        </is>
      </c>
    </row>
    <row r="29">
      <c r="A29" s="1" t="inlineStr">
        <is>
          <t>SRR-SOW-2025-528</t>
        </is>
      </c>
      <c r="B29" s="1" t="inlineStr">
        <is>
          <t>Summit Ridge Retail</t>
        </is>
      </c>
      <c r="C29" s="1" t="inlineStr">
        <is>
          <t>Summit RDC</t>
        </is>
      </c>
      <c r="D29" s="1" t="inlineStr">
        <is>
          <t>M90</t>
        </is>
      </c>
      <c r="E29" s="1" t="inlineStr">
        <is>
          <t>Customer acceptance certificate countersigned</t>
        </is>
      </c>
      <c r="F29" s="2" t="n">
        <v>45821</v>
      </c>
      <c r="G29" s="1" t="inlineStr"/>
      <c r="H29" s="1">
        <f>IF(G29="","",G29-F29)</f>
        <v/>
      </c>
      <c r="I29" s="1" t="inlineStr">
        <is>
          <t>No evidence located; open request with the account team</t>
        </is>
      </c>
      <c r="J29" s="1" t="inlineStr">
        <is>
          <t>20 percent on acceptance</t>
        </is>
      </c>
      <c r="K29" s="1" t="n">
        <v>62595.28</v>
      </c>
      <c r="L29" s="1" t="inlineStr">
        <is>
          <t>No</t>
        </is>
      </c>
      <c r="M29" s="1" t="inlineStr">
        <is>
          <t>Planned</t>
        </is>
      </c>
      <c r="N29" s="1" t="inlineStr">
        <is>
          <t>F. Lindstrom</t>
        </is>
      </c>
    </row>
    <row r="30">
      <c r="A30" s="1" t="inlineStr">
        <is>
          <t>JHS-SOW-2026-794</t>
        </is>
      </c>
      <c r="B30" s="1" t="inlineStr">
        <is>
          <t>Juniper Health Supply</t>
        </is>
      </c>
      <c r="C30" s="1" t="inlineStr">
        <is>
          <t>Juniper Sterile 1</t>
        </is>
      </c>
      <c r="D30" s="1" t="inlineStr">
        <is>
          <t>M95</t>
        </is>
      </c>
      <c r="E30" s="1" t="inlineStr">
        <is>
          <t>Warranty commencement recorded</t>
        </is>
      </c>
      <c r="F30" s="2" t="n">
        <v>45845</v>
      </c>
      <c r="G30" s="1" t="inlineStr"/>
      <c r="H30" s="1">
        <f>IF(G30="","",G30-F30)</f>
        <v/>
      </c>
      <c r="I30" s="1" t="inlineStr">
        <is>
          <t>No evidence located; open request with the account team</t>
        </is>
      </c>
      <c r="J30" s="1" t="inlineStr">
        <is>
          <t>None</t>
        </is>
      </c>
      <c r="K30" s="1" t="n">
        <v>0</v>
      </c>
      <c r="L30" s="1" t="inlineStr">
        <is>
          <t>No</t>
        </is>
      </c>
      <c r="M30" s="1" t="inlineStr">
        <is>
          <t>Planned</t>
        </is>
      </c>
      <c r="N30" s="1" t="inlineStr">
        <is>
          <t>H. Ferrand</t>
        </is>
      </c>
    </row>
    <row r="31">
      <c r="A31" s="1" t="inlineStr">
        <is>
          <t>WCD-SOW-2025-419</t>
        </is>
      </c>
      <c r="B31" s="1" t="inlineStr">
        <is>
          <t>Westlake Chemical Depot</t>
        </is>
      </c>
      <c r="C31" s="1" t="inlineStr">
        <is>
          <t>Westlake Tank 6</t>
        </is>
      </c>
      <c r="D31" s="1" t="inlineStr">
        <is>
          <t>M10</t>
        </is>
      </c>
      <c r="E31" s="1" t="inlineStr">
        <is>
          <t>Contract signature and order acknowledgement</t>
        </is>
      </c>
      <c r="F31" s="2" t="n">
        <v>45979</v>
      </c>
      <c r="G31" s="1" t="inlineStr"/>
      <c r="H31" s="1">
        <f>IF(G31="","",G31-F31)</f>
        <v/>
      </c>
      <c r="I31" s="1" t="inlineStr">
        <is>
          <t>No evidence located; open request with the account team</t>
        </is>
      </c>
      <c r="J31" s="1" t="inlineStr">
        <is>
          <t>20 percent on signature</t>
        </is>
      </c>
      <c r="K31" s="1" t="n">
        <v>88516.41</v>
      </c>
      <c r="L31" s="1" t="inlineStr">
        <is>
          <t>No</t>
        </is>
      </c>
      <c r="M31" s="1" t="inlineStr">
        <is>
          <t>Blocked on customer</t>
        </is>
      </c>
      <c r="N31" s="1" t="inlineStr">
        <is>
          <t>H. Ferrand</t>
        </is>
      </c>
    </row>
    <row r="32">
      <c r="A32" s="1" t="inlineStr">
        <is>
          <t>BMC-SOW-2026-196</t>
        </is>
      </c>
      <c r="B32" s="1" t="inlineStr">
        <is>
          <t>Blue Mesa Components</t>
        </is>
      </c>
      <c r="C32" s="1" t="inlineStr">
        <is>
          <t>Mesa Plant 2</t>
        </is>
      </c>
      <c r="D32" s="1" t="inlineStr">
        <is>
          <t>M20</t>
        </is>
      </c>
      <c r="E32" s="1" t="inlineStr">
        <is>
          <t>Site survey complete and layout approved</t>
        </is>
      </c>
      <c r="F32" s="2" t="n">
        <v>45856</v>
      </c>
      <c r="G32" s="1" t="inlineStr"/>
      <c r="H32" s="1">
        <f>IF(G32="","",G32-F32)</f>
        <v/>
      </c>
      <c r="I32" s="1" t="inlineStr">
        <is>
          <t>No evidence located; open request with the account team</t>
        </is>
      </c>
      <c r="J32" s="1" t="inlineStr">
        <is>
          <t>None</t>
        </is>
      </c>
      <c r="K32" s="1" t="n">
        <v>0</v>
      </c>
      <c r="L32" s="1" t="inlineStr">
        <is>
          <t>No</t>
        </is>
      </c>
      <c r="M32" s="1" t="inlineStr">
        <is>
          <t>Blocked on customer</t>
        </is>
      </c>
      <c r="N32" s="1" t="inlineStr">
        <is>
          <t>J. Alvarez</t>
        </is>
      </c>
    </row>
    <row r="33">
      <c r="A33" s="1" t="inlineStr">
        <is>
          <t>ABT-SOW-2026-748</t>
        </is>
      </c>
      <c r="B33" s="1" t="inlineStr">
        <is>
          <t>Alderbrook Textiles</t>
        </is>
      </c>
      <c r="C33" s="1" t="inlineStr">
        <is>
          <t>Alderbrook Loom 1</t>
        </is>
      </c>
      <c r="D33" s="1" t="inlineStr">
        <is>
          <t>M30</t>
        </is>
      </c>
      <c r="E33" s="1" t="inlineStr">
        <is>
          <t>Hardware shipped to site</t>
        </is>
      </c>
      <c r="F33" s="2" t="n">
        <v>45763</v>
      </c>
      <c r="G33" s="2" t="n">
        <v>45763</v>
      </c>
      <c r="H33" s="1">
        <f>IF(G33="","",G33-F33)</f>
        <v/>
      </c>
      <c r="I33" s="1" t="inlineStr">
        <is>
          <t>Customer email confirmation retained in the deployment file</t>
        </is>
      </c>
      <c r="J33" s="1" t="inlineStr">
        <is>
          <t>40 percent on shipment</t>
        </is>
      </c>
      <c r="K33" s="1" t="n">
        <v>66494.5</v>
      </c>
      <c r="L33" s="1" t="inlineStr">
        <is>
          <t>Yes</t>
        </is>
      </c>
      <c r="M33" s="1" t="inlineStr">
        <is>
          <t>Complete</t>
        </is>
      </c>
      <c r="N33" s="1" t="inlineStr">
        <is>
          <t>F. Lindstrom</t>
        </is>
      </c>
    </row>
    <row r="34">
      <c r="A34" s="1" t="inlineStr">
        <is>
          <t>AST-SOW-2026-170</t>
        </is>
      </c>
      <c r="B34" s="1" t="inlineStr">
        <is>
          <t>Asterion Logistics</t>
        </is>
      </c>
      <c r="C34" s="1" t="inlineStr">
        <is>
          <t>Tracy DC</t>
        </is>
      </c>
      <c r="D34" s="1" t="inlineStr">
        <is>
          <t>M40</t>
        </is>
      </c>
      <c r="E34" s="1" t="inlineStr">
        <is>
          <t>Mechanical installation complete</t>
        </is>
      </c>
      <c r="F34" s="2" t="n">
        <v>45884</v>
      </c>
      <c r="G34" s="2" t="n">
        <v>45891</v>
      </c>
      <c r="H34" s="1">
        <f>IF(G34="","",G34-F34)</f>
        <v/>
      </c>
      <c r="I34" s="1" t="inlineStr">
        <is>
          <t>Witnessed safety validation report</t>
        </is>
      </c>
      <c r="J34" s="1" t="inlineStr">
        <is>
          <t>None</t>
        </is>
      </c>
      <c r="K34" s="1" t="n">
        <v>0</v>
      </c>
      <c r="L34" s="1" t="inlineStr">
        <is>
          <t>No</t>
        </is>
      </c>
      <c r="M34" s="1" t="inlineStr">
        <is>
          <t>Deferred at customer request</t>
        </is>
      </c>
      <c r="N34" s="1" t="inlineStr">
        <is>
          <t>B. Ng</t>
        </is>
      </c>
    </row>
    <row r="35">
      <c r="A35" s="1" t="inlineStr">
        <is>
          <t>PFU-SOW-2026-598</t>
        </is>
      </c>
      <c r="B35" s="1" t="inlineStr">
        <is>
          <t>Pioneer Freight Union</t>
        </is>
      </c>
      <c r="C35" s="1" t="inlineStr">
        <is>
          <t>Pioneer Hub</t>
        </is>
      </c>
      <c r="D35" s="1" t="inlineStr">
        <is>
          <t>M50</t>
        </is>
      </c>
      <c r="E35" s="1" t="inlineStr">
        <is>
          <t>Network and warehouse-system integration complete</t>
        </is>
      </c>
      <c r="F35" s="2" t="n">
        <v>46091</v>
      </c>
      <c r="G35" s="1" t="inlineStr"/>
      <c r="H35" s="1">
        <f>IF(G35="","",G35-F35)</f>
        <v/>
      </c>
      <c r="I35" s="1" t="inlineStr">
        <is>
          <t>No evidence located; open request with the account team</t>
        </is>
      </c>
      <c r="J35" s="1" t="inlineStr">
        <is>
          <t>None</t>
        </is>
      </c>
      <c r="K35" s="1" t="n">
        <v>0</v>
      </c>
      <c r="L35" s="1" t="inlineStr">
        <is>
          <t>No</t>
        </is>
      </c>
      <c r="M35" s="1" t="inlineStr">
        <is>
          <t>In progress</t>
        </is>
      </c>
      <c r="N35" s="1" t="inlineStr">
        <is>
          <t>S. Vitale</t>
        </is>
      </c>
    </row>
    <row r="36">
      <c r="A36" s="1" t="inlineStr">
        <is>
          <t>GPD-SOW-2026-698</t>
        </is>
      </c>
      <c r="B36" s="1" t="inlineStr">
        <is>
          <t>Granite Peak Distribution</t>
        </is>
      </c>
      <c r="C36" s="1" t="inlineStr">
        <is>
          <t>Granite Yard</t>
        </is>
      </c>
      <c r="D36" s="1" t="inlineStr">
        <is>
          <t>M60</t>
        </is>
      </c>
      <c r="E36" s="1" t="inlineStr">
        <is>
          <t>Safety validation witnessed by customer</t>
        </is>
      </c>
      <c r="F36" s="2" t="n">
        <v>45695</v>
      </c>
      <c r="G36" s="2" t="n">
        <v>45713</v>
      </c>
      <c r="H36" s="1">
        <f>IF(G36="","",G36-F36)</f>
        <v/>
      </c>
      <c r="I36" s="1" t="inlineStr">
        <is>
          <t>Training attendance register</t>
        </is>
      </c>
      <c r="J36" s="1" t="inlineStr">
        <is>
          <t>None</t>
        </is>
      </c>
      <c r="K36" s="1" t="n">
        <v>0</v>
      </c>
      <c r="L36" s="1" t="inlineStr">
        <is>
          <t>No</t>
        </is>
      </c>
      <c r="M36" s="1" t="inlineStr">
        <is>
          <t>Complete</t>
        </is>
      </c>
      <c r="N36" s="1" t="inlineStr">
        <is>
          <t>F. Lindstrom</t>
        </is>
      </c>
    </row>
    <row r="37">
      <c r="A37" s="1" t="inlineStr">
        <is>
          <t>OGF-SOW-2025-672</t>
        </is>
      </c>
      <c r="B37" s="1" t="inlineStr">
        <is>
          <t>Orchard Grove Foods</t>
        </is>
      </c>
      <c r="C37" s="1" t="inlineStr">
        <is>
          <t>Orchard Cold 2</t>
        </is>
      </c>
      <c r="D37" s="1" t="inlineStr">
        <is>
          <t>M70</t>
        </is>
      </c>
      <c r="E37" s="1" t="inlineStr">
        <is>
          <t>Pilot cell operating at contracted throughput</t>
        </is>
      </c>
      <c r="F37" s="2" t="n">
        <v>46094</v>
      </c>
      <c r="G37" s="1" t="inlineStr"/>
      <c r="H37" s="1">
        <f>IF(G37="","",G37-F37)</f>
        <v/>
      </c>
      <c r="I37" s="1" t="inlineStr">
        <is>
          <t>No evidence located; open request with the account team</t>
        </is>
      </c>
      <c r="J37" s="1" t="inlineStr">
        <is>
          <t>20 percent on pilot</t>
        </is>
      </c>
      <c r="K37" s="1" t="n">
        <v>458067.42</v>
      </c>
      <c r="L37" s="1" t="inlineStr">
        <is>
          <t>No</t>
        </is>
      </c>
      <c r="M37" s="1" t="inlineStr">
        <is>
          <t>In progress</t>
        </is>
      </c>
      <c r="N37" s="1" t="inlineStr">
        <is>
          <t>B. Ng</t>
        </is>
      </c>
    </row>
    <row r="38">
      <c r="A38" s="1" t="inlineStr">
        <is>
          <t>ZAC-SOW-2024-258</t>
        </is>
      </c>
      <c r="B38" s="1" t="inlineStr">
        <is>
          <t>Zephyr Air Cargo</t>
        </is>
      </c>
      <c r="C38" s="1" t="inlineStr">
        <is>
          <t>Zephyr Ramp 2</t>
        </is>
      </c>
      <c r="D38" s="1" t="inlineStr">
        <is>
          <t>M80</t>
        </is>
      </c>
      <c r="E38" s="1" t="inlineStr">
        <is>
          <t>Operator training delivered and signed off</t>
        </is>
      </c>
      <c r="F38" s="2" t="n">
        <v>45729</v>
      </c>
      <c r="G38" s="2" t="n">
        <v>45728</v>
      </c>
      <c r="H38" s="1">
        <f>IF(G38="","",G38-F38)</f>
        <v/>
      </c>
      <c r="I38" s="1" t="inlineStr">
        <is>
          <t>Site sign-off form with throughput log attached</t>
        </is>
      </c>
      <c r="J38" s="1" t="inlineStr">
        <is>
          <t>None</t>
        </is>
      </c>
      <c r="K38" s="1" t="n">
        <v>0</v>
      </c>
      <c r="L38" s="1" t="inlineStr">
        <is>
          <t>No</t>
        </is>
      </c>
      <c r="M38" s="1" t="inlineStr">
        <is>
          <t>Conditionally accepted</t>
        </is>
      </c>
      <c r="N38" s="1" t="inlineStr">
        <is>
          <t>F. Lindstrom</t>
        </is>
      </c>
    </row>
    <row r="39">
      <c r="A39" s="1" t="inlineStr">
        <is>
          <t>FTM-SOW-2025-625</t>
        </is>
      </c>
      <c r="B39" s="1" t="inlineStr">
        <is>
          <t>Fathom Mobility</t>
        </is>
      </c>
      <c r="C39" s="1" t="inlineStr">
        <is>
          <t>Fathom Line A</t>
        </is>
      </c>
      <c r="D39" s="1" t="inlineStr">
        <is>
          <t>M90</t>
        </is>
      </c>
      <c r="E39" s="1" t="inlineStr">
        <is>
          <t>Customer acceptance certificate countersigned</t>
        </is>
      </c>
      <c r="F39" s="2" t="n">
        <v>46142</v>
      </c>
      <c r="G39" s="2" t="n">
        <v>46141</v>
      </c>
      <c r="H39" s="1">
        <f>IF(G39="","",G39-F39)</f>
        <v/>
      </c>
      <c r="I39" s="1" t="inlineStr">
        <is>
          <t>Integration test report countersigned by customer IT</t>
        </is>
      </c>
      <c r="J39" s="1" t="inlineStr">
        <is>
          <t>20 percent on acceptance</t>
        </is>
      </c>
      <c r="K39" s="1" t="n">
        <v>417570.05</v>
      </c>
      <c r="L39" s="1" t="inlineStr">
        <is>
          <t>Yes</t>
        </is>
      </c>
      <c r="M39" s="1" t="inlineStr">
        <is>
          <t>Complete</t>
        </is>
      </c>
      <c r="N39" s="1" t="inlineStr">
        <is>
          <t>F. Lindstrom</t>
        </is>
      </c>
    </row>
    <row r="40">
      <c r="A40" s="1" t="inlineStr">
        <is>
          <t>LKA-SOW-2024-344</t>
        </is>
      </c>
      <c r="B40" s="1" t="inlineStr">
        <is>
          <t>Larkspur Apparel</t>
        </is>
      </c>
      <c r="C40" s="1" t="inlineStr">
        <is>
          <t>Larkspur FC2</t>
        </is>
      </c>
      <c r="D40" s="1" t="inlineStr">
        <is>
          <t>M95</t>
        </is>
      </c>
      <c r="E40" s="1" t="inlineStr">
        <is>
          <t>Warranty commencement recorded</t>
        </is>
      </c>
      <c r="F40" s="2" t="n">
        <v>45737</v>
      </c>
      <c r="G40" s="2" t="n">
        <v>45771</v>
      </c>
      <c r="H40" s="1">
        <f>IF(G40="","",G40-F40)</f>
        <v/>
      </c>
      <c r="I40" s="1" t="inlineStr">
        <is>
          <t>Integration test report countersigned by customer IT</t>
        </is>
      </c>
      <c r="J40" s="1" t="inlineStr">
        <is>
          <t>None</t>
        </is>
      </c>
      <c r="K40" s="1" t="n">
        <v>0</v>
      </c>
      <c r="L40" s="1" t="inlineStr">
        <is>
          <t>No</t>
        </is>
      </c>
      <c r="M40" s="1" t="inlineStr">
        <is>
          <t>Complete</t>
        </is>
      </c>
      <c r="N40" s="1" t="inlineStr">
        <is>
          <t>S. Vitale</t>
        </is>
      </c>
    </row>
    <row r="41">
      <c r="A41" s="1" t="inlineStr">
        <is>
          <t>ZAC-SOW-2024-889</t>
        </is>
      </c>
      <c r="B41" s="1" t="inlineStr">
        <is>
          <t>Zephyr Air Cargo</t>
        </is>
      </c>
      <c r="C41" s="1" t="inlineStr">
        <is>
          <t>Zephyr Ramp 2</t>
        </is>
      </c>
      <c r="D41" s="1" t="inlineStr">
        <is>
          <t>M10</t>
        </is>
      </c>
      <c r="E41" s="1" t="inlineStr">
        <is>
          <t>Contract signature and order acknowledgement</t>
        </is>
      </c>
      <c r="F41" s="2" t="n">
        <v>46099</v>
      </c>
      <c r="G41" s="2" t="n">
        <v>46099</v>
      </c>
      <c r="H41" s="1">
        <f>IF(G41="","",G41-F41)</f>
        <v/>
      </c>
      <c r="I41" s="1" t="inlineStr">
        <is>
          <t>Customer email confirmation retained in the deployment file</t>
        </is>
      </c>
      <c r="J41" s="1" t="inlineStr">
        <is>
          <t>20 percent on signature</t>
        </is>
      </c>
      <c r="K41" s="1" t="n">
        <v>483221.35</v>
      </c>
      <c r="L41" s="1" t="inlineStr">
        <is>
          <t>Yes</t>
        </is>
      </c>
      <c r="M41" s="1" t="inlineStr">
        <is>
          <t>Complete</t>
        </is>
      </c>
      <c r="N41" s="1" t="inlineStr">
        <is>
          <t>F. Lindstrom</t>
        </is>
      </c>
    </row>
    <row r="42">
      <c r="A42" s="1" t="inlineStr">
        <is>
          <t>QBM-SOW-2024-977</t>
        </is>
      </c>
      <c r="B42" s="1" t="inlineStr">
        <is>
          <t>Quarrybridge Materials</t>
        </is>
      </c>
      <c r="C42" s="1" t="inlineStr">
        <is>
          <t>Quarrybridge Site 1</t>
        </is>
      </c>
      <c r="D42" s="1" t="inlineStr">
        <is>
          <t>M20</t>
        </is>
      </c>
      <c r="E42" s="1" t="inlineStr">
        <is>
          <t>Site survey complete and layout approved</t>
        </is>
      </c>
      <c r="F42" s="2" t="n">
        <v>45869</v>
      </c>
      <c r="G42" s="2" t="n">
        <v>45870</v>
      </c>
      <c r="H42" s="1">
        <f>IF(G42="","",G42-F42)</f>
        <v/>
      </c>
      <c r="I42" s="1" t="inlineStr">
        <is>
          <t>Integration test report countersigned by customer IT</t>
        </is>
      </c>
      <c r="J42" s="1" t="inlineStr">
        <is>
          <t>None</t>
        </is>
      </c>
      <c r="K42" s="1" t="n">
        <v>0</v>
      </c>
      <c r="L42" s="1" t="inlineStr">
        <is>
          <t>No</t>
        </is>
      </c>
      <c r="M42" s="1" t="inlineStr">
        <is>
          <t>Complete</t>
        </is>
      </c>
      <c r="N42" s="1" t="inlineStr">
        <is>
          <t>H. Ferrand</t>
        </is>
      </c>
    </row>
    <row r="43">
      <c r="A43" s="1" t="inlineStr">
        <is>
          <t>YHG-SOW-2025-311</t>
        </is>
      </c>
      <c r="B43" s="1" t="inlineStr">
        <is>
          <t>Yarrow Home Goods</t>
        </is>
      </c>
      <c r="C43" s="1" t="inlineStr">
        <is>
          <t>Yarrow FC3</t>
        </is>
      </c>
      <c r="D43" s="1" t="inlineStr">
        <is>
          <t>M30</t>
        </is>
      </c>
      <c r="E43" s="1" t="inlineStr">
        <is>
          <t>Hardware shipped to site</t>
        </is>
      </c>
      <c r="F43" s="2" t="n">
        <v>46203</v>
      </c>
      <c r="G43" s="2" t="n">
        <v>46212</v>
      </c>
      <c r="H43" s="1">
        <f>IF(G43="","",G43-F43)</f>
        <v/>
      </c>
      <c r="I43" s="1" t="inlineStr">
        <is>
          <t>Witnessed safety validation report</t>
        </is>
      </c>
      <c r="J43" s="1" t="inlineStr">
        <is>
          <t>40 percent on shipment</t>
        </is>
      </c>
      <c r="K43" s="1" t="n">
        <v>154542.99</v>
      </c>
      <c r="L43" s="1" t="inlineStr">
        <is>
          <t>Yes</t>
        </is>
      </c>
      <c r="M43" s="1" t="inlineStr">
        <is>
          <t>Complete</t>
        </is>
      </c>
      <c r="N43" s="1" t="inlineStr">
        <is>
          <t>J. Alvarez</t>
        </is>
      </c>
    </row>
    <row r="44">
      <c r="A44" s="1" t="inlineStr">
        <is>
          <t>VRS-SOW-2024-728</t>
        </is>
      </c>
      <c r="B44" s="1" t="inlineStr">
        <is>
          <t>Vantage Robotics Supply</t>
        </is>
      </c>
      <c r="C44" s="1" t="inlineStr">
        <is>
          <t>Vantage Depot</t>
        </is>
      </c>
      <c r="D44" s="1" t="inlineStr">
        <is>
          <t>M40</t>
        </is>
      </c>
      <c r="E44" s="1" t="inlineStr">
        <is>
          <t>Mechanical installation complete</t>
        </is>
      </c>
      <c r="F44" s="2" t="n">
        <v>45908</v>
      </c>
      <c r="G44" s="1" t="inlineStr"/>
      <c r="H44" s="1">
        <f>IF(G44="","",G44-F44)</f>
        <v/>
      </c>
      <c r="I44" s="1" t="inlineStr">
        <is>
          <t>No evidence located; open request with the account team</t>
        </is>
      </c>
      <c r="J44" s="1" t="inlineStr">
        <is>
          <t>None</t>
        </is>
      </c>
      <c r="K44" s="1" t="n">
        <v>0</v>
      </c>
      <c r="L44" s="1" t="inlineStr">
        <is>
          <t>No</t>
        </is>
      </c>
      <c r="M44" s="1" t="inlineStr">
        <is>
          <t>Planned</t>
        </is>
      </c>
      <c r="N44" s="1" t="inlineStr">
        <is>
          <t>S. Vitale</t>
        </is>
      </c>
    </row>
    <row r="45">
      <c r="A45" s="1" t="inlineStr">
        <is>
          <t>FTM-SOW-2026-268</t>
        </is>
      </c>
      <c r="B45" s="1" t="inlineStr">
        <is>
          <t>Fathom Mobility</t>
        </is>
      </c>
      <c r="C45" s="1" t="inlineStr">
        <is>
          <t>Fathom Line A</t>
        </is>
      </c>
      <c r="D45" s="1" t="inlineStr">
        <is>
          <t>M50</t>
        </is>
      </c>
      <c r="E45" s="1" t="inlineStr">
        <is>
          <t>Network and warehouse-system integration complete</t>
        </is>
      </c>
      <c r="F45" s="2" t="n">
        <v>45897</v>
      </c>
      <c r="G45" s="1" t="inlineStr"/>
      <c r="H45" s="1">
        <f>IF(G45="","",G45-F45)</f>
        <v/>
      </c>
      <c r="I45" s="1" t="inlineStr">
        <is>
          <t>No evidence located; open request with the account team</t>
        </is>
      </c>
      <c r="J45" s="1" t="inlineStr">
        <is>
          <t>None</t>
        </is>
      </c>
      <c r="K45" s="1" t="n">
        <v>0</v>
      </c>
      <c r="L45" s="1" t="inlineStr">
        <is>
          <t>No</t>
        </is>
      </c>
      <c r="M45" s="1" t="inlineStr">
        <is>
          <t>Blocked on customer</t>
        </is>
      </c>
      <c r="N45" s="1" t="inlineStr">
        <is>
          <t>S. Vitale</t>
        </is>
      </c>
    </row>
    <row r="46">
      <c r="A46" s="1" t="inlineStr">
        <is>
          <t>ABT-SOW-2026-434</t>
        </is>
      </c>
      <c r="B46" s="1" t="inlineStr">
        <is>
          <t>Alderbrook Textiles</t>
        </is>
      </c>
      <c r="C46" s="1" t="inlineStr">
        <is>
          <t>Alderbrook Loom 1</t>
        </is>
      </c>
      <c r="D46" s="1" t="inlineStr">
        <is>
          <t>M60</t>
        </is>
      </c>
      <c r="E46" s="1" t="inlineStr">
        <is>
          <t>Safety validation witnessed by customer</t>
        </is>
      </c>
      <c r="F46" s="2" t="n">
        <v>45728</v>
      </c>
      <c r="G46" s="2" t="n">
        <v>45744</v>
      </c>
      <c r="H46" s="1">
        <f>IF(G46="","",G46-F46)</f>
        <v/>
      </c>
      <c r="I46" s="1" t="inlineStr">
        <is>
          <t>Witnessed safety validation report</t>
        </is>
      </c>
      <c r="J46" s="1" t="inlineStr">
        <is>
          <t>None</t>
        </is>
      </c>
      <c r="K46" s="1" t="n">
        <v>0</v>
      </c>
      <c r="L46" s="1" t="inlineStr">
        <is>
          <t>No</t>
        </is>
      </c>
      <c r="M46" s="1" t="inlineStr">
        <is>
          <t>Conditionally accepted</t>
        </is>
      </c>
      <c r="N46" s="1" t="inlineStr">
        <is>
          <t>F. Lindstrom</t>
        </is>
      </c>
    </row>
    <row r="47">
      <c r="A47" s="1" t="inlineStr">
        <is>
          <t>CFF-SOW-2025-306</t>
        </is>
      </c>
      <c r="B47" s="1" t="inlineStr">
        <is>
          <t>Crestline Fulfillment</t>
        </is>
      </c>
      <c r="C47" s="1" t="inlineStr">
        <is>
          <t>Crestline FC1</t>
        </is>
      </c>
      <c r="D47" s="1" t="inlineStr">
        <is>
          <t>M70</t>
        </is>
      </c>
      <c r="E47" s="1" t="inlineStr">
        <is>
          <t>Pilot cell operating at contracted throughput</t>
        </is>
      </c>
      <c r="F47" s="2" t="n">
        <v>45719</v>
      </c>
      <c r="G47" s="2" t="n">
        <v>45728</v>
      </c>
      <c r="H47" s="1">
        <f>IF(G47="","",G47-F47)</f>
        <v/>
      </c>
      <c r="I47" s="1" t="inlineStr">
        <is>
          <t>Countersigned acceptance certificate</t>
        </is>
      </c>
      <c r="J47" s="1" t="inlineStr">
        <is>
          <t>20 percent on pilot</t>
        </is>
      </c>
      <c r="K47" s="1" t="n">
        <v>47938.66</v>
      </c>
      <c r="L47" s="1" t="inlineStr">
        <is>
          <t>Yes</t>
        </is>
      </c>
      <c r="M47" s="1" t="inlineStr">
        <is>
          <t>Complete</t>
        </is>
      </c>
      <c r="N47" s="1" t="inlineStr">
        <is>
          <t>F. Lindstrom</t>
        </is>
      </c>
    </row>
    <row r="48">
      <c r="A48" s="1" t="inlineStr">
        <is>
          <t>MDY-SOW-2026-837</t>
        </is>
      </c>
      <c r="B48" s="1" t="inlineStr">
        <is>
          <t>Meridian Dynamics</t>
        </is>
      </c>
      <c r="C48" s="1" t="inlineStr">
        <is>
          <t>Meridian Bay 7</t>
        </is>
      </c>
      <c r="D48" s="1" t="inlineStr">
        <is>
          <t>M80</t>
        </is>
      </c>
      <c r="E48" s="1" t="inlineStr">
        <is>
          <t>Operator training delivered and signed off</t>
        </is>
      </c>
      <c r="F48" s="2" t="n">
        <v>45828</v>
      </c>
      <c r="G48" s="2" t="n">
        <v>45846</v>
      </c>
      <c r="H48" s="1">
        <f>IF(G48="","",G48-F48)</f>
        <v/>
      </c>
      <c r="I48" s="1" t="inlineStr">
        <is>
          <t>Site sign-off form with throughput log attached</t>
        </is>
      </c>
      <c r="J48" s="1" t="inlineStr">
        <is>
          <t>None</t>
        </is>
      </c>
      <c r="K48" s="1" t="n">
        <v>0</v>
      </c>
      <c r="L48" s="1" t="inlineStr">
        <is>
          <t>No</t>
        </is>
      </c>
      <c r="M48" s="1" t="inlineStr">
        <is>
          <t>Complete</t>
        </is>
      </c>
      <c r="N48" s="1" t="inlineStr">
        <is>
          <t>H. Ferrand</t>
        </is>
      </c>
    </row>
    <row r="49">
      <c r="A49" s="1" t="inlineStr">
        <is>
          <t>QBM-SOW-2026-227</t>
        </is>
      </c>
      <c r="B49" s="1" t="inlineStr">
        <is>
          <t>Quarrybridge Materials</t>
        </is>
      </c>
      <c r="C49" s="1" t="inlineStr">
        <is>
          <t>Quarrybridge Site 1</t>
        </is>
      </c>
      <c r="D49" s="1" t="inlineStr">
        <is>
          <t>M90</t>
        </is>
      </c>
      <c r="E49" s="1" t="inlineStr">
        <is>
          <t>Customer acceptance certificate countersigned</t>
        </is>
      </c>
      <c r="F49" s="2" t="n">
        <v>45834</v>
      </c>
      <c r="G49" s="2" t="n">
        <v>45835</v>
      </c>
      <c r="H49" s="1">
        <f>IF(G49="","",G49-F49)</f>
        <v/>
      </c>
      <c r="I49" s="1" t="inlineStr">
        <is>
          <t>Countersigned acceptance certificate</t>
        </is>
      </c>
      <c r="J49" s="1" t="inlineStr">
        <is>
          <t>20 percent on acceptance</t>
        </is>
      </c>
      <c r="K49" s="1" t="n">
        <v>225012.51</v>
      </c>
      <c r="L49" s="1" t="inlineStr">
        <is>
          <t>Yes</t>
        </is>
      </c>
      <c r="M49" s="1" t="inlineStr">
        <is>
          <t>Complete</t>
        </is>
      </c>
      <c r="N49" s="1" t="inlineStr">
        <is>
          <t>S. Vitale</t>
        </is>
      </c>
    </row>
    <row r="50">
      <c r="A50" s="1" t="inlineStr">
        <is>
          <t>ABT-SOW-2024-290</t>
        </is>
      </c>
      <c r="B50" s="1" t="inlineStr">
        <is>
          <t>Alderbrook Textiles</t>
        </is>
      </c>
      <c r="C50" s="1" t="inlineStr">
        <is>
          <t>Alderbrook Loom 1</t>
        </is>
      </c>
      <c r="D50" s="1" t="inlineStr">
        <is>
          <t>M95</t>
        </is>
      </c>
      <c r="E50" s="1" t="inlineStr">
        <is>
          <t>Warranty commencement recorded</t>
        </is>
      </c>
      <c r="F50" s="2" t="n">
        <v>45722</v>
      </c>
      <c r="G50" s="1" t="inlineStr"/>
      <c r="H50" s="1">
        <f>IF(G50="","",G50-F50)</f>
        <v/>
      </c>
      <c r="I50" s="1" t="inlineStr">
        <is>
          <t>No evidence located; open request with the account team</t>
        </is>
      </c>
      <c r="J50" s="1" t="inlineStr">
        <is>
          <t>None</t>
        </is>
      </c>
      <c r="K50" s="1" t="n">
        <v>0</v>
      </c>
      <c r="L50" s="1" t="inlineStr">
        <is>
          <t>No</t>
        </is>
      </c>
      <c r="M50" s="1" t="inlineStr">
        <is>
          <t>In progress</t>
        </is>
      </c>
      <c r="N50" s="1" t="inlineStr">
        <is>
          <t>H. Ferrand</t>
        </is>
      </c>
    </row>
    <row r="51">
      <c r="A51" s="1" t="inlineStr">
        <is>
          <t>OGF-SOW-2024-858</t>
        </is>
      </c>
      <c r="B51" s="1" t="inlineStr">
        <is>
          <t>Orchard Grove Foods</t>
        </is>
      </c>
      <c r="C51" s="1" t="inlineStr">
        <is>
          <t>Orchard Cold 2</t>
        </is>
      </c>
      <c r="D51" s="1" t="inlineStr">
        <is>
          <t>M10</t>
        </is>
      </c>
      <c r="E51" s="1" t="inlineStr">
        <is>
          <t>Contract signature and order acknowledgement</t>
        </is>
      </c>
      <c r="F51" s="2" t="n">
        <v>45988</v>
      </c>
      <c r="G51" s="2" t="n">
        <v>46022</v>
      </c>
      <c r="H51" s="1">
        <f>IF(G51="","",G51-F51)</f>
        <v/>
      </c>
      <c r="I51" s="1" t="inlineStr">
        <is>
          <t>Customer email confirmation retained in the deployment file</t>
        </is>
      </c>
      <c r="J51" s="1" t="inlineStr">
        <is>
          <t>20 percent on signature</t>
        </is>
      </c>
      <c r="K51" s="1" t="n">
        <v>220378.93</v>
      </c>
      <c r="L51" s="1" t="inlineStr">
        <is>
          <t>Yes</t>
        </is>
      </c>
      <c r="M51" s="1" t="inlineStr">
        <is>
          <t>Complete</t>
        </is>
      </c>
      <c r="N51" s="1" t="inlineStr">
        <is>
          <t>S. Vitale</t>
        </is>
      </c>
    </row>
    <row r="52">
      <c r="A52" s="1" t="inlineStr">
        <is>
          <t>EWP-SOW-2024-360</t>
        </is>
      </c>
      <c r="B52" s="1" t="inlineStr">
        <is>
          <t>Elmsworth Publishing</t>
        </is>
      </c>
      <c r="C52" s="1" t="inlineStr">
        <is>
          <t>Elmsworth Bindery</t>
        </is>
      </c>
      <c r="D52" s="1" t="inlineStr">
        <is>
          <t>M20</t>
        </is>
      </c>
      <c r="E52" s="1" t="inlineStr">
        <is>
          <t>Site survey complete and layout approved</t>
        </is>
      </c>
      <c r="F52" s="2" t="n">
        <v>45870</v>
      </c>
      <c r="G52" s="2" t="n">
        <v>45875</v>
      </c>
      <c r="H52" s="1">
        <f>IF(G52="","",G52-F52)</f>
        <v/>
      </c>
      <c r="I52" s="1" t="inlineStr">
        <is>
          <t>Witnessed safety validation report</t>
        </is>
      </c>
      <c r="J52" s="1" t="inlineStr">
        <is>
          <t>None</t>
        </is>
      </c>
      <c r="K52" s="1" t="n">
        <v>0</v>
      </c>
      <c r="L52" s="1" t="inlineStr">
        <is>
          <t>No</t>
        </is>
      </c>
      <c r="M52" s="1" t="inlineStr">
        <is>
          <t>Complete</t>
        </is>
      </c>
      <c r="N52" s="1" t="inlineStr">
        <is>
          <t>B. Ng</t>
        </is>
      </c>
    </row>
    <row r="53">
      <c r="A53" s="1" t="inlineStr">
        <is>
          <t>UVP-SOW-2026-652</t>
        </is>
      </c>
      <c r="B53" s="1" t="inlineStr">
        <is>
          <t>Union Vale Pharma</t>
        </is>
      </c>
      <c r="C53" s="1" t="inlineStr">
        <is>
          <t>Union Vale Vault</t>
        </is>
      </c>
      <c r="D53" s="1" t="inlineStr">
        <is>
          <t>M30</t>
        </is>
      </c>
      <c r="E53" s="1" t="inlineStr">
        <is>
          <t>Hardware shipped to site</t>
        </is>
      </c>
      <c r="F53" s="2" t="n">
        <v>45950</v>
      </c>
      <c r="G53" s="1" t="inlineStr"/>
      <c r="H53" s="1">
        <f>IF(G53="","",G53-F53)</f>
        <v/>
      </c>
      <c r="I53" s="1" t="inlineStr">
        <is>
          <t>No evidence located; open request with the account team</t>
        </is>
      </c>
      <c r="J53" s="1" t="inlineStr">
        <is>
          <t>40 percent on shipment</t>
        </is>
      </c>
      <c r="K53" s="1" t="n">
        <v>230946.17</v>
      </c>
      <c r="L53" s="1" t="inlineStr">
        <is>
          <t>No</t>
        </is>
      </c>
      <c r="M53" s="1" t="inlineStr">
        <is>
          <t>In progress</t>
        </is>
      </c>
      <c r="N53" s="1" t="inlineStr">
        <is>
          <t>H. Ferrand</t>
        </is>
      </c>
    </row>
    <row r="54">
      <c r="A54" s="1" t="inlineStr">
        <is>
          <t>HLS-SOW-2025-367</t>
        </is>
      </c>
      <c r="B54" s="1" t="inlineStr">
        <is>
          <t>Harborline Systems</t>
        </is>
      </c>
      <c r="C54" s="1" t="inlineStr">
        <is>
          <t>Harborline Pier 9</t>
        </is>
      </c>
      <c r="D54" s="1" t="inlineStr">
        <is>
          <t>M40</t>
        </is>
      </c>
      <c r="E54" s="1" t="inlineStr">
        <is>
          <t>Mechanical installation complete</t>
        </is>
      </c>
      <c r="F54" s="2" t="n">
        <v>46113</v>
      </c>
      <c r="G54" s="1" t="inlineStr"/>
      <c r="H54" s="1">
        <f>IF(G54="","",G54-F54)</f>
        <v/>
      </c>
      <c r="I54" s="1" t="inlineStr">
        <is>
          <t>No evidence located; open request with the account team</t>
        </is>
      </c>
      <c r="J54" s="1" t="inlineStr">
        <is>
          <t>None</t>
        </is>
      </c>
      <c r="K54" s="1" t="n">
        <v>0</v>
      </c>
      <c r="L54" s="1" t="inlineStr">
        <is>
          <t>No</t>
        </is>
      </c>
      <c r="M54" s="1" t="inlineStr">
        <is>
          <t>Planned</t>
        </is>
      </c>
      <c r="N54" s="1" t="inlineStr">
        <is>
          <t>S. Vitale</t>
        </is>
      </c>
    </row>
    <row r="55">
      <c r="A55" s="1" t="inlineStr">
        <is>
          <t>SRR-SOW-2026-988</t>
        </is>
      </c>
      <c r="B55" s="1" t="inlineStr">
        <is>
          <t>Summit Ridge Retail</t>
        </is>
      </c>
      <c r="C55" s="1" t="inlineStr">
        <is>
          <t>Summit RDC</t>
        </is>
      </c>
      <c r="D55" s="1" t="inlineStr">
        <is>
          <t>M50</t>
        </is>
      </c>
      <c r="E55" s="1" t="inlineStr">
        <is>
          <t>Network and warehouse-system integration complete</t>
        </is>
      </c>
      <c r="F55" s="2" t="n">
        <v>45702</v>
      </c>
      <c r="G55" s="1" t="inlineStr"/>
      <c r="H55" s="1">
        <f>IF(G55="","",G55-F55)</f>
        <v/>
      </c>
      <c r="I55" s="1" t="inlineStr">
        <is>
          <t>No evidence located; open request with the account team</t>
        </is>
      </c>
      <c r="J55" s="1" t="inlineStr">
        <is>
          <t>None</t>
        </is>
      </c>
      <c r="K55" s="1" t="n">
        <v>0</v>
      </c>
      <c r="L55" s="1" t="inlineStr">
        <is>
          <t>No</t>
        </is>
      </c>
      <c r="M55" s="1" t="inlineStr">
        <is>
          <t>Planned</t>
        </is>
      </c>
      <c r="N55" s="1" t="inlineStr">
        <is>
          <t>J. Alvarez</t>
        </is>
      </c>
    </row>
    <row r="56">
      <c r="A56" s="1" t="inlineStr">
        <is>
          <t>WCD-SOW-2026-694</t>
        </is>
      </c>
      <c r="B56" s="1" t="inlineStr">
        <is>
          <t>Westlake Chemical Depot</t>
        </is>
      </c>
      <c r="C56" s="1" t="inlineStr">
        <is>
          <t>Westlake Tank 6</t>
        </is>
      </c>
      <c r="D56" s="1" t="inlineStr">
        <is>
          <t>M60</t>
        </is>
      </c>
      <c r="E56" s="1" t="inlineStr">
        <is>
          <t>Safety validation witnessed by customer</t>
        </is>
      </c>
      <c r="F56" s="2" t="n">
        <v>46017</v>
      </c>
      <c r="G56" s="2" t="n">
        <v>46013</v>
      </c>
      <c r="H56" s="1">
        <f>IF(G56="","",G56-F56)</f>
        <v/>
      </c>
      <c r="I56" s="1" t="inlineStr">
        <is>
          <t>Training attendance register</t>
        </is>
      </c>
      <c r="J56" s="1" t="inlineStr">
        <is>
          <t>None</t>
        </is>
      </c>
      <c r="K56" s="1" t="n">
        <v>0</v>
      </c>
      <c r="L56" s="1" t="inlineStr">
        <is>
          <t>No</t>
        </is>
      </c>
      <c r="M56" s="1" t="inlineStr">
        <is>
          <t>Deferred at customer request</t>
        </is>
      </c>
      <c r="N56" s="1" t="inlineStr">
        <is>
          <t>H. Ferrand</t>
        </is>
      </c>
    </row>
    <row r="57">
      <c r="A57" s="1" t="inlineStr">
        <is>
          <t>BMC-SOW-2024-619</t>
        </is>
      </c>
      <c r="B57" s="1" t="inlineStr">
        <is>
          <t>Blue Mesa Components</t>
        </is>
      </c>
      <c r="C57" s="1" t="inlineStr">
        <is>
          <t>Mesa Plant 2</t>
        </is>
      </c>
      <c r="D57" s="1" t="inlineStr">
        <is>
          <t>M70</t>
        </is>
      </c>
      <c r="E57" s="1" t="inlineStr">
        <is>
          <t>Pilot cell operating at contracted throughput</t>
        </is>
      </c>
      <c r="F57" s="2" t="n">
        <v>45737</v>
      </c>
      <c r="G57" s="2" t="n">
        <v>45742</v>
      </c>
      <c r="H57" s="1">
        <f>IF(G57="","",G57-F57)</f>
        <v/>
      </c>
      <c r="I57" s="1" t="inlineStr">
        <is>
          <t>Conditional acceptance letter with open punch list</t>
        </is>
      </c>
      <c r="J57" s="1" t="inlineStr">
        <is>
          <t>20 percent on pilot</t>
        </is>
      </c>
      <c r="K57" s="1" t="n">
        <v>423853.53</v>
      </c>
      <c r="L57" s="1" t="inlineStr">
        <is>
          <t>Yes</t>
        </is>
      </c>
      <c r="M57" s="1" t="inlineStr">
        <is>
          <t>Complete</t>
        </is>
      </c>
      <c r="N57" s="1" t="inlineStr">
        <is>
          <t>S. Vitale</t>
        </is>
      </c>
    </row>
    <row r="58">
      <c r="A58" s="1" t="inlineStr">
        <is>
          <t>OGF-SOW-2025-593</t>
        </is>
      </c>
      <c r="B58" s="1" t="inlineStr">
        <is>
          <t>Orchard Grove Foods</t>
        </is>
      </c>
      <c r="C58" s="1" t="inlineStr">
        <is>
          <t>Orchard Cold 2</t>
        </is>
      </c>
      <c r="D58" s="1" t="inlineStr">
        <is>
          <t>M80</t>
        </is>
      </c>
      <c r="E58" s="1" t="inlineStr">
        <is>
          <t>Operator training delivered and signed off</t>
        </is>
      </c>
      <c r="F58" s="2" t="n">
        <v>46022</v>
      </c>
      <c r="G58" s="2" t="n">
        <v>46056</v>
      </c>
      <c r="H58" s="1">
        <f>IF(G58="","",G58-F58)</f>
        <v/>
      </c>
      <c r="I58" s="1" t="inlineStr">
        <is>
          <t>Witnessed safety validation report</t>
        </is>
      </c>
      <c r="J58" s="1" t="inlineStr">
        <is>
          <t>None</t>
        </is>
      </c>
      <c r="K58" s="1" t="n">
        <v>0</v>
      </c>
      <c r="L58" s="1" t="inlineStr">
        <is>
          <t>No</t>
        </is>
      </c>
      <c r="M58" s="1" t="inlineStr">
        <is>
          <t>Conditionally accepted</t>
        </is>
      </c>
      <c r="N58" s="1" t="inlineStr">
        <is>
          <t>S. Vitale</t>
        </is>
      </c>
    </row>
    <row r="59">
      <c r="A59" s="1" t="inlineStr">
        <is>
          <t>PFU-SOW-2026-880</t>
        </is>
      </c>
      <c r="B59" s="1" t="inlineStr">
        <is>
          <t>Pioneer Freight Union</t>
        </is>
      </c>
      <c r="C59" s="1" t="inlineStr">
        <is>
          <t>Pioneer Hub</t>
        </is>
      </c>
      <c r="D59" s="1" t="inlineStr">
        <is>
          <t>M90</t>
        </is>
      </c>
      <c r="E59" s="1" t="inlineStr">
        <is>
          <t>Customer acceptance certificate countersigned</t>
        </is>
      </c>
      <c r="F59" s="2" t="n">
        <v>45772</v>
      </c>
      <c r="G59" s="1" t="inlineStr"/>
      <c r="H59" s="1">
        <f>IF(G59="","",G59-F59)</f>
        <v/>
      </c>
      <c r="I59" s="1" t="inlineStr">
        <is>
          <t>No evidence located; open request with the account team</t>
        </is>
      </c>
      <c r="J59" s="1" t="inlineStr">
        <is>
          <t>20 percent on acceptance</t>
        </is>
      </c>
      <c r="K59" s="1" t="n">
        <v>50228.05</v>
      </c>
      <c r="L59" s="1" t="inlineStr">
        <is>
          <t>No</t>
        </is>
      </c>
      <c r="M59" s="1" t="inlineStr">
        <is>
          <t>Planned</t>
        </is>
      </c>
      <c r="N59" s="1" t="inlineStr">
        <is>
          <t>H. Ferrand</t>
        </is>
      </c>
    </row>
    <row r="60">
      <c r="A60" s="1" t="inlineStr">
        <is>
          <t>TCE-SOW-2025-870</t>
        </is>
      </c>
      <c r="B60" s="1" t="inlineStr">
        <is>
          <t>Tamarack Electronics</t>
        </is>
      </c>
      <c r="C60" s="1" t="inlineStr">
        <is>
          <t>Tamarack SMT 2</t>
        </is>
      </c>
      <c r="D60" s="1" t="inlineStr">
        <is>
          <t>M95</t>
        </is>
      </c>
      <c r="E60" s="1" t="inlineStr">
        <is>
          <t>Warranty commencement recorded</t>
        </is>
      </c>
      <c r="F60" s="2" t="n">
        <v>45938</v>
      </c>
      <c r="G60" s="2" t="n">
        <v>45943</v>
      </c>
      <c r="H60" s="1">
        <f>IF(G60="","",G60-F60)</f>
        <v/>
      </c>
      <c r="I60" s="1" t="inlineStr">
        <is>
          <t>Countersigned acceptance certificate</t>
        </is>
      </c>
      <c r="J60" s="1" t="inlineStr">
        <is>
          <t>None</t>
        </is>
      </c>
      <c r="K60" s="1" t="n">
        <v>0</v>
      </c>
      <c r="L60" s="1" t="inlineStr">
        <is>
          <t>No</t>
        </is>
      </c>
      <c r="M60" s="1" t="inlineStr">
        <is>
          <t>Complete</t>
        </is>
      </c>
      <c r="N60" s="1" t="inlineStr">
        <is>
          <t>H. Ferrand</t>
        </is>
      </c>
    </row>
    <row r="61">
      <c r="A61" s="1" t="inlineStr">
        <is>
          <t>BWA-SOW-2026-285</t>
        </is>
      </c>
      <c r="B61" s="1" t="inlineStr">
        <is>
          <t>Bellweather Auto Group</t>
        </is>
      </c>
      <c r="C61" s="1" t="inlineStr">
        <is>
          <t>Bellweather PDC</t>
        </is>
      </c>
      <c r="D61" s="1" t="inlineStr">
        <is>
          <t>M10</t>
        </is>
      </c>
      <c r="E61" s="1" t="inlineStr">
        <is>
          <t>Contract signature and order acknowledgement</t>
        </is>
      </c>
      <c r="F61" s="2" t="n">
        <v>45980</v>
      </c>
      <c r="G61" s="1" t="inlineStr"/>
      <c r="H61" s="1">
        <f>IF(G61="","",G61-F61)</f>
        <v/>
      </c>
      <c r="I61" s="1" t="inlineStr">
        <is>
          <t>No evidence located; open request with the account team</t>
        </is>
      </c>
      <c r="J61" s="1" t="inlineStr">
        <is>
          <t>20 percent on signature</t>
        </is>
      </c>
      <c r="K61" s="1" t="n">
        <v>171082.91</v>
      </c>
      <c r="L61" s="1" t="inlineStr">
        <is>
          <t>No</t>
        </is>
      </c>
      <c r="M61" s="1" t="inlineStr">
        <is>
          <t>Blocked on customer</t>
        </is>
      </c>
      <c r="N61" s="1" t="inlineStr">
        <is>
          <t>H. Ferrand</t>
        </is>
      </c>
    </row>
    <row r="62">
      <c r="A62" s="1" t="inlineStr">
        <is>
          <t>AST-SOW-2025-823</t>
        </is>
      </c>
      <c r="B62" s="1" t="inlineStr">
        <is>
          <t>Asterion Logistics</t>
        </is>
      </c>
      <c r="C62" s="1" t="inlineStr">
        <is>
          <t>Tracy DC</t>
        </is>
      </c>
      <c r="D62" s="1" t="inlineStr">
        <is>
          <t>M20</t>
        </is>
      </c>
      <c r="E62" s="1" t="inlineStr">
        <is>
          <t>Site survey complete and layout approved</t>
        </is>
      </c>
      <c r="F62" s="2" t="n">
        <v>46121</v>
      </c>
      <c r="G62" s="1" t="inlineStr"/>
      <c r="H62" s="1">
        <f>IF(G62="","",G62-F62)</f>
        <v/>
      </c>
      <c r="I62" s="1" t="inlineStr">
        <is>
          <t>No evidence located; open request with the account team</t>
        </is>
      </c>
      <c r="J62" s="1" t="inlineStr">
        <is>
          <t>None</t>
        </is>
      </c>
      <c r="K62" s="1" t="n">
        <v>0</v>
      </c>
      <c r="L62" s="1" t="inlineStr">
        <is>
          <t>No</t>
        </is>
      </c>
      <c r="M62" s="1" t="inlineStr">
        <is>
          <t>Planned</t>
        </is>
      </c>
      <c r="N62" s="1" t="inlineStr">
        <is>
          <t>B. Ng</t>
        </is>
      </c>
    </row>
    <row r="63">
      <c r="A63" s="1" t="inlineStr">
        <is>
          <t>TCE-SOW-2026-278</t>
        </is>
      </c>
      <c r="B63" s="1" t="inlineStr">
        <is>
          <t>Tamarack Electronics</t>
        </is>
      </c>
      <c r="C63" s="1" t="inlineStr">
        <is>
          <t>Tamarack SMT 2</t>
        </is>
      </c>
      <c r="D63" s="1" t="inlineStr">
        <is>
          <t>M30</t>
        </is>
      </c>
      <c r="E63" s="1" t="inlineStr">
        <is>
          <t>Hardware shipped to site</t>
        </is>
      </c>
      <c r="F63" s="2" t="n">
        <v>45841</v>
      </c>
      <c r="G63" s="1" t="inlineStr"/>
      <c r="H63" s="1">
        <f>IF(G63="","",G63-F63)</f>
        <v/>
      </c>
      <c r="I63" s="1" t="inlineStr">
        <is>
          <t>No evidence located; open request with the account team</t>
        </is>
      </c>
      <c r="J63" s="1" t="inlineStr">
        <is>
          <t>40 percent on shipment</t>
        </is>
      </c>
      <c r="K63" s="1" t="n">
        <v>246198.84</v>
      </c>
      <c r="L63" s="1" t="inlineStr">
        <is>
          <t>No</t>
        </is>
      </c>
      <c r="M63" s="1" t="inlineStr">
        <is>
          <t>Planned</t>
        </is>
      </c>
      <c r="N63" s="1" t="inlineStr">
        <is>
          <t>F. Lindstrom</t>
        </is>
      </c>
    </row>
    <row r="64">
      <c r="A64" s="1" t="inlineStr">
        <is>
          <t>DGC-SOW-2025-626</t>
        </is>
      </c>
      <c r="B64" s="1" t="inlineStr">
        <is>
          <t>Dorsey Grain Cooperative</t>
        </is>
      </c>
      <c r="C64" s="1" t="inlineStr">
        <is>
          <t>Dorsey Elevator 2</t>
        </is>
      </c>
      <c r="D64" s="1" t="inlineStr">
        <is>
          <t>M40</t>
        </is>
      </c>
      <c r="E64" s="1" t="inlineStr">
        <is>
          <t>Mechanical installation complete</t>
        </is>
      </c>
      <c r="F64" s="2" t="n">
        <v>45770</v>
      </c>
      <c r="G64" s="2" t="n">
        <v>45804</v>
      </c>
      <c r="H64" s="1">
        <f>IF(G64="","",G64-F64)</f>
        <v/>
      </c>
      <c r="I64" s="1" t="inlineStr">
        <is>
          <t>Integration test report countersigned by customer IT</t>
        </is>
      </c>
      <c r="J64" s="1" t="inlineStr">
        <is>
          <t>None</t>
        </is>
      </c>
      <c r="K64" s="1" t="n">
        <v>0</v>
      </c>
      <c r="L64" s="1" t="inlineStr">
        <is>
          <t>No</t>
        </is>
      </c>
      <c r="M64" s="1" t="inlineStr">
        <is>
          <t>Complete</t>
        </is>
      </c>
      <c r="N64" s="1" t="inlineStr">
        <is>
          <t>B. Ng</t>
        </is>
      </c>
    </row>
    <row r="65">
      <c r="A65" s="1" t="inlineStr">
        <is>
          <t>JHS-SOW-2024-679</t>
        </is>
      </c>
      <c r="B65" s="1" t="inlineStr">
        <is>
          <t>Juniper Health Supply</t>
        </is>
      </c>
      <c r="C65" s="1" t="inlineStr">
        <is>
          <t>Juniper Sterile 1</t>
        </is>
      </c>
      <c r="D65" s="1" t="inlineStr">
        <is>
          <t>M50</t>
        </is>
      </c>
      <c r="E65" s="1" t="inlineStr">
        <is>
          <t>Network and warehouse-system integration complete</t>
        </is>
      </c>
      <c r="F65" s="2" t="n">
        <v>45765</v>
      </c>
      <c r="G65" s="1" t="inlineStr"/>
      <c r="H65" s="1">
        <f>IF(G65="","",G65-F65)</f>
        <v/>
      </c>
      <c r="I65" s="1" t="inlineStr">
        <is>
          <t>No evidence located; open request with the account team</t>
        </is>
      </c>
      <c r="J65" s="1" t="inlineStr">
        <is>
          <t>None</t>
        </is>
      </c>
      <c r="K65" s="1" t="n">
        <v>0</v>
      </c>
      <c r="L65" s="1" t="inlineStr">
        <is>
          <t>No</t>
        </is>
      </c>
      <c r="M65" s="1" t="inlineStr">
        <is>
          <t>Planned</t>
        </is>
      </c>
      <c r="N65" s="1" t="inlineStr">
        <is>
          <t>S. Vitale</t>
        </is>
      </c>
    </row>
    <row r="66">
      <c r="A66" s="1" t="inlineStr">
        <is>
          <t>EWP-SOW-2026-613</t>
        </is>
      </c>
      <c r="B66" s="1" t="inlineStr">
        <is>
          <t>Elmsworth Publishing</t>
        </is>
      </c>
      <c r="C66" s="1" t="inlineStr">
        <is>
          <t>Elmsworth Bindery</t>
        </is>
      </c>
      <c r="D66" s="1" t="inlineStr">
        <is>
          <t>M60</t>
        </is>
      </c>
      <c r="E66" s="1" t="inlineStr">
        <is>
          <t>Safety validation witnessed by customer</t>
        </is>
      </c>
      <c r="F66" s="2" t="n">
        <v>46136</v>
      </c>
      <c r="G66" s="2" t="n">
        <v>46141</v>
      </c>
      <c r="H66" s="1">
        <f>IF(G66="","",G66-F66)</f>
        <v/>
      </c>
      <c r="I66" s="1" t="inlineStr">
        <is>
          <t>Integration test report countersigned by customer IT</t>
        </is>
      </c>
      <c r="J66" s="1" t="inlineStr">
        <is>
          <t>None</t>
        </is>
      </c>
      <c r="K66" s="1" t="n">
        <v>0</v>
      </c>
      <c r="L66" s="1" t="inlineStr">
        <is>
          <t>No</t>
        </is>
      </c>
      <c r="M66" s="1" t="inlineStr">
        <is>
          <t>Conditionally accepted</t>
        </is>
      </c>
      <c r="N66" s="1" t="inlineStr">
        <is>
          <t>J. Alvarez</t>
        </is>
      </c>
    </row>
    <row r="67">
      <c r="A67" s="1" t="inlineStr">
        <is>
          <t>SRR-SOW-2025-392</t>
        </is>
      </c>
      <c r="B67" s="1" t="inlineStr">
        <is>
          <t>Summit Ridge Retail</t>
        </is>
      </c>
      <c r="C67" s="1" t="inlineStr">
        <is>
          <t>Summit RDC</t>
        </is>
      </c>
      <c r="D67" s="1" t="inlineStr">
        <is>
          <t>M70</t>
        </is>
      </c>
      <c r="E67" s="1" t="inlineStr">
        <is>
          <t>Pilot cell operating at contracted throughput</t>
        </is>
      </c>
      <c r="F67" s="2" t="n">
        <v>45883</v>
      </c>
      <c r="G67" s="2" t="n">
        <v>45877</v>
      </c>
      <c r="H67" s="1">
        <f>IF(G67="","",G67-F67)</f>
        <v/>
      </c>
      <c r="I67" s="1" t="inlineStr">
        <is>
          <t>Training attendance register</t>
        </is>
      </c>
      <c r="J67" s="1" t="inlineStr">
        <is>
          <t>20 percent on pilot</t>
        </is>
      </c>
      <c r="K67" s="1" t="n">
        <v>320322.63</v>
      </c>
      <c r="L67" s="1" t="inlineStr">
        <is>
          <t>Yes</t>
        </is>
      </c>
      <c r="M67" s="1" t="inlineStr">
        <is>
          <t>Complete</t>
        </is>
      </c>
      <c r="N67" s="1" t="inlineStr">
        <is>
          <t>B. Ng</t>
        </is>
      </c>
    </row>
    <row r="68">
      <c r="A68" s="1" t="inlineStr">
        <is>
          <t>FTM-SOW-2024-525</t>
        </is>
      </c>
      <c r="B68" s="1" t="inlineStr">
        <is>
          <t>Fathom Mobility</t>
        </is>
      </c>
      <c r="C68" s="1" t="inlineStr">
        <is>
          <t>Fathom Line A</t>
        </is>
      </c>
      <c r="D68" s="1" t="inlineStr">
        <is>
          <t>M80</t>
        </is>
      </c>
      <c r="E68" s="1" t="inlineStr">
        <is>
          <t>Operator training delivered and signed off</t>
        </is>
      </c>
      <c r="F68" s="2" t="n">
        <v>45771</v>
      </c>
      <c r="G68" s="2" t="n">
        <v>45770</v>
      </c>
      <c r="H68" s="1">
        <f>IF(G68="","",G68-F68)</f>
        <v/>
      </c>
      <c r="I68" s="1" t="inlineStr">
        <is>
          <t>Site sign-off form with throughput log attached</t>
        </is>
      </c>
      <c r="J68" s="1" t="inlineStr">
        <is>
          <t>None</t>
        </is>
      </c>
      <c r="K68" s="1" t="n">
        <v>0</v>
      </c>
      <c r="L68" s="1" t="inlineStr">
        <is>
          <t>No</t>
        </is>
      </c>
      <c r="M68" s="1" t="inlineStr">
        <is>
          <t>Conditionally accepted</t>
        </is>
      </c>
      <c r="N68" s="1" t="inlineStr">
        <is>
          <t>J. Alvarez</t>
        </is>
      </c>
    </row>
    <row r="69">
      <c r="A69" s="1" t="inlineStr">
        <is>
          <t>SRR-SOW-2026-763</t>
        </is>
      </c>
      <c r="B69" s="1" t="inlineStr">
        <is>
          <t>Summit Ridge Retail</t>
        </is>
      </c>
      <c r="C69" s="1" t="inlineStr">
        <is>
          <t>Summit RDC</t>
        </is>
      </c>
      <c r="D69" s="1" t="inlineStr">
        <is>
          <t>M90</t>
        </is>
      </c>
      <c r="E69" s="1" t="inlineStr">
        <is>
          <t>Customer acceptance certificate countersigned</t>
        </is>
      </c>
      <c r="F69" s="2" t="n">
        <v>46093</v>
      </c>
      <c r="G69" s="2" t="n">
        <v>46127</v>
      </c>
      <c r="H69" s="1">
        <f>IF(G69="","",G69-F69)</f>
        <v/>
      </c>
      <c r="I69" s="1" t="inlineStr">
        <is>
          <t>Witnessed safety validation report</t>
        </is>
      </c>
      <c r="J69" s="1" t="inlineStr">
        <is>
          <t>20 percent on acceptance</t>
        </is>
      </c>
      <c r="K69" s="1" t="n">
        <v>289576.55</v>
      </c>
      <c r="L69" s="1" t="inlineStr">
        <is>
          <t>No</t>
        </is>
      </c>
      <c r="M69" s="1" t="inlineStr">
        <is>
          <t>Conditionally accepted</t>
        </is>
      </c>
      <c r="N69" s="1" t="inlineStr">
        <is>
          <t>B. Ng</t>
        </is>
      </c>
    </row>
    <row r="70">
      <c r="A70" s="1" t="inlineStr">
        <is>
          <t>EWP-SOW-2025-542</t>
        </is>
      </c>
      <c r="B70" s="1" t="inlineStr">
        <is>
          <t>Elmsworth Publishing</t>
        </is>
      </c>
      <c r="C70" s="1" t="inlineStr">
        <is>
          <t>Elmsworth Bindery</t>
        </is>
      </c>
      <c r="D70" s="1" t="inlineStr">
        <is>
          <t>M95</t>
        </is>
      </c>
      <c r="E70" s="1" t="inlineStr">
        <is>
          <t>Warranty commencement recorded</t>
        </is>
      </c>
      <c r="F70" s="2" t="n">
        <v>46031</v>
      </c>
      <c r="G70" s="2" t="n">
        <v>46038</v>
      </c>
      <c r="H70" s="1">
        <f>IF(G70="","",G70-F70)</f>
        <v/>
      </c>
      <c r="I70" s="1" t="inlineStr">
        <is>
          <t>Site sign-off form with throughput log attached</t>
        </is>
      </c>
      <c r="J70" s="1" t="inlineStr">
        <is>
          <t>None</t>
        </is>
      </c>
      <c r="K70" s="1" t="n">
        <v>0</v>
      </c>
      <c r="L70" s="1" t="inlineStr">
        <is>
          <t>No</t>
        </is>
      </c>
      <c r="M70" s="1" t="inlineStr">
        <is>
          <t>Complete</t>
        </is>
      </c>
      <c r="N70" s="1" t="inlineStr">
        <is>
          <t>B. Ng</t>
        </is>
      </c>
    </row>
    <row r="71">
      <c r="A71" s="1" t="inlineStr">
        <is>
          <t>SRR-SOW-2025-388</t>
        </is>
      </c>
      <c r="B71" s="1" t="inlineStr">
        <is>
          <t>Summit Ridge Retail</t>
        </is>
      </c>
      <c r="C71" s="1" t="inlineStr">
        <is>
          <t>Summit RDC</t>
        </is>
      </c>
      <c r="D71" s="1" t="inlineStr">
        <is>
          <t>M10</t>
        </is>
      </c>
      <c r="E71" s="1" t="inlineStr">
        <is>
          <t>Contract signature and order acknowledgement</t>
        </is>
      </c>
      <c r="F71" s="2" t="n">
        <v>46157</v>
      </c>
      <c r="G71" s="1" t="inlineStr"/>
      <c r="H71" s="1">
        <f>IF(G71="","",G71-F71)</f>
        <v/>
      </c>
      <c r="I71" s="1" t="inlineStr">
        <is>
          <t>No evidence located; open request with the account team</t>
        </is>
      </c>
      <c r="J71" s="1" t="inlineStr">
        <is>
          <t>20 percent on signature</t>
        </is>
      </c>
      <c r="K71" s="1" t="n">
        <v>247874.39</v>
      </c>
      <c r="L71" s="1" t="inlineStr">
        <is>
          <t>No</t>
        </is>
      </c>
      <c r="M71" s="1" t="inlineStr">
        <is>
          <t>Planned</t>
        </is>
      </c>
      <c r="N71" s="1" t="inlineStr">
        <is>
          <t>J. Alvarez</t>
        </is>
      </c>
    </row>
    <row r="72">
      <c r="A72" s="1" t="inlineStr">
        <is>
          <t>BWA-SOW-2025-848</t>
        </is>
      </c>
      <c r="B72" s="1" t="inlineStr">
        <is>
          <t>Bellweather Auto Group</t>
        </is>
      </c>
      <c r="C72" s="1" t="inlineStr">
        <is>
          <t>Bellweather PDC</t>
        </is>
      </c>
      <c r="D72" s="1" t="inlineStr">
        <is>
          <t>M20</t>
        </is>
      </c>
      <c r="E72" s="1" t="inlineStr">
        <is>
          <t>Site survey complete and layout approved</t>
        </is>
      </c>
      <c r="F72" s="2" t="n">
        <v>45982</v>
      </c>
      <c r="G72" s="1" t="inlineStr"/>
      <c r="H72" s="1">
        <f>IF(G72="","",G72-F72)</f>
        <v/>
      </c>
      <c r="I72" s="1" t="inlineStr">
        <is>
          <t>No evidence located; open request with the account team</t>
        </is>
      </c>
      <c r="J72" s="1" t="inlineStr">
        <is>
          <t>None</t>
        </is>
      </c>
      <c r="K72" s="1" t="n">
        <v>0</v>
      </c>
      <c r="L72" s="1" t="inlineStr">
        <is>
          <t>No</t>
        </is>
      </c>
      <c r="M72" s="1" t="inlineStr">
        <is>
          <t>Planned</t>
        </is>
      </c>
      <c r="N72" s="1" t="inlineStr">
        <is>
          <t>F. Lindstrom</t>
        </is>
      </c>
    </row>
    <row r="73">
      <c r="A73" s="1" t="inlineStr">
        <is>
          <t>TCE-SOW-2024-856</t>
        </is>
      </c>
      <c r="B73" s="1" t="inlineStr">
        <is>
          <t>Tamarack Electronics</t>
        </is>
      </c>
      <c r="C73" s="1" t="inlineStr">
        <is>
          <t>Tamarack SMT 2</t>
        </is>
      </c>
      <c r="D73" s="1" t="inlineStr">
        <is>
          <t>M30</t>
        </is>
      </c>
      <c r="E73" s="1" t="inlineStr">
        <is>
          <t>Hardware shipped to site</t>
        </is>
      </c>
      <c r="F73" s="2" t="n">
        <v>45999</v>
      </c>
      <c r="G73" s="1" t="inlineStr"/>
      <c r="H73" s="1">
        <f>IF(G73="","",G73-F73)</f>
        <v/>
      </c>
      <c r="I73" s="1" t="inlineStr">
        <is>
          <t>No evidence located; open request with the account team</t>
        </is>
      </c>
      <c r="J73" s="1" t="inlineStr">
        <is>
          <t>40 percent on shipment</t>
        </is>
      </c>
      <c r="K73" s="1" t="n">
        <v>385379.85</v>
      </c>
      <c r="L73" s="1" t="inlineStr">
        <is>
          <t>No</t>
        </is>
      </c>
      <c r="M73" s="1" t="inlineStr">
        <is>
          <t>Planned</t>
        </is>
      </c>
      <c r="N73" s="1" t="inlineStr">
        <is>
          <t>J. Alvarez</t>
        </is>
      </c>
    </row>
    <row r="74">
      <c r="A74" s="1" t="inlineStr">
        <is>
          <t>RWO-SOW-2025-237</t>
        </is>
      </c>
      <c r="B74" s="1" t="inlineStr">
        <is>
          <t>Redwood Optics</t>
        </is>
      </c>
      <c r="C74" s="1" t="inlineStr">
        <is>
          <t>Redwood Clean 3</t>
        </is>
      </c>
      <c r="D74" s="1" t="inlineStr">
        <is>
          <t>M40</t>
        </is>
      </c>
      <c r="E74" s="1" t="inlineStr">
        <is>
          <t>Mechanical installation complete</t>
        </is>
      </c>
      <c r="F74" s="2" t="n">
        <v>46042</v>
      </c>
      <c r="G74" s="2" t="n">
        <v>46038</v>
      </c>
      <c r="H74" s="1">
        <f>IF(G74="","",G74-F74)</f>
        <v/>
      </c>
      <c r="I74" s="1" t="inlineStr">
        <is>
          <t>Training attendance register</t>
        </is>
      </c>
      <c r="J74" s="1" t="inlineStr">
        <is>
          <t>None</t>
        </is>
      </c>
      <c r="K74" s="1" t="n">
        <v>0</v>
      </c>
      <c r="L74" s="1" t="inlineStr">
        <is>
          <t>No</t>
        </is>
      </c>
      <c r="M74" s="1" t="inlineStr">
        <is>
          <t>Complete</t>
        </is>
      </c>
      <c r="N74" s="1" t="inlineStr">
        <is>
          <t>S. Vitale</t>
        </is>
      </c>
    </row>
    <row r="75">
      <c r="A75" s="1" t="inlineStr">
        <is>
          <t>MDY-SOW-2026-584</t>
        </is>
      </c>
      <c r="B75" s="1" t="inlineStr">
        <is>
          <t>Meridian Dynamics</t>
        </is>
      </c>
      <c r="C75" s="1" t="inlineStr">
        <is>
          <t>Meridian Bay 7</t>
        </is>
      </c>
      <c r="D75" s="1" t="inlineStr">
        <is>
          <t>M50</t>
        </is>
      </c>
      <c r="E75" s="1" t="inlineStr">
        <is>
          <t>Network and warehouse-system integration complete</t>
        </is>
      </c>
      <c r="F75" s="2" t="n">
        <v>45800</v>
      </c>
      <c r="G75" s="2" t="n">
        <v>45799</v>
      </c>
      <c r="H75" s="1">
        <f>IF(G75="","",G75-F75)</f>
        <v/>
      </c>
      <c r="I75" s="1" t="inlineStr">
        <is>
          <t>Training attendance register</t>
        </is>
      </c>
      <c r="J75" s="1" t="inlineStr">
        <is>
          <t>None</t>
        </is>
      </c>
      <c r="K75" s="1" t="n">
        <v>0</v>
      </c>
      <c r="L75" s="1" t="inlineStr">
        <is>
          <t>No</t>
        </is>
      </c>
      <c r="M75" s="1" t="inlineStr">
        <is>
          <t>Complete</t>
        </is>
      </c>
      <c r="N75" s="1" t="inlineStr">
        <is>
          <t>F. Lindstrom</t>
        </is>
      </c>
    </row>
    <row r="76">
      <c r="A76" s="1" t="inlineStr">
        <is>
          <t>YHG-SOW-2024-189</t>
        </is>
      </c>
      <c r="B76" s="1" t="inlineStr">
        <is>
          <t>Yarrow Home Goods</t>
        </is>
      </c>
      <c r="C76" s="1" t="inlineStr">
        <is>
          <t>Yarrow FC3</t>
        </is>
      </c>
      <c r="D76" s="1" t="inlineStr">
        <is>
          <t>M60</t>
        </is>
      </c>
      <c r="E76" s="1" t="inlineStr">
        <is>
          <t>Safety validation witnessed by customer</t>
        </is>
      </c>
      <c r="F76" s="2" t="n">
        <v>45740</v>
      </c>
      <c r="G76" s="2" t="n">
        <v>45744</v>
      </c>
      <c r="H76" s="1">
        <f>IF(G76="","",G76-F76)</f>
        <v/>
      </c>
      <c r="I76" s="1" t="inlineStr">
        <is>
          <t>Conditional acceptance letter with open punch list</t>
        </is>
      </c>
      <c r="J76" s="1" t="inlineStr">
        <is>
          <t>None</t>
        </is>
      </c>
      <c r="K76" s="1" t="n">
        <v>0</v>
      </c>
      <c r="L76" s="1" t="inlineStr">
        <is>
          <t>No</t>
        </is>
      </c>
      <c r="M76" s="1" t="inlineStr">
        <is>
          <t>Complete</t>
        </is>
      </c>
      <c r="N76" s="1" t="inlineStr">
        <is>
          <t>J. Alvarez</t>
        </is>
      </c>
    </row>
    <row r="77">
      <c r="A77" s="1" t="inlineStr">
        <is>
          <t>AST-SOW-2024-495</t>
        </is>
      </c>
      <c r="B77" s="1" t="inlineStr">
        <is>
          <t>Asterion Logistics</t>
        </is>
      </c>
      <c r="C77" s="1" t="inlineStr">
        <is>
          <t>Tracy DC</t>
        </is>
      </c>
      <c r="D77" s="1" t="inlineStr">
        <is>
          <t>M70</t>
        </is>
      </c>
      <c r="E77" s="1" t="inlineStr">
        <is>
          <t>Pilot cell operating at contracted throughput</t>
        </is>
      </c>
      <c r="F77" s="2" t="n">
        <v>45765</v>
      </c>
      <c r="G77" s="1" t="inlineStr"/>
      <c r="H77" s="1">
        <f>IF(G77="","",G77-F77)</f>
        <v/>
      </c>
      <c r="I77" s="1" t="inlineStr">
        <is>
          <t>No evidence located; open request with the account team</t>
        </is>
      </c>
      <c r="J77" s="1" t="inlineStr">
        <is>
          <t>20 percent on pilot</t>
        </is>
      </c>
      <c r="K77" s="1" t="n">
        <v>191094.25</v>
      </c>
      <c r="L77" s="1" t="inlineStr">
        <is>
          <t>No</t>
        </is>
      </c>
      <c r="M77" s="1" t="inlineStr">
        <is>
          <t>In progress</t>
        </is>
      </c>
      <c r="N77" s="1" t="inlineStr">
        <is>
          <t>F. Lindstrom</t>
        </is>
      </c>
    </row>
    <row r="78">
      <c r="A78" s="1" t="inlineStr">
        <is>
          <t>HLS-SOW-2025-253</t>
        </is>
      </c>
      <c r="B78" s="1" t="inlineStr">
        <is>
          <t>Harborline Systems</t>
        </is>
      </c>
      <c r="C78" s="1" t="inlineStr">
        <is>
          <t>Harborline Pier 9</t>
        </is>
      </c>
      <c r="D78" s="1" t="inlineStr">
        <is>
          <t>M80</t>
        </is>
      </c>
      <c r="E78" s="1" t="inlineStr">
        <is>
          <t>Operator training delivered and signed off</t>
        </is>
      </c>
      <c r="F78" s="2" t="n">
        <v>45957</v>
      </c>
      <c r="G78" s="2" t="n">
        <v>45957</v>
      </c>
      <c r="H78" s="1">
        <f>IF(G78="","",G78-F78)</f>
        <v/>
      </c>
      <c r="I78" s="1" t="inlineStr">
        <is>
          <t>Witnessed safety validation report</t>
        </is>
      </c>
      <c r="J78" s="1" t="inlineStr">
        <is>
          <t>None</t>
        </is>
      </c>
      <c r="K78" s="1" t="n">
        <v>0</v>
      </c>
      <c r="L78" s="1" t="inlineStr">
        <is>
          <t>No</t>
        </is>
      </c>
      <c r="M78" s="1" t="inlineStr">
        <is>
          <t>Complete</t>
        </is>
      </c>
      <c r="N78" s="1" t="inlineStr">
        <is>
          <t>F. Lindstrom</t>
        </is>
      </c>
    </row>
    <row r="79">
      <c r="A79" s="1" t="inlineStr">
        <is>
          <t>QBM-SOW-2026-281</t>
        </is>
      </c>
      <c r="B79" s="1" t="inlineStr">
        <is>
          <t>Quarrybridge Materials</t>
        </is>
      </c>
      <c r="C79" s="1" t="inlineStr">
        <is>
          <t>Quarrybridge Site 1</t>
        </is>
      </c>
      <c r="D79" s="1" t="inlineStr">
        <is>
          <t>M90</t>
        </is>
      </c>
      <c r="E79" s="1" t="inlineStr">
        <is>
          <t>Customer acceptance certificate countersigned</t>
        </is>
      </c>
      <c r="F79" s="2" t="n">
        <v>46038</v>
      </c>
      <c r="G79" s="2" t="n">
        <v>46038</v>
      </c>
      <c r="H79" s="1">
        <f>IF(G79="","",G79-F79)</f>
        <v/>
      </c>
      <c r="I79" s="1" t="inlineStr">
        <is>
          <t>Countersigned acceptance certificate</t>
        </is>
      </c>
      <c r="J79" s="1" t="inlineStr">
        <is>
          <t>20 percent on acceptance</t>
        </is>
      </c>
      <c r="K79" s="1" t="n">
        <v>336209</v>
      </c>
      <c r="L79" s="1" t="inlineStr">
        <is>
          <t>Yes</t>
        </is>
      </c>
      <c r="M79" s="1" t="inlineStr">
        <is>
          <t>Complete</t>
        </is>
      </c>
      <c r="N79" s="1" t="inlineStr">
        <is>
          <t>S. Vitale</t>
        </is>
      </c>
    </row>
    <row r="80">
      <c r="A80" s="1" t="inlineStr">
        <is>
          <t>IVG-SOW-2025-218</t>
        </is>
      </c>
      <c r="B80" s="1" t="inlineStr">
        <is>
          <t>Ironvale Grocery Group</t>
        </is>
      </c>
      <c r="C80" s="1" t="inlineStr">
        <is>
          <t>Ironvale RDC</t>
        </is>
      </c>
      <c r="D80" s="1" t="inlineStr">
        <is>
          <t>M95</t>
        </is>
      </c>
      <c r="E80" s="1" t="inlineStr">
        <is>
          <t>Warranty commencement recorded</t>
        </is>
      </c>
      <c r="F80" s="2" t="n">
        <v>46041</v>
      </c>
      <c r="G80" s="2" t="n">
        <v>46037</v>
      </c>
      <c r="H80" s="1">
        <f>IF(G80="","",G80-F80)</f>
        <v/>
      </c>
      <c r="I80" s="1" t="inlineStr">
        <is>
          <t>Conditional acceptance letter with open punch list</t>
        </is>
      </c>
      <c r="J80" s="1" t="inlineStr">
        <is>
          <t>None</t>
        </is>
      </c>
      <c r="K80" s="1" t="n">
        <v>0</v>
      </c>
      <c r="L80" s="1" t="inlineStr">
        <is>
          <t>No</t>
        </is>
      </c>
      <c r="M80" s="1" t="inlineStr">
        <is>
          <t>Complete</t>
        </is>
      </c>
      <c r="N80" s="1" t="inlineStr">
        <is>
          <t>S. Vitale</t>
        </is>
      </c>
    </row>
    <row r="81">
      <c r="A81" s="1" t="inlineStr">
        <is>
          <t>GPD-SOW-2024-356</t>
        </is>
      </c>
      <c r="B81" s="1" t="inlineStr">
        <is>
          <t>Granite Peak Distribution</t>
        </is>
      </c>
      <c r="C81" s="1" t="inlineStr">
        <is>
          <t>Granite Yard</t>
        </is>
      </c>
      <c r="D81" s="1" t="inlineStr">
        <is>
          <t>M10</t>
        </is>
      </c>
      <c r="E81" s="1" t="inlineStr">
        <is>
          <t>Contract signature and order acknowledgement</t>
        </is>
      </c>
      <c r="F81" s="2" t="n">
        <v>46094</v>
      </c>
      <c r="G81" s="1" t="inlineStr"/>
      <c r="H81" s="1">
        <f>IF(G81="","",G81-F81)</f>
        <v/>
      </c>
      <c r="I81" s="1" t="inlineStr">
        <is>
          <t>No evidence located; open request with the account team</t>
        </is>
      </c>
      <c r="J81" s="1" t="inlineStr">
        <is>
          <t>20 percent on signature</t>
        </is>
      </c>
      <c r="K81" s="1" t="n">
        <v>485624.12</v>
      </c>
      <c r="L81" s="1" t="inlineStr">
        <is>
          <t>No</t>
        </is>
      </c>
      <c r="M81" s="1" t="inlineStr">
        <is>
          <t>In progress</t>
        </is>
      </c>
      <c r="N81" s="1" t="inlineStr">
        <is>
          <t>H. Ferrand</t>
        </is>
      </c>
    </row>
    <row r="82">
      <c r="A82" s="1" t="inlineStr">
        <is>
          <t>IVG-SOW-2025-374</t>
        </is>
      </c>
      <c r="B82" s="1" t="inlineStr">
        <is>
          <t>Ironvale Grocery Group</t>
        </is>
      </c>
      <c r="C82" s="1" t="inlineStr">
        <is>
          <t>Ironvale RDC</t>
        </is>
      </c>
      <c r="D82" s="1" t="inlineStr">
        <is>
          <t>M20</t>
        </is>
      </c>
      <c r="E82" s="1" t="inlineStr">
        <is>
          <t>Site survey complete and layout approved</t>
        </is>
      </c>
      <c r="F82" s="2" t="n">
        <v>45758</v>
      </c>
      <c r="G82" s="1" t="inlineStr"/>
      <c r="H82" s="1">
        <f>IF(G82="","",G82-F82)</f>
        <v/>
      </c>
      <c r="I82" s="1" t="inlineStr">
        <is>
          <t>No evidence located; open request with the account team</t>
        </is>
      </c>
      <c r="J82" s="1" t="inlineStr">
        <is>
          <t>None</t>
        </is>
      </c>
      <c r="K82" s="1" t="n">
        <v>0</v>
      </c>
      <c r="L82" s="1" t="inlineStr">
        <is>
          <t>No</t>
        </is>
      </c>
      <c r="M82" s="1" t="inlineStr">
        <is>
          <t>Planned</t>
        </is>
      </c>
      <c r="N82" s="1" t="inlineStr">
        <is>
          <t>F. Lindstrom</t>
        </is>
      </c>
    </row>
    <row r="83">
      <c r="A83" s="1" t="inlineStr">
        <is>
          <t>NFB-SOW-2024-900</t>
        </is>
      </c>
      <c r="B83" s="1" t="inlineStr">
        <is>
          <t>Northfield Beverage</t>
        </is>
      </c>
      <c r="C83" s="1" t="inlineStr">
        <is>
          <t>Northfield Line 5</t>
        </is>
      </c>
      <c r="D83" s="1" t="inlineStr">
        <is>
          <t>M30</t>
        </is>
      </c>
      <c r="E83" s="1" t="inlineStr">
        <is>
          <t>Hardware shipped to site</t>
        </is>
      </c>
      <c r="F83" s="2" t="n">
        <v>46191</v>
      </c>
      <c r="G83" s="2" t="n">
        <v>46191</v>
      </c>
      <c r="H83" s="1">
        <f>IF(G83="","",G83-F83)</f>
        <v/>
      </c>
      <c r="I83" s="1" t="inlineStr">
        <is>
          <t>Witnessed safety validation report</t>
        </is>
      </c>
      <c r="J83" s="1" t="inlineStr">
        <is>
          <t>40 percent on shipment</t>
        </is>
      </c>
      <c r="K83" s="1" t="n">
        <v>117880.99</v>
      </c>
      <c r="L83" s="1" t="inlineStr">
        <is>
          <t>No</t>
        </is>
      </c>
      <c r="M83" s="1" t="inlineStr">
        <is>
          <t>Conditionally accepted</t>
        </is>
      </c>
      <c r="N83" s="1" t="inlineStr">
        <is>
          <t>H. Ferrand</t>
        </is>
      </c>
    </row>
    <row r="84">
      <c r="A84" s="1" t="inlineStr">
        <is>
          <t>HLS-SOW-2025-755</t>
        </is>
      </c>
      <c r="B84" s="1" t="inlineStr">
        <is>
          <t>Harborline Systems</t>
        </is>
      </c>
      <c r="C84" s="1" t="inlineStr">
        <is>
          <t>Harborline Pier 9</t>
        </is>
      </c>
      <c r="D84" s="1" t="inlineStr">
        <is>
          <t>M40</t>
        </is>
      </c>
      <c r="E84" s="1" t="inlineStr">
        <is>
          <t>Mechanical installation complete</t>
        </is>
      </c>
      <c r="F84" s="2" t="n">
        <v>46059</v>
      </c>
      <c r="G84" s="2" t="n">
        <v>46093</v>
      </c>
      <c r="H84" s="1">
        <f>IF(G84="","",G84-F84)</f>
        <v/>
      </c>
      <c r="I84" s="1" t="inlineStr">
        <is>
          <t>Site sign-off form with throughput log attached</t>
        </is>
      </c>
      <c r="J84" s="1" t="inlineStr">
        <is>
          <t>None</t>
        </is>
      </c>
      <c r="K84" s="1" t="n">
        <v>0</v>
      </c>
      <c r="L84" s="1" t="inlineStr">
        <is>
          <t>No</t>
        </is>
      </c>
      <c r="M84" s="1" t="inlineStr">
        <is>
          <t>Complete</t>
        </is>
      </c>
      <c r="N84" s="1" t="inlineStr">
        <is>
          <t>S. Vitale</t>
        </is>
      </c>
    </row>
    <row r="85">
      <c r="A85" s="1" t="inlineStr">
        <is>
          <t>NFB-SOW-2024-932</t>
        </is>
      </c>
      <c r="B85" s="1" t="inlineStr">
        <is>
          <t>Northfield Beverage</t>
        </is>
      </c>
      <c r="C85" s="1" t="inlineStr">
        <is>
          <t>Northfield Line 5</t>
        </is>
      </c>
      <c r="D85" s="1" t="inlineStr">
        <is>
          <t>M50</t>
        </is>
      </c>
      <c r="E85" s="1" t="inlineStr">
        <is>
          <t>Network and warehouse-system integration complete</t>
        </is>
      </c>
      <c r="F85" s="2" t="n">
        <v>45758</v>
      </c>
      <c r="G85" s="2" t="n">
        <v>45754</v>
      </c>
      <c r="H85" s="1">
        <f>IF(G85="","",G85-F85)</f>
        <v/>
      </c>
      <c r="I85" s="1" t="inlineStr">
        <is>
          <t>Conditional acceptance letter with open punch list</t>
        </is>
      </c>
      <c r="J85" s="1" t="inlineStr">
        <is>
          <t>None</t>
        </is>
      </c>
      <c r="K85" s="1" t="n">
        <v>0</v>
      </c>
      <c r="L85" s="1" t="inlineStr">
        <is>
          <t>No</t>
        </is>
      </c>
      <c r="M85" s="1" t="inlineStr">
        <is>
          <t>Conditionally accepted</t>
        </is>
      </c>
      <c r="N85" s="1" t="inlineStr">
        <is>
          <t>S. Vitale</t>
        </is>
      </c>
    </row>
    <row r="86">
      <c r="A86" s="1" t="inlineStr">
        <is>
          <t>BWA-SOW-2026-988</t>
        </is>
      </c>
      <c r="B86" s="1" t="inlineStr">
        <is>
          <t>Bellweather Auto Group</t>
        </is>
      </c>
      <c r="C86" s="1" t="inlineStr">
        <is>
          <t>Bellweather PDC</t>
        </is>
      </c>
      <c r="D86" s="1" t="inlineStr">
        <is>
          <t>M60</t>
        </is>
      </c>
      <c r="E86" s="1" t="inlineStr">
        <is>
          <t>Safety validation witnessed by customer</t>
        </is>
      </c>
      <c r="F86" s="2" t="n">
        <v>45926</v>
      </c>
      <c r="G86" s="2" t="n">
        <v>45931</v>
      </c>
      <c r="H86" s="1">
        <f>IF(G86="","",G86-F86)</f>
        <v/>
      </c>
      <c r="I86" s="1" t="inlineStr">
        <is>
          <t>Conditional acceptance letter with open punch list</t>
        </is>
      </c>
      <c r="J86" s="1" t="inlineStr">
        <is>
          <t>None</t>
        </is>
      </c>
      <c r="K86" s="1" t="n">
        <v>0</v>
      </c>
      <c r="L86" s="1" t="inlineStr">
        <is>
          <t>No</t>
        </is>
      </c>
      <c r="M86" s="1" t="inlineStr">
        <is>
          <t>Conditionally accepted</t>
        </is>
      </c>
      <c r="N86" s="1" t="inlineStr">
        <is>
          <t>B. Ng</t>
        </is>
      </c>
    </row>
    <row r="87">
      <c r="A87" s="1" t="inlineStr">
        <is>
          <t>FTM-SOW-2024-988</t>
        </is>
      </c>
      <c r="B87" s="1" t="inlineStr">
        <is>
          <t>Fathom Mobility</t>
        </is>
      </c>
      <c r="C87" s="1" t="inlineStr">
        <is>
          <t>Fathom Line A</t>
        </is>
      </c>
      <c r="D87" s="1" t="inlineStr">
        <is>
          <t>M70</t>
        </is>
      </c>
      <c r="E87" s="1" t="inlineStr">
        <is>
          <t>Pilot cell operating at contracted throughput</t>
        </is>
      </c>
      <c r="F87" s="2" t="n">
        <v>45765</v>
      </c>
      <c r="G87" s="1" t="inlineStr"/>
      <c r="H87" s="1">
        <f>IF(G87="","",G87-F87)</f>
        <v/>
      </c>
      <c r="I87" s="1" t="inlineStr">
        <is>
          <t>No evidence located; open request with the account team</t>
        </is>
      </c>
      <c r="J87" s="1" t="inlineStr">
        <is>
          <t>20 percent on pilot</t>
        </is>
      </c>
      <c r="K87" s="1" t="n">
        <v>352937.73</v>
      </c>
      <c r="L87" s="1" t="inlineStr">
        <is>
          <t>No</t>
        </is>
      </c>
      <c r="M87" s="1" t="inlineStr">
        <is>
          <t>Planned</t>
        </is>
      </c>
      <c r="N87" s="1" t="inlineStr">
        <is>
          <t>H. Ferrand</t>
        </is>
      </c>
    </row>
    <row r="88">
      <c r="A88" s="1" t="inlineStr">
        <is>
          <t>EWP-SOW-2025-952</t>
        </is>
      </c>
      <c r="B88" s="1" t="inlineStr">
        <is>
          <t>Elmsworth Publishing</t>
        </is>
      </c>
      <c r="C88" s="1" t="inlineStr">
        <is>
          <t>Elmsworth Bindery</t>
        </is>
      </c>
      <c r="D88" s="1" t="inlineStr">
        <is>
          <t>M80</t>
        </is>
      </c>
      <c r="E88" s="1" t="inlineStr">
        <is>
          <t>Operator training delivered and signed off</t>
        </is>
      </c>
      <c r="F88" s="2" t="n">
        <v>46090</v>
      </c>
      <c r="G88" s="1" t="inlineStr"/>
      <c r="H88" s="1">
        <f>IF(G88="","",G88-F88)</f>
        <v/>
      </c>
      <c r="I88" s="1" t="inlineStr">
        <is>
          <t>No evidence located; open request with the account team</t>
        </is>
      </c>
      <c r="J88" s="1" t="inlineStr">
        <is>
          <t>None</t>
        </is>
      </c>
      <c r="K88" s="1" t="n">
        <v>0</v>
      </c>
      <c r="L88" s="1" t="inlineStr">
        <is>
          <t>No</t>
        </is>
      </c>
      <c r="M88" s="1" t="inlineStr">
        <is>
          <t>In progress</t>
        </is>
      </c>
      <c r="N88" s="1" t="inlineStr">
        <is>
          <t>B. Ng</t>
        </is>
      </c>
    </row>
    <row r="89">
      <c r="A89" s="1" t="inlineStr">
        <is>
          <t>HLS-SOW-2024-861</t>
        </is>
      </c>
      <c r="B89" s="1" t="inlineStr">
        <is>
          <t>Harborline Systems</t>
        </is>
      </c>
      <c r="C89" s="1" t="inlineStr">
        <is>
          <t>Harborline Pier 9</t>
        </is>
      </c>
      <c r="D89" s="1" t="inlineStr">
        <is>
          <t>M90</t>
        </is>
      </c>
      <c r="E89" s="1" t="inlineStr">
        <is>
          <t>Customer acceptance certificate countersigned</t>
        </is>
      </c>
      <c r="F89" s="2" t="n">
        <v>45960</v>
      </c>
      <c r="G89" s="2" t="n">
        <v>45961</v>
      </c>
      <c r="H89" s="1">
        <f>IF(G89="","",G89-F89)</f>
        <v/>
      </c>
      <c r="I89" s="1" t="inlineStr">
        <is>
          <t>Conditional acceptance letter with open punch list</t>
        </is>
      </c>
      <c r="J89" s="1" t="inlineStr">
        <is>
          <t>20 percent on acceptance</t>
        </is>
      </c>
      <c r="K89" s="1" t="n">
        <v>316246.44</v>
      </c>
      <c r="L89" s="1" t="inlineStr">
        <is>
          <t>Yes</t>
        </is>
      </c>
      <c r="M89" s="1" t="inlineStr">
        <is>
          <t>Complete</t>
        </is>
      </c>
      <c r="N89" s="1" t="inlineStr">
        <is>
          <t>F. Lindstrom</t>
        </is>
      </c>
    </row>
    <row r="90">
      <c r="A90" s="1" t="inlineStr">
        <is>
          <t>GPD-SOW-2024-114</t>
        </is>
      </c>
      <c r="B90" s="1" t="inlineStr">
        <is>
          <t>Granite Peak Distribution</t>
        </is>
      </c>
      <c r="C90" s="1" t="inlineStr">
        <is>
          <t>Granite Yard</t>
        </is>
      </c>
      <c r="D90" s="1" t="inlineStr">
        <is>
          <t>M95</t>
        </is>
      </c>
      <c r="E90" s="1" t="inlineStr">
        <is>
          <t>Warranty commencement recorded</t>
        </is>
      </c>
      <c r="F90" s="2" t="n">
        <v>45723</v>
      </c>
      <c r="G90" s="1" t="inlineStr"/>
      <c r="H90" s="1">
        <f>IF(G90="","",G90-F90)</f>
        <v/>
      </c>
      <c r="I90" s="1" t="inlineStr">
        <is>
          <t>No evidence located; open request with the account team</t>
        </is>
      </c>
      <c r="J90" s="1" t="inlineStr">
        <is>
          <t>None</t>
        </is>
      </c>
      <c r="K90" s="1" t="n">
        <v>0</v>
      </c>
      <c r="L90" s="1" t="inlineStr">
        <is>
          <t>No</t>
        </is>
      </c>
      <c r="M90" s="1" t="inlineStr">
        <is>
          <t>Blocked on customer</t>
        </is>
      </c>
      <c r="N90" s="1" t="inlineStr">
        <is>
          <t>H. Ferrand</t>
        </is>
      </c>
    </row>
    <row r="91">
      <c r="A91" s="1" t="inlineStr">
        <is>
          <t>BWA-SOW-2026-436</t>
        </is>
      </c>
      <c r="B91" s="1" t="inlineStr">
        <is>
          <t>Bellweather Auto Group</t>
        </is>
      </c>
      <c r="C91" s="1" t="inlineStr">
        <is>
          <t>Bellweather PDC</t>
        </is>
      </c>
      <c r="D91" s="1" t="inlineStr">
        <is>
          <t>M10</t>
        </is>
      </c>
      <c r="E91" s="1" t="inlineStr">
        <is>
          <t>Contract signature and order acknowledgement</t>
        </is>
      </c>
      <c r="F91" s="2" t="n">
        <v>45835</v>
      </c>
      <c r="G91" s="1" t="inlineStr"/>
      <c r="H91" s="1">
        <f>IF(G91="","",G91-F91)</f>
        <v/>
      </c>
      <c r="I91" s="1" t="inlineStr">
        <is>
          <t>No evidence located; open request with the account team</t>
        </is>
      </c>
      <c r="J91" s="1" t="inlineStr">
        <is>
          <t>20 percent on signature</t>
        </is>
      </c>
      <c r="K91" s="1" t="n">
        <v>263498.11</v>
      </c>
      <c r="L91" s="1" t="inlineStr">
        <is>
          <t>No</t>
        </is>
      </c>
      <c r="M91" s="1" t="inlineStr">
        <is>
          <t>Blocked on customer</t>
        </is>
      </c>
      <c r="N91" s="1" t="inlineStr">
        <is>
          <t>B. Ng</t>
        </is>
      </c>
    </row>
    <row r="92">
      <c r="A92" s="1" t="inlineStr">
        <is>
          <t>GPD-SOW-2024-422</t>
        </is>
      </c>
      <c r="B92" s="1" t="inlineStr">
        <is>
          <t>Granite Peak Distribution</t>
        </is>
      </c>
      <c r="C92" s="1" t="inlineStr">
        <is>
          <t>Granite Yard</t>
        </is>
      </c>
      <c r="D92" s="1" t="inlineStr">
        <is>
          <t>M20</t>
        </is>
      </c>
      <c r="E92" s="1" t="inlineStr">
        <is>
          <t>Site survey complete and layout approved</t>
        </is>
      </c>
      <c r="F92" s="2" t="n">
        <v>45891</v>
      </c>
      <c r="G92" s="1" t="inlineStr"/>
      <c r="H92" s="1">
        <f>IF(G92="","",G92-F92)</f>
        <v/>
      </c>
      <c r="I92" s="1" t="inlineStr">
        <is>
          <t>No evidence located; open request with the account team</t>
        </is>
      </c>
      <c r="J92" s="1" t="inlineStr">
        <is>
          <t>None</t>
        </is>
      </c>
      <c r="K92" s="1" t="n">
        <v>0</v>
      </c>
      <c r="L92" s="1" t="inlineStr">
        <is>
          <t>No</t>
        </is>
      </c>
      <c r="M92" s="1" t="inlineStr">
        <is>
          <t>Blocked on customer</t>
        </is>
      </c>
      <c r="N92" s="1" t="inlineStr">
        <is>
          <t>B. Ng</t>
        </is>
      </c>
    </row>
    <row r="93">
      <c r="A93" s="1" t="inlineStr">
        <is>
          <t>WCD-SOW-2025-742</t>
        </is>
      </c>
      <c r="B93" s="1" t="inlineStr">
        <is>
          <t>Westlake Chemical Depot</t>
        </is>
      </c>
      <c r="C93" s="1" t="inlineStr">
        <is>
          <t>Westlake Tank 6</t>
        </is>
      </c>
      <c r="D93" s="1" t="inlineStr">
        <is>
          <t>M30</t>
        </is>
      </c>
      <c r="E93" s="1" t="inlineStr">
        <is>
          <t>Hardware shipped to site</t>
        </is>
      </c>
      <c r="F93" s="2" t="n">
        <v>45765</v>
      </c>
      <c r="G93" s="2" t="n">
        <v>45783</v>
      </c>
      <c r="H93" s="1">
        <f>IF(G93="","",G93-F93)</f>
        <v/>
      </c>
      <c r="I93" s="1" t="inlineStr">
        <is>
          <t>Countersigned acceptance certificate</t>
        </is>
      </c>
      <c r="J93" s="1" t="inlineStr">
        <is>
          <t>40 percent on shipment</t>
        </is>
      </c>
      <c r="K93" s="1" t="n">
        <v>360043.43</v>
      </c>
      <c r="L93" s="1" t="inlineStr">
        <is>
          <t>No</t>
        </is>
      </c>
      <c r="M93" s="1" t="inlineStr">
        <is>
          <t>Conditionally accepted</t>
        </is>
      </c>
      <c r="N93" s="1" t="inlineStr">
        <is>
          <t>S. Vitale</t>
        </is>
      </c>
    </row>
    <row r="94">
      <c r="A94" s="1" t="inlineStr">
        <is>
          <t>EWP-SOW-2025-612</t>
        </is>
      </c>
      <c r="B94" s="1" t="inlineStr">
        <is>
          <t>Elmsworth Publishing</t>
        </is>
      </c>
      <c r="C94" s="1" t="inlineStr">
        <is>
          <t>Elmsworth Bindery</t>
        </is>
      </c>
      <c r="D94" s="1" t="inlineStr">
        <is>
          <t>M40</t>
        </is>
      </c>
      <c r="E94" s="1" t="inlineStr">
        <is>
          <t>Mechanical installation complete</t>
        </is>
      </c>
      <c r="F94" s="2" t="n">
        <v>45869</v>
      </c>
      <c r="G94" s="2" t="n">
        <v>45877</v>
      </c>
      <c r="H94" s="1">
        <f>IF(G94="","",G94-F94)</f>
        <v/>
      </c>
      <c r="I94" s="1" t="inlineStr">
        <is>
          <t>Conditional acceptance letter with open punch list</t>
        </is>
      </c>
      <c r="J94" s="1" t="inlineStr">
        <is>
          <t>None</t>
        </is>
      </c>
      <c r="K94" s="1" t="n">
        <v>0</v>
      </c>
      <c r="L94" s="1" t="inlineStr">
        <is>
          <t>No</t>
        </is>
      </c>
      <c r="M94" s="1" t="inlineStr">
        <is>
          <t>Complete</t>
        </is>
      </c>
      <c r="N94" s="1" t="inlineStr">
        <is>
          <t>S. Vitale</t>
        </is>
      </c>
    </row>
    <row r="95">
      <c r="A95" s="1" t="inlineStr">
        <is>
          <t>JHS-SOW-2024-805</t>
        </is>
      </c>
      <c r="B95" s="1" t="inlineStr">
        <is>
          <t>Juniper Health Supply</t>
        </is>
      </c>
      <c r="C95" s="1" t="inlineStr">
        <is>
          <t>Juniper Sterile 1</t>
        </is>
      </c>
      <c r="D95" s="1" t="inlineStr">
        <is>
          <t>M50</t>
        </is>
      </c>
      <c r="E95" s="1" t="inlineStr">
        <is>
          <t>Network and warehouse-system integration complete</t>
        </is>
      </c>
      <c r="F95" s="2" t="n">
        <v>45847</v>
      </c>
      <c r="G95" s="2" t="n">
        <v>45847</v>
      </c>
      <c r="H95" s="1">
        <f>IF(G95="","",G95-F95)</f>
        <v/>
      </c>
      <c r="I95" s="1" t="inlineStr">
        <is>
          <t>Customer email confirmation retained in the deployment file</t>
        </is>
      </c>
      <c r="J95" s="1" t="inlineStr">
        <is>
          <t>None</t>
        </is>
      </c>
      <c r="K95" s="1" t="n">
        <v>0</v>
      </c>
      <c r="L95" s="1" t="inlineStr">
        <is>
          <t>No</t>
        </is>
      </c>
      <c r="M95" s="1" t="inlineStr">
        <is>
          <t>Complete</t>
        </is>
      </c>
      <c r="N95" s="1" t="inlineStr">
        <is>
          <t>H. Ferrand</t>
        </is>
      </c>
    </row>
    <row r="96">
      <c r="A96" s="1" t="inlineStr">
        <is>
          <t>BMC-SOW-2026-808</t>
        </is>
      </c>
      <c r="B96" s="1" t="inlineStr">
        <is>
          <t>Blue Mesa Components</t>
        </is>
      </c>
      <c r="C96" s="1" t="inlineStr">
        <is>
          <t>Mesa Plant 2</t>
        </is>
      </c>
      <c r="D96" s="1" t="inlineStr">
        <is>
          <t>M60</t>
        </is>
      </c>
      <c r="E96" s="1" t="inlineStr">
        <is>
          <t>Safety validation witnessed by customer</t>
        </is>
      </c>
      <c r="F96" s="2" t="n">
        <v>45765</v>
      </c>
      <c r="G96" s="2" t="n">
        <v>45765</v>
      </c>
      <c r="H96" s="1">
        <f>IF(G96="","",G96-F96)</f>
        <v/>
      </c>
      <c r="I96" s="1" t="inlineStr">
        <is>
          <t>Countersigned acceptance certificate</t>
        </is>
      </c>
      <c r="J96" s="1" t="inlineStr">
        <is>
          <t>None</t>
        </is>
      </c>
      <c r="K96" s="1" t="n">
        <v>0</v>
      </c>
      <c r="L96" s="1" t="inlineStr">
        <is>
          <t>No</t>
        </is>
      </c>
      <c r="M96" s="1" t="inlineStr">
        <is>
          <t>Complete</t>
        </is>
      </c>
      <c r="N96" s="1" t="inlineStr">
        <is>
          <t>J. Alvarez</t>
        </is>
      </c>
    </row>
    <row r="97">
      <c r="A97" s="1" t="inlineStr">
        <is>
          <t>QBM-SOW-2024-466</t>
        </is>
      </c>
      <c r="B97" s="1" t="inlineStr">
        <is>
          <t>Quarrybridge Materials</t>
        </is>
      </c>
      <c r="C97" s="1" t="inlineStr">
        <is>
          <t>Quarrybridge Site 1</t>
        </is>
      </c>
      <c r="D97" s="1" t="inlineStr">
        <is>
          <t>M70</t>
        </is>
      </c>
      <c r="E97" s="1" t="inlineStr">
        <is>
          <t>Pilot cell operating at contracted throughput</t>
        </is>
      </c>
      <c r="F97" s="2" t="n">
        <v>45940</v>
      </c>
      <c r="G97" s="2" t="n">
        <v>45974</v>
      </c>
      <c r="H97" s="1">
        <f>IF(G97="","",G97-F97)</f>
        <v/>
      </c>
      <c r="I97" s="1" t="inlineStr">
        <is>
          <t>Site sign-off form with throughput log attached</t>
        </is>
      </c>
      <c r="J97" s="1" t="inlineStr">
        <is>
          <t>20 percent on pilot</t>
        </is>
      </c>
      <c r="K97" s="1" t="n">
        <v>332703.37</v>
      </c>
      <c r="L97" s="1" t="inlineStr">
        <is>
          <t>No</t>
        </is>
      </c>
      <c r="M97" s="1" t="inlineStr">
        <is>
          <t>Deferred at customer request</t>
        </is>
      </c>
      <c r="N97" s="1" t="inlineStr">
        <is>
          <t>F. Lindstrom</t>
        </is>
      </c>
    </row>
    <row r="98">
      <c r="A98" s="1" t="inlineStr">
        <is>
          <t>LKA-SOW-2024-601</t>
        </is>
      </c>
      <c r="B98" s="1" t="inlineStr">
        <is>
          <t>Larkspur Apparel</t>
        </is>
      </c>
      <c r="C98" s="1" t="inlineStr">
        <is>
          <t>Larkspur FC2</t>
        </is>
      </c>
      <c r="D98" s="1" t="inlineStr">
        <is>
          <t>M80</t>
        </is>
      </c>
      <c r="E98" s="1" t="inlineStr">
        <is>
          <t>Operator training delivered and signed off</t>
        </is>
      </c>
      <c r="F98" s="2" t="n">
        <v>46142</v>
      </c>
      <c r="G98" s="1" t="inlineStr"/>
      <c r="H98" s="1">
        <f>IF(G98="","",G98-F98)</f>
        <v/>
      </c>
      <c r="I98" s="1" t="inlineStr">
        <is>
          <t>No evidence located; open request with the account team</t>
        </is>
      </c>
      <c r="J98" s="1" t="inlineStr">
        <is>
          <t>None</t>
        </is>
      </c>
      <c r="K98" s="1" t="n">
        <v>0</v>
      </c>
      <c r="L98" s="1" t="inlineStr">
        <is>
          <t>No</t>
        </is>
      </c>
      <c r="M98" s="1" t="inlineStr">
        <is>
          <t>In progress</t>
        </is>
      </c>
      <c r="N98" s="1" t="inlineStr">
        <is>
          <t>H. Ferrand</t>
        </is>
      </c>
    </row>
    <row r="99">
      <c r="A99" s="1" t="inlineStr">
        <is>
          <t>HLS-SOW-2024-269</t>
        </is>
      </c>
      <c r="B99" s="1" t="inlineStr">
        <is>
          <t>Harborline Systems</t>
        </is>
      </c>
      <c r="C99" s="1" t="inlineStr">
        <is>
          <t>Harborline Pier 9</t>
        </is>
      </c>
      <c r="D99" s="1" t="inlineStr">
        <is>
          <t>M90</t>
        </is>
      </c>
      <c r="E99" s="1" t="inlineStr">
        <is>
          <t>Customer acceptance certificate countersigned</t>
        </is>
      </c>
      <c r="F99" s="2" t="n">
        <v>45894</v>
      </c>
      <c r="G99" s="2" t="n">
        <v>45926</v>
      </c>
      <c r="H99" s="1">
        <f>IF(G99="","",G99-F99)</f>
        <v/>
      </c>
      <c r="I99" s="1" t="inlineStr">
        <is>
          <t>Countersigned acceptance certificate</t>
        </is>
      </c>
      <c r="J99" s="1" t="inlineStr">
        <is>
          <t>20 percent on acceptance</t>
        </is>
      </c>
      <c r="K99" s="1" t="n">
        <v>382614.72</v>
      </c>
      <c r="L99" s="1" t="inlineStr">
        <is>
          <t>Yes</t>
        </is>
      </c>
      <c r="M99" s="1" t="inlineStr">
        <is>
          <t>Complete</t>
        </is>
      </c>
      <c r="N99" s="1" t="inlineStr">
        <is>
          <t>J. Alvarez</t>
        </is>
      </c>
    </row>
    <row r="100">
      <c r="A100" s="1" t="inlineStr">
        <is>
          <t>LKA-SOW-2024-341</t>
        </is>
      </c>
      <c r="B100" s="1" t="inlineStr">
        <is>
          <t>Larkspur Apparel</t>
        </is>
      </c>
      <c r="C100" s="1" t="inlineStr">
        <is>
          <t>Larkspur FC2</t>
        </is>
      </c>
      <c r="D100" s="1" t="inlineStr">
        <is>
          <t>M95</t>
        </is>
      </c>
      <c r="E100" s="1" t="inlineStr">
        <is>
          <t>Warranty commencement recorded</t>
        </is>
      </c>
      <c r="F100" s="2" t="n">
        <v>45940</v>
      </c>
      <c r="G100" s="2" t="n">
        <v>45974</v>
      </c>
      <c r="H100" s="1">
        <f>IF(G100="","",G100-F100)</f>
        <v/>
      </c>
      <c r="I100" s="1" t="inlineStr">
        <is>
          <t>Training attendance register</t>
        </is>
      </c>
      <c r="J100" s="1" t="inlineStr">
        <is>
          <t>None</t>
        </is>
      </c>
      <c r="K100" s="1" t="n">
        <v>0</v>
      </c>
      <c r="L100" s="1" t="inlineStr">
        <is>
          <t>No</t>
        </is>
      </c>
      <c r="M100" s="1" t="inlineStr">
        <is>
          <t>Complete</t>
        </is>
      </c>
      <c r="N100" s="1" t="inlineStr">
        <is>
          <t>S. Vitale</t>
        </is>
      </c>
    </row>
    <row r="101">
      <c r="A101" s="1" t="inlineStr">
        <is>
          <t>PFU-SOW-2024-681</t>
        </is>
      </c>
      <c r="B101" s="1" t="inlineStr">
        <is>
          <t>Pioneer Freight Union</t>
        </is>
      </c>
      <c r="C101" s="1" t="inlineStr">
        <is>
          <t>Pioneer Hub</t>
        </is>
      </c>
      <c r="D101" s="1" t="inlineStr">
        <is>
          <t>M10</t>
        </is>
      </c>
      <c r="E101" s="1" t="inlineStr">
        <is>
          <t>Contract signature and order acknowledgement</t>
        </is>
      </c>
      <c r="F101" s="2" t="n">
        <v>46188</v>
      </c>
      <c r="G101" s="2" t="n">
        <v>46197</v>
      </c>
      <c r="H101" s="1">
        <f>IF(G101="","",G101-F101)</f>
        <v/>
      </c>
      <c r="I101" s="1" t="inlineStr">
        <is>
          <t>Witnessed safety validation report</t>
        </is>
      </c>
      <c r="J101" s="1" t="inlineStr">
        <is>
          <t>20 percent on signature</t>
        </is>
      </c>
      <c r="K101" s="1" t="n">
        <v>79397.12</v>
      </c>
      <c r="L101" s="1" t="inlineStr">
        <is>
          <t>No</t>
        </is>
      </c>
      <c r="M101" s="1" t="inlineStr">
        <is>
          <t>Deferred at customer request</t>
        </is>
      </c>
      <c r="N101" s="1" t="inlineStr">
        <is>
          <t>S. Vitale</t>
        </is>
      </c>
    </row>
    <row r="102">
      <c r="A102" s="1" t="inlineStr">
        <is>
          <t>KPP-SOW-2026-544</t>
        </is>
      </c>
      <c r="B102" s="1" t="inlineStr">
        <is>
          <t>Keystone Paper &amp; Pack</t>
        </is>
      </c>
      <c r="C102" s="1" t="inlineStr">
        <is>
          <t>Keystone Mill 3</t>
        </is>
      </c>
      <c r="D102" s="1" t="inlineStr">
        <is>
          <t>M20</t>
        </is>
      </c>
      <c r="E102" s="1" t="inlineStr">
        <is>
          <t>Site survey complete and layout approved</t>
        </is>
      </c>
      <c r="F102" s="2" t="n">
        <v>45982</v>
      </c>
      <c r="G102" s="1" t="inlineStr"/>
      <c r="H102" s="1">
        <f>IF(G102="","",G102-F102)</f>
        <v/>
      </c>
      <c r="I102" s="1" t="inlineStr">
        <is>
          <t>No evidence located; open request with the account team</t>
        </is>
      </c>
      <c r="J102" s="1" t="inlineStr">
        <is>
          <t>None</t>
        </is>
      </c>
      <c r="K102" s="1" t="n">
        <v>0</v>
      </c>
      <c r="L102" s="1" t="inlineStr">
        <is>
          <t>No</t>
        </is>
      </c>
      <c r="M102" s="1" t="inlineStr">
        <is>
          <t>Blocked on customer</t>
        </is>
      </c>
      <c r="N102" s="1" t="inlineStr">
        <is>
          <t>J. Alvarez</t>
        </is>
      </c>
    </row>
    <row r="103">
      <c r="A103" s="1" t="inlineStr">
        <is>
          <t>IVG-SOW-2024-354</t>
        </is>
      </c>
      <c r="B103" s="1" t="inlineStr">
        <is>
          <t>Ironvale Grocery Group</t>
        </is>
      </c>
      <c r="C103" s="1" t="inlineStr">
        <is>
          <t>Ironvale RDC</t>
        </is>
      </c>
      <c r="D103" s="1" t="inlineStr">
        <is>
          <t>M30</t>
        </is>
      </c>
      <c r="E103" s="1" t="inlineStr">
        <is>
          <t>Hardware shipped to site</t>
        </is>
      </c>
      <c r="F103" s="2" t="n">
        <v>46073</v>
      </c>
      <c r="G103" s="2" t="n">
        <v>46078</v>
      </c>
      <c r="H103" s="1">
        <f>IF(G103="","",G103-F103)</f>
        <v/>
      </c>
      <c r="I103" s="1" t="inlineStr">
        <is>
          <t>Site sign-off form with throughput log attached</t>
        </is>
      </c>
      <c r="J103" s="1" t="inlineStr">
        <is>
          <t>40 percent on shipment</t>
        </is>
      </c>
      <c r="K103" s="1" t="n">
        <v>251951.35</v>
      </c>
      <c r="L103" s="1" t="inlineStr">
        <is>
          <t>No</t>
        </is>
      </c>
      <c r="M103" s="1" t="inlineStr">
        <is>
          <t>Conditionally accepted</t>
        </is>
      </c>
      <c r="N103" s="1" t="inlineStr">
        <is>
          <t>J. Alvarez</t>
        </is>
      </c>
    </row>
    <row r="104">
      <c r="A104" s="1" t="inlineStr">
        <is>
          <t>KPP-SOW-2025-957</t>
        </is>
      </c>
      <c r="B104" s="1" t="inlineStr">
        <is>
          <t>Keystone Paper &amp; Pack</t>
        </is>
      </c>
      <c r="C104" s="1" t="inlineStr">
        <is>
          <t>Keystone Mill 3</t>
        </is>
      </c>
      <c r="D104" s="1" t="inlineStr">
        <is>
          <t>M40</t>
        </is>
      </c>
      <c r="E104" s="1" t="inlineStr">
        <is>
          <t>Mechanical installation complete</t>
        </is>
      </c>
      <c r="F104" s="2" t="n">
        <v>45742</v>
      </c>
      <c r="G104" s="2" t="n">
        <v>45742</v>
      </c>
      <c r="H104" s="1">
        <f>IF(G104="","",G104-F104)</f>
        <v/>
      </c>
      <c r="I104" s="1" t="inlineStr">
        <is>
          <t>Integration test report countersigned by customer IT</t>
        </is>
      </c>
      <c r="J104" s="1" t="inlineStr">
        <is>
          <t>None</t>
        </is>
      </c>
      <c r="K104" s="1" t="n">
        <v>0</v>
      </c>
      <c r="L104" s="1" t="inlineStr">
        <is>
          <t>No</t>
        </is>
      </c>
      <c r="M104" s="1" t="inlineStr">
        <is>
          <t>Complete</t>
        </is>
      </c>
      <c r="N104" s="1" t="inlineStr">
        <is>
          <t>H. Ferrand</t>
        </is>
      </c>
    </row>
    <row r="105">
      <c r="A105" s="1" t="inlineStr">
        <is>
          <t>KPP-SOW-2024-402</t>
        </is>
      </c>
      <c r="B105" s="1" t="inlineStr">
        <is>
          <t>Keystone Paper &amp; Pack</t>
        </is>
      </c>
      <c r="C105" s="1" t="inlineStr">
        <is>
          <t>Keystone Mill 3</t>
        </is>
      </c>
      <c r="D105" s="1" t="inlineStr">
        <is>
          <t>M50</t>
        </is>
      </c>
      <c r="E105" s="1" t="inlineStr">
        <is>
          <t>Network and warehouse-system integration complete</t>
        </is>
      </c>
      <c r="F105" s="2" t="n">
        <v>46185</v>
      </c>
      <c r="G105" s="2" t="n">
        <v>46203</v>
      </c>
      <c r="H105" s="1">
        <f>IF(G105="","",G105-F105)</f>
        <v/>
      </c>
      <c r="I105" s="1" t="inlineStr">
        <is>
          <t>Witnessed safety validation report</t>
        </is>
      </c>
      <c r="J105" s="1" t="inlineStr">
        <is>
          <t>None</t>
        </is>
      </c>
      <c r="K105" s="1" t="n">
        <v>0</v>
      </c>
      <c r="L105" s="1" t="inlineStr">
        <is>
          <t>No</t>
        </is>
      </c>
      <c r="M105" s="1" t="inlineStr">
        <is>
          <t>Complete</t>
        </is>
      </c>
      <c r="N105" s="1" t="inlineStr">
        <is>
          <t>B. Ng</t>
        </is>
      </c>
    </row>
    <row r="106">
      <c r="A106" s="1" t="inlineStr">
        <is>
          <t>YHG-SOW-2025-519</t>
        </is>
      </c>
      <c r="B106" s="1" t="inlineStr">
        <is>
          <t>Yarrow Home Goods</t>
        </is>
      </c>
      <c r="C106" s="1" t="inlineStr">
        <is>
          <t>Yarrow FC3</t>
        </is>
      </c>
      <c r="D106" s="1" t="inlineStr">
        <is>
          <t>M60</t>
        </is>
      </c>
      <c r="E106" s="1" t="inlineStr">
        <is>
          <t>Safety validation witnessed by customer</t>
        </is>
      </c>
      <c r="F106" s="2" t="n">
        <v>46120</v>
      </c>
      <c r="G106" s="2" t="n">
        <v>46136</v>
      </c>
      <c r="H106" s="1">
        <f>IF(G106="","",G106-F106)</f>
        <v/>
      </c>
      <c r="I106" s="1" t="inlineStr">
        <is>
          <t>Witnessed safety validation report</t>
        </is>
      </c>
      <c r="J106" s="1" t="inlineStr">
        <is>
          <t>None</t>
        </is>
      </c>
      <c r="K106" s="1" t="n">
        <v>0</v>
      </c>
      <c r="L106" s="1" t="inlineStr">
        <is>
          <t>No</t>
        </is>
      </c>
      <c r="M106" s="1" t="inlineStr">
        <is>
          <t>Complete</t>
        </is>
      </c>
      <c r="N106" s="1" t="inlineStr">
        <is>
          <t>J. Alvarez</t>
        </is>
      </c>
    </row>
    <row r="107">
      <c r="A107" s="1" t="inlineStr">
        <is>
          <t>ZAC-SOW-2024-800</t>
        </is>
      </c>
      <c r="B107" s="1" t="inlineStr">
        <is>
          <t>Zephyr Air Cargo</t>
        </is>
      </c>
      <c r="C107" s="1" t="inlineStr">
        <is>
          <t>Zephyr Ramp 2</t>
        </is>
      </c>
      <c r="D107" s="1" t="inlineStr">
        <is>
          <t>M70</t>
        </is>
      </c>
      <c r="E107" s="1" t="inlineStr">
        <is>
          <t>Pilot cell operating at contracted throughput</t>
        </is>
      </c>
      <c r="F107" s="2" t="n">
        <v>45926</v>
      </c>
      <c r="G107" s="2" t="n">
        <v>45960</v>
      </c>
      <c r="H107" s="1">
        <f>IF(G107="","",G107-F107)</f>
        <v/>
      </c>
      <c r="I107" s="1" t="inlineStr">
        <is>
          <t>Integration test report countersigned by customer IT</t>
        </is>
      </c>
      <c r="J107" s="1" t="inlineStr">
        <is>
          <t>20 percent on pilot</t>
        </is>
      </c>
      <c r="K107" s="1" t="n">
        <v>343769.22</v>
      </c>
      <c r="L107" s="1" t="inlineStr">
        <is>
          <t>No</t>
        </is>
      </c>
      <c r="M107" s="1" t="inlineStr">
        <is>
          <t>Deferred at customer request</t>
        </is>
      </c>
      <c r="N107" s="1" t="inlineStr">
        <is>
          <t>B. Ng</t>
        </is>
      </c>
    </row>
    <row r="108">
      <c r="A108" s="1" t="inlineStr">
        <is>
          <t>UVP-SOW-2024-599</t>
        </is>
      </c>
      <c r="B108" s="1" t="inlineStr">
        <is>
          <t>Union Vale Pharma</t>
        </is>
      </c>
      <c r="C108" s="1" t="inlineStr">
        <is>
          <t>Union Vale Vault</t>
        </is>
      </c>
      <c r="D108" s="1" t="inlineStr">
        <is>
          <t>M80</t>
        </is>
      </c>
      <c r="E108" s="1" t="inlineStr">
        <is>
          <t>Operator training delivered and signed off</t>
        </is>
      </c>
      <c r="F108" s="2" t="n">
        <v>45896</v>
      </c>
      <c r="G108" s="1" t="inlineStr"/>
      <c r="H108" s="1">
        <f>IF(G108="","",G108-F108)</f>
        <v/>
      </c>
      <c r="I108" s="1" t="inlineStr">
        <is>
          <t>No evidence located; open request with the account team</t>
        </is>
      </c>
      <c r="J108" s="1" t="inlineStr">
        <is>
          <t>None</t>
        </is>
      </c>
      <c r="K108" s="1" t="n">
        <v>0</v>
      </c>
      <c r="L108" s="1" t="inlineStr">
        <is>
          <t>No</t>
        </is>
      </c>
      <c r="M108" s="1" t="inlineStr">
        <is>
          <t>In progress</t>
        </is>
      </c>
      <c r="N108" s="1" t="inlineStr">
        <is>
          <t>J. Alvarez</t>
        </is>
      </c>
    </row>
    <row r="109">
      <c r="A109" s="1" t="inlineStr">
        <is>
          <t>TCE-SOW-2024-160</t>
        </is>
      </c>
      <c r="B109" s="1" t="inlineStr">
        <is>
          <t>Tamarack Electronics</t>
        </is>
      </c>
      <c r="C109" s="1" t="inlineStr">
        <is>
          <t>Tamarack SMT 2</t>
        </is>
      </c>
      <c r="D109" s="1" t="inlineStr">
        <is>
          <t>M90</t>
        </is>
      </c>
      <c r="E109" s="1" t="inlineStr">
        <is>
          <t>Customer acceptance certificate countersigned</t>
        </is>
      </c>
      <c r="F109" s="2" t="n">
        <v>45716</v>
      </c>
      <c r="G109" s="1" t="inlineStr"/>
      <c r="H109" s="1">
        <f>IF(G109="","",G109-F109)</f>
        <v/>
      </c>
      <c r="I109" s="1" t="inlineStr">
        <is>
          <t>No evidence located; open request with the account team</t>
        </is>
      </c>
      <c r="J109" s="1" t="inlineStr">
        <is>
          <t>20 percent on acceptance</t>
        </is>
      </c>
      <c r="K109" s="1" t="n">
        <v>194482.33</v>
      </c>
      <c r="L109" s="1" t="inlineStr">
        <is>
          <t>No</t>
        </is>
      </c>
      <c r="M109" s="1" t="inlineStr">
        <is>
          <t>In progress</t>
        </is>
      </c>
      <c r="N109" s="1" t="inlineStr">
        <is>
          <t>H. Ferrand</t>
        </is>
      </c>
    </row>
    <row r="110">
      <c r="A110" s="1" t="inlineStr">
        <is>
          <t>ZAC-SOW-2024-374</t>
        </is>
      </c>
      <c r="B110" s="1" t="inlineStr">
        <is>
          <t>Zephyr Air Cargo</t>
        </is>
      </c>
      <c r="C110" s="1" t="inlineStr">
        <is>
          <t>Zephyr Ramp 2</t>
        </is>
      </c>
      <c r="D110" s="1" t="inlineStr">
        <is>
          <t>M95</t>
        </is>
      </c>
      <c r="E110" s="1" t="inlineStr">
        <is>
          <t>Warranty commencement recorded</t>
        </is>
      </c>
      <c r="F110" s="2" t="n">
        <v>46036</v>
      </c>
      <c r="G110" s="1" t="inlineStr"/>
      <c r="H110" s="1">
        <f>IF(G110="","",G110-F110)</f>
        <v/>
      </c>
      <c r="I110" s="1" t="inlineStr">
        <is>
          <t>No evidence located; open request with the account team</t>
        </is>
      </c>
      <c r="J110" s="1" t="inlineStr">
        <is>
          <t>None</t>
        </is>
      </c>
      <c r="K110" s="1" t="n">
        <v>0</v>
      </c>
      <c r="L110" s="1" t="inlineStr">
        <is>
          <t>No</t>
        </is>
      </c>
      <c r="M110" s="1" t="inlineStr">
        <is>
          <t>In progress</t>
        </is>
      </c>
      <c r="N110" s="1" t="inlineStr">
        <is>
          <t>J. Alvarez</t>
        </is>
      </c>
    </row>
    <row r="111">
      <c r="A111" s="1" t="inlineStr">
        <is>
          <t>DBI-SOW-2025-382</t>
        </is>
      </c>
      <c r="B111" s="1" t="inlineStr">
        <is>
          <t>Dunbar Industrial</t>
        </is>
      </c>
      <c r="C111" s="1" t="inlineStr">
        <is>
          <t>Dunbar Works</t>
        </is>
      </c>
      <c r="D111" s="1" t="inlineStr">
        <is>
          <t>M10</t>
        </is>
      </c>
      <c r="E111" s="1" t="inlineStr">
        <is>
          <t>Contract signature and order acknowledgement</t>
        </is>
      </c>
      <c r="F111" s="2" t="n">
        <v>45778</v>
      </c>
      <c r="G111" s="1" t="inlineStr"/>
      <c r="H111" s="1">
        <f>IF(G111="","",G111-F111)</f>
        <v/>
      </c>
      <c r="I111" s="1" t="inlineStr">
        <is>
          <t>No evidence located; open request with the account team</t>
        </is>
      </c>
      <c r="J111" s="1" t="inlineStr">
        <is>
          <t>20 percent on signature</t>
        </is>
      </c>
      <c r="K111" s="1" t="n">
        <v>288744.7</v>
      </c>
      <c r="L111" s="1" t="inlineStr">
        <is>
          <t>No</t>
        </is>
      </c>
      <c r="M111" s="1" t="inlineStr">
        <is>
          <t>Planned</t>
        </is>
      </c>
      <c r="N111" s="1" t="inlineStr">
        <is>
          <t>S. Vitale</t>
        </is>
      </c>
    </row>
    <row r="112">
      <c r="A112" s="1" t="inlineStr">
        <is>
          <t>VRS-SOW-2024-607</t>
        </is>
      </c>
      <c r="B112" s="1" t="inlineStr">
        <is>
          <t>Vantage Robotics Supply</t>
        </is>
      </c>
      <c r="C112" s="1" t="inlineStr">
        <is>
          <t>Vantage Depot</t>
        </is>
      </c>
      <c r="D112" s="1" t="inlineStr">
        <is>
          <t>M20</t>
        </is>
      </c>
      <c r="E112" s="1" t="inlineStr">
        <is>
          <t>Site survey complete and layout approved</t>
        </is>
      </c>
      <c r="F112" s="2" t="n">
        <v>45729</v>
      </c>
      <c r="G112" s="2" t="n">
        <v>45723</v>
      </c>
      <c r="H112" s="1">
        <f>IF(G112="","",G112-F112)</f>
        <v/>
      </c>
      <c r="I112" s="1" t="inlineStr">
        <is>
          <t>Training attendance register</t>
        </is>
      </c>
      <c r="J112" s="1" t="inlineStr">
        <is>
          <t>None</t>
        </is>
      </c>
      <c r="K112" s="1" t="n">
        <v>0</v>
      </c>
      <c r="L112" s="1" t="inlineStr">
        <is>
          <t>No</t>
        </is>
      </c>
      <c r="M112" s="1" t="inlineStr">
        <is>
          <t>Complete</t>
        </is>
      </c>
      <c r="N112" s="1" t="inlineStr">
        <is>
          <t>H. Ferrand</t>
        </is>
      </c>
    </row>
    <row r="113">
      <c r="A113" s="1" t="inlineStr">
        <is>
          <t>DBI-SOW-2024-233</t>
        </is>
      </c>
      <c r="B113" s="1" t="inlineStr">
        <is>
          <t>Dunbar Industrial</t>
        </is>
      </c>
      <c r="C113" s="1" t="inlineStr">
        <is>
          <t>Dunbar Works</t>
        </is>
      </c>
      <c r="D113" s="1" t="inlineStr">
        <is>
          <t>M30</t>
        </is>
      </c>
      <c r="E113" s="1" t="inlineStr">
        <is>
          <t>Hardware shipped to site</t>
        </is>
      </c>
      <c r="F113" s="2" t="n">
        <v>46129</v>
      </c>
      <c r="G113" s="2" t="n">
        <v>46129</v>
      </c>
      <c r="H113" s="1">
        <f>IF(G113="","",G113-F113)</f>
        <v/>
      </c>
      <c r="I113" s="1" t="inlineStr">
        <is>
          <t>Conditional acceptance letter with open punch list</t>
        </is>
      </c>
      <c r="J113" s="1" t="inlineStr">
        <is>
          <t>40 percent on shipment</t>
        </is>
      </c>
      <c r="K113" s="1" t="n">
        <v>368411.75</v>
      </c>
      <c r="L113" s="1" t="inlineStr">
        <is>
          <t>Yes</t>
        </is>
      </c>
      <c r="M113" s="1" t="inlineStr">
        <is>
          <t>Complete</t>
        </is>
      </c>
      <c r="N113" s="1" t="inlineStr">
        <is>
          <t>H. Ferrand</t>
        </is>
      </c>
    </row>
    <row r="114">
      <c r="A114" s="1" t="inlineStr">
        <is>
          <t>CFF-SOW-2026-326</t>
        </is>
      </c>
      <c r="B114" s="1" t="inlineStr">
        <is>
          <t>Crestline Fulfillment</t>
        </is>
      </c>
      <c r="C114" s="1" t="inlineStr">
        <is>
          <t>Crestline FC1</t>
        </is>
      </c>
      <c r="D114" s="1" t="inlineStr">
        <is>
          <t>M40</t>
        </is>
      </c>
      <c r="E114" s="1" t="inlineStr">
        <is>
          <t>Mechanical installation complete</t>
        </is>
      </c>
      <c r="F114" s="2" t="n">
        <v>45791</v>
      </c>
      <c r="G114" s="1" t="inlineStr"/>
      <c r="H114" s="1">
        <f>IF(G114="","",G114-F114)</f>
        <v/>
      </c>
      <c r="I114" s="1" t="inlineStr">
        <is>
          <t>No evidence located; open request with the account team</t>
        </is>
      </c>
      <c r="J114" s="1" t="inlineStr">
        <is>
          <t>None</t>
        </is>
      </c>
      <c r="K114" s="1" t="n">
        <v>0</v>
      </c>
      <c r="L114" s="1" t="inlineStr">
        <is>
          <t>No</t>
        </is>
      </c>
      <c r="M114" s="1" t="inlineStr">
        <is>
          <t>Blocked on customer</t>
        </is>
      </c>
      <c r="N114" s="1" t="inlineStr">
        <is>
          <t>B. Ng</t>
        </is>
      </c>
    </row>
    <row r="115">
      <c r="A115" s="1" t="inlineStr">
        <is>
          <t>JHS-SOW-2026-725</t>
        </is>
      </c>
      <c r="B115" s="1" t="inlineStr">
        <is>
          <t>Juniper Health Supply</t>
        </is>
      </c>
      <c r="C115" s="1" t="inlineStr">
        <is>
          <t>Juniper Sterile 1</t>
        </is>
      </c>
      <c r="D115" s="1" t="inlineStr">
        <is>
          <t>M50</t>
        </is>
      </c>
      <c r="E115" s="1" t="inlineStr">
        <is>
          <t>Network and warehouse-system integration complete</t>
        </is>
      </c>
      <c r="F115" s="2" t="n">
        <v>45695</v>
      </c>
      <c r="G115" s="2" t="n">
        <v>45694</v>
      </c>
      <c r="H115" s="1">
        <f>IF(G115="","",G115-F115)</f>
        <v/>
      </c>
      <c r="I115" s="1" t="inlineStr">
        <is>
          <t>Countersigned acceptance certificate</t>
        </is>
      </c>
      <c r="J115" s="1" t="inlineStr">
        <is>
          <t>None</t>
        </is>
      </c>
      <c r="K115" s="1" t="n">
        <v>0</v>
      </c>
      <c r="L115" s="1" t="inlineStr">
        <is>
          <t>No</t>
        </is>
      </c>
      <c r="M115" s="1" t="inlineStr">
        <is>
          <t>Complete</t>
        </is>
      </c>
      <c r="N115" s="1" t="inlineStr">
        <is>
          <t>S. Vitale</t>
        </is>
      </c>
    </row>
    <row r="116">
      <c r="A116" s="1" t="inlineStr">
        <is>
          <t>GPD-SOW-2025-282</t>
        </is>
      </c>
      <c r="B116" s="1" t="inlineStr">
        <is>
          <t>Granite Peak Distribution</t>
        </is>
      </c>
      <c r="C116" s="1" t="inlineStr">
        <is>
          <t>Granite Yard</t>
        </is>
      </c>
      <c r="D116" s="1" t="inlineStr">
        <is>
          <t>M60</t>
        </is>
      </c>
      <c r="E116" s="1" t="inlineStr">
        <is>
          <t>Safety validation witnessed by customer</t>
        </is>
      </c>
      <c r="F116" s="2" t="n">
        <v>45818</v>
      </c>
      <c r="G116" s="2" t="n">
        <v>45835</v>
      </c>
      <c r="H116" s="1">
        <f>IF(G116="","",G116-F116)</f>
        <v/>
      </c>
      <c r="I116" s="1" t="inlineStr">
        <is>
          <t>Site sign-off form with throughput log attached</t>
        </is>
      </c>
      <c r="J116" s="1" t="inlineStr">
        <is>
          <t>None</t>
        </is>
      </c>
      <c r="K116" s="1" t="n">
        <v>0</v>
      </c>
      <c r="L116" s="1" t="inlineStr">
        <is>
          <t>No</t>
        </is>
      </c>
      <c r="M116" s="1" t="inlineStr">
        <is>
          <t>Complete</t>
        </is>
      </c>
      <c r="N116" s="1" t="inlineStr">
        <is>
          <t>J. Alvarez</t>
        </is>
      </c>
    </row>
    <row r="117">
      <c r="A117" s="1" t="inlineStr">
        <is>
          <t>BWA-SOW-2026-640</t>
        </is>
      </c>
      <c r="B117" s="1" t="inlineStr">
        <is>
          <t>Bellweather Auto Group</t>
        </is>
      </c>
      <c r="C117" s="1" t="inlineStr">
        <is>
          <t>Bellweather PDC</t>
        </is>
      </c>
      <c r="D117" s="1" t="inlineStr">
        <is>
          <t>M70</t>
        </is>
      </c>
      <c r="E117" s="1" t="inlineStr">
        <is>
          <t>Pilot cell operating at contracted throughput</t>
        </is>
      </c>
      <c r="F117" s="2" t="n">
        <v>45841</v>
      </c>
      <c r="G117" s="2" t="n">
        <v>45842</v>
      </c>
      <c r="H117" s="1">
        <f>IF(G117="","",G117-F117)</f>
        <v/>
      </c>
      <c r="I117" s="1" t="inlineStr">
        <is>
          <t>Site sign-off form with throughput log attached</t>
        </is>
      </c>
      <c r="J117" s="1" t="inlineStr">
        <is>
          <t>20 percent on pilot</t>
        </is>
      </c>
      <c r="K117" s="1" t="n">
        <v>315120.7</v>
      </c>
      <c r="L117" s="1" t="inlineStr">
        <is>
          <t>No</t>
        </is>
      </c>
      <c r="M117" s="1" t="inlineStr">
        <is>
          <t>Deferred at customer request</t>
        </is>
      </c>
      <c r="N117" s="1" t="inlineStr">
        <is>
          <t>H. Ferrand</t>
        </is>
      </c>
    </row>
    <row r="118">
      <c r="A118" s="1" t="inlineStr">
        <is>
          <t>VRS-SOW-2024-115</t>
        </is>
      </c>
      <c r="B118" s="1" t="inlineStr">
        <is>
          <t>Vantage Robotics Supply</t>
        </is>
      </c>
      <c r="C118" s="1" t="inlineStr">
        <is>
          <t>Vantage Depot</t>
        </is>
      </c>
      <c r="D118" s="1" t="inlineStr">
        <is>
          <t>M80</t>
        </is>
      </c>
      <c r="E118" s="1" t="inlineStr">
        <is>
          <t>Operator training delivered and signed off</t>
        </is>
      </c>
      <c r="F118" s="2" t="n">
        <v>46038</v>
      </c>
      <c r="G118" s="2" t="n">
        <v>46034</v>
      </c>
      <c r="H118" s="1">
        <f>IF(G118="","",G118-F118)</f>
        <v/>
      </c>
      <c r="I118" s="1" t="inlineStr">
        <is>
          <t>Site sign-off form with throughput log attached</t>
        </is>
      </c>
      <c r="J118" s="1" t="inlineStr">
        <is>
          <t>None</t>
        </is>
      </c>
      <c r="K118" s="1" t="n">
        <v>0</v>
      </c>
      <c r="L118" s="1" t="inlineStr">
        <is>
          <t>No</t>
        </is>
      </c>
      <c r="M118" s="1" t="inlineStr">
        <is>
          <t>Complete</t>
        </is>
      </c>
      <c r="N118" s="1" t="inlineStr">
        <is>
          <t>F. Lindstrom</t>
        </is>
      </c>
    </row>
    <row r="119">
      <c r="A119" s="1" t="inlineStr">
        <is>
          <t>FTM-SOW-2024-924</t>
        </is>
      </c>
      <c r="B119" s="1" t="inlineStr">
        <is>
          <t>Fathom Mobility</t>
        </is>
      </c>
      <c r="C119" s="1" t="inlineStr">
        <is>
          <t>Fathom Line A</t>
        </is>
      </c>
      <c r="D119" s="1" t="inlineStr">
        <is>
          <t>M90</t>
        </is>
      </c>
      <c r="E119" s="1" t="inlineStr">
        <is>
          <t>Customer acceptance certificate countersigned</t>
        </is>
      </c>
      <c r="F119" s="2" t="n">
        <v>45895</v>
      </c>
      <c r="G119" s="2" t="n">
        <v>45894</v>
      </c>
      <c r="H119" s="1">
        <f>IF(G119="","",G119-F119)</f>
        <v/>
      </c>
      <c r="I119" s="1" t="inlineStr">
        <is>
          <t>Witnessed safety validation report</t>
        </is>
      </c>
      <c r="J119" s="1" t="inlineStr">
        <is>
          <t>20 percent on acceptance</t>
        </is>
      </c>
      <c r="K119" s="1" t="n">
        <v>439279.71</v>
      </c>
      <c r="L119" s="1" t="inlineStr">
        <is>
          <t>No</t>
        </is>
      </c>
      <c r="M119" s="1" t="inlineStr">
        <is>
          <t>Conditionally accepted</t>
        </is>
      </c>
      <c r="N119" s="1" t="inlineStr">
        <is>
          <t>H. Ferrand</t>
        </is>
      </c>
    </row>
    <row r="120">
      <c r="A120" s="1" t="inlineStr">
        <is>
          <t>TCE-SOW-2025-759</t>
        </is>
      </c>
      <c r="B120" s="1" t="inlineStr">
        <is>
          <t>Tamarack Electronics</t>
        </is>
      </c>
      <c r="C120" s="1" t="inlineStr">
        <is>
          <t>Tamarack SMT 2</t>
        </is>
      </c>
      <c r="D120" s="1" t="inlineStr">
        <is>
          <t>M95</t>
        </is>
      </c>
      <c r="E120" s="1" t="inlineStr">
        <is>
          <t>Warranty commencement recorded</t>
        </is>
      </c>
      <c r="F120" s="2" t="n">
        <v>45756</v>
      </c>
      <c r="G120" s="2" t="n">
        <v>45761</v>
      </c>
      <c r="H120" s="1">
        <f>IF(G120="","",G120-F120)</f>
        <v/>
      </c>
      <c r="I120" s="1" t="inlineStr">
        <is>
          <t>Countersigned acceptance certificate</t>
        </is>
      </c>
      <c r="J120" s="1" t="inlineStr">
        <is>
          <t>None</t>
        </is>
      </c>
      <c r="K120" s="1" t="n">
        <v>0</v>
      </c>
      <c r="L120" s="1" t="inlineStr">
        <is>
          <t>No</t>
        </is>
      </c>
      <c r="M120" s="1" t="inlineStr">
        <is>
          <t>Complete</t>
        </is>
      </c>
      <c r="N120" s="1" t="inlineStr">
        <is>
          <t>B. Ng</t>
        </is>
      </c>
    </row>
    <row r="121">
      <c r="A121" s="1" t="inlineStr">
        <is>
          <t>FTM-SOW-2025-665</t>
        </is>
      </c>
      <c r="B121" s="1" t="inlineStr">
        <is>
          <t>Fathom Mobility</t>
        </is>
      </c>
      <c r="C121" s="1" t="inlineStr">
        <is>
          <t>Fathom Line A</t>
        </is>
      </c>
      <c r="D121" s="1" t="inlineStr">
        <is>
          <t>M10</t>
        </is>
      </c>
      <c r="E121" s="1" t="inlineStr">
        <is>
          <t>Contract signature and order acknowledgement</t>
        </is>
      </c>
      <c r="F121" s="2" t="n">
        <v>45982</v>
      </c>
      <c r="G121" s="2" t="n">
        <v>45982</v>
      </c>
      <c r="H121" s="1">
        <f>IF(G121="","",G121-F121)</f>
        <v/>
      </c>
      <c r="I121" s="1" t="inlineStr">
        <is>
          <t>Customer email confirmation retained in the deployment file</t>
        </is>
      </c>
      <c r="J121" s="1" t="inlineStr">
        <is>
          <t>20 percent on signature</t>
        </is>
      </c>
      <c r="K121" s="1" t="n">
        <v>353939.27</v>
      </c>
      <c r="L121" s="1" t="inlineStr">
        <is>
          <t>Yes</t>
        </is>
      </c>
      <c r="M121" s="1" t="inlineStr">
        <is>
          <t>Complete</t>
        </is>
      </c>
      <c r="N121" s="1" t="inlineStr">
        <is>
          <t>F. Lindstrom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contract_ref</t>
        </is>
      </c>
      <c r="B1" s="1" t="inlineStr">
        <is>
          <t>customer</t>
        </is>
      </c>
      <c r="C1" s="1" t="inlineStr">
        <is>
          <t>site</t>
        </is>
      </c>
      <c r="D1" s="1" t="inlineStr">
        <is>
          <t>milestone_code</t>
        </is>
      </c>
      <c r="E1" s="1" t="inlineStr">
        <is>
          <t>milestone_description</t>
        </is>
      </c>
      <c r="F1" s="1" t="inlineStr">
        <is>
          <t>planned_date</t>
        </is>
      </c>
      <c r="G1" s="1" t="inlineStr">
        <is>
          <t>actual_date</t>
        </is>
      </c>
      <c r="H1" s="1" t="inlineStr">
        <is>
          <t>days_variance</t>
        </is>
      </c>
      <c r="I1" s="1" t="inlineStr">
        <is>
          <t>acceptance_evidence</t>
        </is>
      </c>
      <c r="J1" s="1" t="inlineStr">
        <is>
          <t>invoice_trigger</t>
        </is>
      </c>
      <c r="K1" s="1" t="inlineStr">
        <is>
          <t>milestone_amount</t>
        </is>
      </c>
      <c r="L1" s="1" t="inlineStr">
        <is>
          <t>invoiced_flag</t>
        </is>
      </c>
      <c r="M1" s="1" t="inlineStr">
        <is>
          <t>status</t>
        </is>
      </c>
      <c r="N1" s="1" t="inlineStr">
        <is>
          <t>owner</t>
        </is>
      </c>
    </row>
    <row r="2">
      <c r="A2" s="1" t="inlineStr">
        <is>
          <t>LKA-SOW-2024-318</t>
        </is>
      </c>
      <c r="B2" s="1" t="inlineStr">
        <is>
          <t>Larkspur Apparel</t>
        </is>
      </c>
      <c r="C2" s="1" t="inlineStr">
        <is>
          <t>Larkspur FC2</t>
        </is>
      </c>
      <c r="D2" s="1" t="inlineStr">
        <is>
          <t>M20</t>
        </is>
      </c>
      <c r="E2" s="1" t="inlineStr">
        <is>
          <t>Site survey complete and layout approved</t>
        </is>
      </c>
      <c r="F2" s="2" t="n">
        <v>46037</v>
      </c>
      <c r="G2" s="2" t="n">
        <v>46045</v>
      </c>
      <c r="H2" s="1">
        <f>IF(G2="","",G2-F2)</f>
        <v/>
      </c>
      <c r="I2" s="1" t="inlineStr">
        <is>
          <t>Countersigned acceptance certificate</t>
        </is>
      </c>
      <c r="J2" s="1" t="inlineStr">
        <is>
          <t>None</t>
        </is>
      </c>
      <c r="K2" s="1" t="n">
        <v>0</v>
      </c>
      <c r="L2" s="1" t="inlineStr">
        <is>
          <t>No</t>
        </is>
      </c>
      <c r="M2" s="1" t="inlineStr">
        <is>
          <t>Complete</t>
        </is>
      </c>
      <c r="N2" s="1" t="inlineStr">
        <is>
          <t>J. Alvarez</t>
        </is>
      </c>
    </row>
    <row r="3">
      <c r="A3" s="1" t="inlineStr">
        <is>
          <t>UVP-SOW-2025-858</t>
        </is>
      </c>
      <c r="B3" s="1" t="inlineStr">
        <is>
          <t>Union Vale Pharma</t>
        </is>
      </c>
      <c r="C3" s="1" t="inlineStr">
        <is>
          <t>Union Vale Vault</t>
        </is>
      </c>
      <c r="D3" s="1" t="inlineStr">
        <is>
          <t>M30</t>
        </is>
      </c>
      <c r="E3" s="1" t="inlineStr">
        <is>
          <t>Hardware shipped to site</t>
        </is>
      </c>
      <c r="F3" s="2" t="n">
        <v>45889</v>
      </c>
      <c r="G3" s="2" t="n">
        <v>45898</v>
      </c>
      <c r="H3" s="1">
        <f>IF(G3="","",G3-F3)</f>
        <v/>
      </c>
      <c r="I3" s="1" t="inlineStr">
        <is>
          <t>Site sign-off form with throughput log attached</t>
        </is>
      </c>
      <c r="J3" s="1" t="inlineStr">
        <is>
          <t>40 percent on shipment</t>
        </is>
      </c>
      <c r="K3" s="1" t="n">
        <v>358903.95</v>
      </c>
      <c r="L3" s="1" t="inlineStr">
        <is>
          <t>Yes</t>
        </is>
      </c>
      <c r="M3" s="1" t="inlineStr">
        <is>
          <t>Complete</t>
        </is>
      </c>
      <c r="N3" s="1" t="inlineStr">
        <is>
          <t>S. Vitale</t>
        </is>
      </c>
    </row>
    <row r="4">
      <c r="A4" s="1" t="inlineStr">
        <is>
          <t>WCD-SOW-2026-174</t>
        </is>
      </c>
      <c r="B4" s="1" t="inlineStr">
        <is>
          <t>Westlake Chemical Depot</t>
        </is>
      </c>
      <c r="C4" s="1" t="inlineStr">
        <is>
          <t>Westlake Tank 6</t>
        </is>
      </c>
      <c r="D4" s="1" t="inlineStr">
        <is>
          <t>M40</t>
        </is>
      </c>
      <c r="E4" s="1" t="inlineStr">
        <is>
          <t>Mechanical installation complete</t>
        </is>
      </c>
      <c r="F4" s="2" t="n">
        <v>45786</v>
      </c>
      <c r="G4" s="1" t="inlineStr"/>
      <c r="H4" s="1">
        <f>IF(G4="","",G4-F4)</f>
        <v/>
      </c>
      <c r="I4" s="1" t="inlineStr">
        <is>
          <t>No evidence located; open request with the account team</t>
        </is>
      </c>
      <c r="J4" s="1" t="inlineStr">
        <is>
          <t>None</t>
        </is>
      </c>
      <c r="K4" s="1" t="n">
        <v>0</v>
      </c>
      <c r="L4" s="1" t="inlineStr">
        <is>
          <t>No</t>
        </is>
      </c>
      <c r="M4" s="1" t="inlineStr">
        <is>
          <t>Blocked on customer</t>
        </is>
      </c>
      <c r="N4" s="1" t="inlineStr">
        <is>
          <t>F. Lindstrom</t>
        </is>
      </c>
    </row>
    <row r="5">
      <c r="A5" s="1" t="inlineStr">
        <is>
          <t>GPD-SOW-2025-119</t>
        </is>
      </c>
      <c r="B5" s="1" t="inlineStr">
        <is>
          <t>Granite Peak Distribution</t>
        </is>
      </c>
      <c r="C5" s="1" t="inlineStr">
        <is>
          <t>Granite Yard</t>
        </is>
      </c>
      <c r="D5" s="1" t="inlineStr">
        <is>
          <t>M50</t>
        </is>
      </c>
      <c r="E5" s="1" t="inlineStr">
        <is>
          <t>Network and warehouse-system integration complete</t>
        </is>
      </c>
      <c r="F5" s="2" t="n">
        <v>45814</v>
      </c>
      <c r="G5" s="2" t="n">
        <v>45848</v>
      </c>
      <c r="H5" s="1">
        <f>IF(G5="","",G5-F5)</f>
        <v/>
      </c>
      <c r="I5" s="1" t="inlineStr">
        <is>
          <t>Conditional acceptance letter with open punch list</t>
        </is>
      </c>
      <c r="J5" s="1" t="inlineStr">
        <is>
          <t>None</t>
        </is>
      </c>
      <c r="K5" s="1" t="n">
        <v>0</v>
      </c>
      <c r="L5" s="1" t="inlineStr">
        <is>
          <t>No</t>
        </is>
      </c>
      <c r="M5" s="1" t="inlineStr">
        <is>
          <t>Complete</t>
        </is>
      </c>
      <c r="N5" s="1" t="inlineStr">
        <is>
          <t>F. Lindstrom</t>
        </is>
      </c>
    </row>
    <row r="6">
      <c r="A6" s="1" t="inlineStr">
        <is>
          <t>JHS-SOW-2025-374</t>
        </is>
      </c>
      <c r="B6" s="1" t="inlineStr">
        <is>
          <t>Juniper Health Supply</t>
        </is>
      </c>
      <c r="C6" s="1" t="inlineStr">
        <is>
          <t>Juniper Sterile 1</t>
        </is>
      </c>
      <c r="D6" s="1" t="inlineStr">
        <is>
          <t>M60</t>
        </is>
      </c>
      <c r="E6" s="1" t="inlineStr">
        <is>
          <t>Safety validation witnessed by customer</t>
        </is>
      </c>
      <c r="F6" s="2" t="n">
        <v>45715</v>
      </c>
      <c r="G6" s="2" t="n">
        <v>45749</v>
      </c>
      <c r="H6" s="1">
        <f>IF(G6="","",G6-F6)</f>
        <v/>
      </c>
      <c r="I6" s="1" t="inlineStr">
        <is>
          <t>Customer email confirmation retained in the deployment file</t>
        </is>
      </c>
      <c r="J6" s="1" t="inlineStr">
        <is>
          <t>None</t>
        </is>
      </c>
      <c r="K6" s="1" t="n">
        <v>0</v>
      </c>
      <c r="L6" s="1" t="inlineStr">
        <is>
          <t>No</t>
        </is>
      </c>
      <c r="M6" s="1" t="inlineStr">
        <is>
          <t>Complete</t>
        </is>
      </c>
      <c r="N6" s="1" t="inlineStr">
        <is>
          <t>S. Vitale</t>
        </is>
      </c>
    </row>
    <row r="7">
      <c r="A7" s="1" t="inlineStr">
        <is>
          <t>PFU-SOW-2026-224</t>
        </is>
      </c>
      <c r="B7" s="1" t="inlineStr">
        <is>
          <t>Pioneer Freight Union</t>
        </is>
      </c>
      <c r="C7" s="1" t="inlineStr">
        <is>
          <t>Pioneer Hub</t>
        </is>
      </c>
      <c r="D7" s="1" t="inlineStr">
        <is>
          <t>M70</t>
        </is>
      </c>
      <c r="E7" s="1" t="inlineStr">
        <is>
          <t>Pilot cell operating at contracted throughput</t>
        </is>
      </c>
      <c r="F7" s="2" t="n">
        <v>46101</v>
      </c>
      <c r="G7" s="2" t="n">
        <v>46101</v>
      </c>
      <c r="H7" s="1">
        <f>IF(G7="","",G7-F7)</f>
        <v/>
      </c>
      <c r="I7" s="1" t="inlineStr">
        <is>
          <t>Customer email confirmation retained in the deployment file</t>
        </is>
      </c>
      <c r="J7" s="1" t="inlineStr">
        <is>
          <t>20 percent on pilot</t>
        </is>
      </c>
      <c r="K7" s="1" t="n">
        <v>422327.82</v>
      </c>
      <c r="L7" s="1" t="inlineStr">
        <is>
          <t>No</t>
        </is>
      </c>
      <c r="M7" s="1" t="inlineStr">
        <is>
          <t>Deferred at customer request</t>
        </is>
      </c>
      <c r="N7" s="1" t="inlineStr">
        <is>
          <t>J. Alvarez</t>
        </is>
      </c>
    </row>
    <row r="8">
      <c r="A8" s="1" t="inlineStr">
        <is>
          <t>IVG-SOW-2025-266</t>
        </is>
      </c>
      <c r="B8" s="1" t="inlineStr">
        <is>
          <t>Ironvale Grocery Group</t>
        </is>
      </c>
      <c r="C8" s="1" t="inlineStr">
        <is>
          <t>Ironvale RDC</t>
        </is>
      </c>
      <c r="D8" s="1" t="inlineStr">
        <is>
          <t>M80</t>
        </is>
      </c>
      <c r="E8" s="1" t="inlineStr">
        <is>
          <t>Operator training delivered and signed off</t>
        </is>
      </c>
      <c r="F8" s="2" t="n">
        <v>45757</v>
      </c>
      <c r="G8" s="2" t="n">
        <v>45757</v>
      </c>
      <c r="H8" s="1">
        <f>IF(G8="","",G8-F8)</f>
        <v/>
      </c>
      <c r="I8" s="1" t="inlineStr">
        <is>
          <t>Site sign-off form with throughput log attached</t>
        </is>
      </c>
      <c r="J8" s="1" t="inlineStr">
        <is>
          <t>None</t>
        </is>
      </c>
      <c r="K8" s="1" t="n">
        <v>0</v>
      </c>
      <c r="L8" s="1" t="inlineStr">
        <is>
          <t>No</t>
        </is>
      </c>
      <c r="M8" s="1" t="inlineStr">
        <is>
          <t>Complete</t>
        </is>
      </c>
      <c r="N8" s="1" t="inlineStr">
        <is>
          <t>B. Ng</t>
        </is>
      </c>
    </row>
    <row r="9">
      <c r="A9" s="1" t="inlineStr">
        <is>
          <t>AST-SOW-2026-670</t>
        </is>
      </c>
      <c r="B9" s="1" t="inlineStr">
        <is>
          <t>Asterion Logistics</t>
        </is>
      </c>
      <c r="C9" s="1" t="inlineStr">
        <is>
          <t>Tracy DC</t>
        </is>
      </c>
      <c r="D9" s="1" t="inlineStr">
        <is>
          <t>M90</t>
        </is>
      </c>
      <c r="E9" s="1" t="inlineStr">
        <is>
          <t>Customer acceptance certificate countersigned</t>
        </is>
      </c>
      <c r="F9" s="2" t="n">
        <v>45982</v>
      </c>
      <c r="G9" s="1" t="inlineStr"/>
      <c r="H9" s="1">
        <f>IF(G9="","",G9-F9)</f>
        <v/>
      </c>
      <c r="I9" s="1" t="inlineStr">
        <is>
          <t>No evidence located; open request with the account team</t>
        </is>
      </c>
      <c r="J9" s="1" t="inlineStr">
        <is>
          <t>20 percent on acceptance</t>
        </is>
      </c>
      <c r="K9" s="1" t="n">
        <v>58809.34</v>
      </c>
      <c r="L9" s="1" t="inlineStr">
        <is>
          <t>No</t>
        </is>
      </c>
      <c r="M9" s="1" t="inlineStr">
        <is>
          <t>Blocked on customer</t>
        </is>
      </c>
      <c r="N9" s="1" t="inlineStr">
        <is>
          <t>S. Vitale</t>
        </is>
      </c>
    </row>
    <row r="10">
      <c r="A10" s="1" t="inlineStr">
        <is>
          <t>HLS-SOW-2024-503</t>
        </is>
      </c>
      <c r="B10" s="1" t="inlineStr">
        <is>
          <t>Harborline Systems</t>
        </is>
      </c>
      <c r="C10" s="1" t="inlineStr">
        <is>
          <t>Harborline Pier 9</t>
        </is>
      </c>
      <c r="D10" s="1" t="inlineStr">
        <is>
          <t>M95</t>
        </is>
      </c>
      <c r="E10" s="1" t="inlineStr">
        <is>
          <t>Warranty commencement recorded</t>
        </is>
      </c>
      <c r="F10" s="2" t="n">
        <v>45695</v>
      </c>
      <c r="G10" s="2" t="n">
        <v>45729</v>
      </c>
      <c r="H10" s="1">
        <f>IF(G10="","",G10-F10)</f>
        <v/>
      </c>
      <c r="I10" s="1" t="inlineStr">
        <is>
          <t>Customer email confirmation retained in the deployment file</t>
        </is>
      </c>
      <c r="J10" s="1" t="inlineStr">
        <is>
          <t>None</t>
        </is>
      </c>
      <c r="K10" s="1" t="n">
        <v>0</v>
      </c>
      <c r="L10" s="1" t="inlineStr">
        <is>
          <t>No</t>
        </is>
      </c>
      <c r="M10" s="1" t="inlineStr">
        <is>
          <t>Complete</t>
        </is>
      </c>
      <c r="N10" s="1" t="inlineStr">
        <is>
          <t>B. Ng</t>
        </is>
      </c>
    </row>
    <row r="11">
      <c r="A11" s="1" t="inlineStr">
        <is>
          <t>MDY-SOW-2026-805</t>
        </is>
      </c>
      <c r="B11" s="1" t="inlineStr">
        <is>
          <t>Meridian Dynamics</t>
        </is>
      </c>
      <c r="C11" s="1" t="inlineStr">
        <is>
          <t>Meridian Bay 7</t>
        </is>
      </c>
      <c r="D11" s="1" t="inlineStr">
        <is>
          <t>M10</t>
        </is>
      </c>
      <c r="E11" s="1" t="inlineStr">
        <is>
          <t>Contract signature and order acknowledgement</t>
        </is>
      </c>
      <c r="F11" s="2" t="n">
        <v>45786</v>
      </c>
      <c r="G11" s="2" t="n">
        <v>45786</v>
      </c>
      <c r="H11" s="1">
        <f>IF(G11="","",G11-F11)</f>
        <v/>
      </c>
      <c r="I11" s="1" t="inlineStr">
        <is>
          <t>Witnessed safety validation report</t>
        </is>
      </c>
      <c r="J11" s="1" t="inlineStr">
        <is>
          <t>20 percent on signature</t>
        </is>
      </c>
      <c r="K11" s="1" t="n">
        <v>74827.45</v>
      </c>
      <c r="L11" s="1" t="inlineStr">
        <is>
          <t>Yes</t>
        </is>
      </c>
      <c r="M11" s="1" t="inlineStr">
        <is>
          <t>Complete</t>
        </is>
      </c>
      <c r="N11" s="1" t="inlineStr">
        <is>
          <t>S. Vitale</t>
        </is>
      </c>
    </row>
    <row r="12">
      <c r="A12" s="1" t="inlineStr">
        <is>
          <t>ABT-SOW-2026-978</t>
        </is>
      </c>
      <c r="B12" s="1" t="inlineStr">
        <is>
          <t>Alderbrook Textiles</t>
        </is>
      </c>
      <c r="C12" s="1" t="inlineStr">
        <is>
          <t>Alderbrook Loom 1</t>
        </is>
      </c>
      <c r="D12" s="1" t="inlineStr">
        <is>
          <t>M20</t>
        </is>
      </c>
      <c r="E12" s="1" t="inlineStr">
        <is>
          <t>Site survey complete and layout approved</t>
        </is>
      </c>
      <c r="F12" s="2" t="n">
        <v>45905</v>
      </c>
      <c r="G12" s="2" t="n">
        <v>45912</v>
      </c>
      <c r="H12" s="1">
        <f>IF(G12="","",G12-F12)</f>
        <v/>
      </c>
      <c r="I12" s="1" t="inlineStr">
        <is>
          <t>Customer email confirmation retained in the deployment file</t>
        </is>
      </c>
      <c r="J12" s="1" t="inlineStr">
        <is>
          <t>None</t>
        </is>
      </c>
      <c r="K12" s="1" t="n">
        <v>0</v>
      </c>
      <c r="L12" s="1" t="inlineStr">
        <is>
          <t>No</t>
        </is>
      </c>
      <c r="M12" s="1" t="inlineStr">
        <is>
          <t>Conditionally accepted</t>
        </is>
      </c>
      <c r="N12" s="1" t="inlineStr">
        <is>
          <t>J. Alvarez</t>
        </is>
      </c>
    </row>
    <row r="13">
      <c r="A13" s="1" t="inlineStr">
        <is>
          <t>PFU-SOW-2026-416</t>
        </is>
      </c>
      <c r="B13" s="1" t="inlineStr">
        <is>
          <t>Pioneer Freight Union</t>
        </is>
      </c>
      <c r="C13" s="1" t="inlineStr">
        <is>
          <t>Pioneer Hub</t>
        </is>
      </c>
      <c r="D13" s="1" t="inlineStr">
        <is>
          <t>M30</t>
        </is>
      </c>
      <c r="E13" s="1" t="inlineStr">
        <is>
          <t>Hardware shipped to site</t>
        </is>
      </c>
      <c r="F13" s="2" t="n">
        <v>45695</v>
      </c>
      <c r="G13" s="2" t="n">
        <v>45694</v>
      </c>
      <c r="H13" s="1">
        <f>IF(G13="","",G13-F13)</f>
        <v/>
      </c>
      <c r="I13" s="1" t="inlineStr">
        <is>
          <t>Integration test report countersigned by customer IT</t>
        </is>
      </c>
      <c r="J13" s="1" t="inlineStr">
        <is>
          <t>40 percent on shipment</t>
        </is>
      </c>
      <c r="K13" s="1" t="n">
        <v>49016.25</v>
      </c>
      <c r="L13" s="1" t="inlineStr">
        <is>
          <t>Yes</t>
        </is>
      </c>
      <c r="M13" s="1" t="inlineStr">
        <is>
          <t>Complete</t>
        </is>
      </c>
      <c r="N13" s="1" t="inlineStr">
        <is>
          <t>F. Lindstrom</t>
        </is>
      </c>
    </row>
    <row r="14">
      <c r="A14" s="1" t="inlineStr">
        <is>
          <t>ZAC-SOW-2025-144</t>
        </is>
      </c>
      <c r="B14" s="1" t="inlineStr">
        <is>
          <t>Zephyr Air Cargo</t>
        </is>
      </c>
      <c r="C14" s="1" t="inlineStr">
        <is>
          <t>Zephyr Ramp 2</t>
        </is>
      </c>
      <c r="D14" s="1" t="inlineStr">
        <is>
          <t>M40</t>
        </is>
      </c>
      <c r="E14" s="1" t="inlineStr">
        <is>
          <t>Mechanical installation complete</t>
        </is>
      </c>
      <c r="F14" s="2" t="n">
        <v>46101</v>
      </c>
      <c r="G14" s="2" t="n">
        <v>46101</v>
      </c>
      <c r="H14" s="1">
        <f>IF(G14="","",G14-F14)</f>
        <v/>
      </c>
      <c r="I14" s="1" t="inlineStr">
        <is>
          <t>Customer email confirmation retained in the deployment file</t>
        </is>
      </c>
      <c r="J14" s="1" t="inlineStr">
        <is>
          <t>None</t>
        </is>
      </c>
      <c r="K14" s="1" t="n">
        <v>0</v>
      </c>
      <c r="L14" s="1" t="inlineStr">
        <is>
          <t>No</t>
        </is>
      </c>
      <c r="M14" s="1" t="inlineStr">
        <is>
          <t>Complete</t>
        </is>
      </c>
      <c r="N14" s="1" t="inlineStr">
        <is>
          <t>S. Vitale</t>
        </is>
      </c>
    </row>
    <row r="15">
      <c r="A15" s="1" t="inlineStr">
        <is>
          <t>RWO-SOW-2025-132</t>
        </is>
      </c>
      <c r="B15" s="1" t="inlineStr">
        <is>
          <t>Redwood Optics</t>
        </is>
      </c>
      <c r="C15" s="1" t="inlineStr">
        <is>
          <t>Redwood Clean 3</t>
        </is>
      </c>
      <c r="D15" s="1" t="inlineStr">
        <is>
          <t>M50</t>
        </is>
      </c>
      <c r="E15" s="1" t="inlineStr">
        <is>
          <t>Network and warehouse-system integration complete</t>
        </is>
      </c>
      <c r="F15" s="2" t="n">
        <v>46043</v>
      </c>
      <c r="G15" s="2" t="n">
        <v>46077</v>
      </c>
      <c r="H15" s="1">
        <f>IF(G15="","",G15-F15)</f>
        <v/>
      </c>
      <c r="I15" s="1" t="inlineStr">
        <is>
          <t>Conditional acceptance letter with open punch list</t>
        </is>
      </c>
      <c r="J15" s="1" t="inlineStr">
        <is>
          <t>None</t>
        </is>
      </c>
      <c r="K15" s="1" t="n">
        <v>0</v>
      </c>
      <c r="L15" s="1" t="inlineStr">
        <is>
          <t>No</t>
        </is>
      </c>
      <c r="M15" s="1" t="inlineStr">
        <is>
          <t>Complete</t>
        </is>
      </c>
      <c r="N15" s="1" t="inlineStr">
        <is>
          <t>S. Vitale</t>
        </is>
      </c>
    </row>
    <row r="16">
      <c r="A16" s="1" t="inlineStr">
        <is>
          <t>SRR-SOW-2024-720</t>
        </is>
      </c>
      <c r="B16" s="1" t="inlineStr">
        <is>
          <t>Summit Ridge Retail</t>
        </is>
      </c>
      <c r="C16" s="1" t="inlineStr">
        <is>
          <t>Summit RDC</t>
        </is>
      </c>
      <c r="D16" s="1" t="inlineStr">
        <is>
          <t>M60</t>
        </is>
      </c>
      <c r="E16" s="1" t="inlineStr">
        <is>
          <t>Safety validation witnessed by customer</t>
        </is>
      </c>
      <c r="F16" s="2" t="n">
        <v>46002</v>
      </c>
      <c r="G16" s="2" t="n">
        <v>45996</v>
      </c>
      <c r="H16" s="1">
        <f>IF(G16="","",G16-F16)</f>
        <v/>
      </c>
      <c r="I16" s="1" t="inlineStr">
        <is>
          <t>Site sign-off form with throughput log attached</t>
        </is>
      </c>
      <c r="J16" s="1" t="inlineStr">
        <is>
          <t>None</t>
        </is>
      </c>
      <c r="K16" s="1" t="n">
        <v>0</v>
      </c>
      <c r="L16" s="1" t="inlineStr">
        <is>
          <t>No</t>
        </is>
      </c>
      <c r="M16" s="1" t="inlineStr">
        <is>
          <t>Complete</t>
        </is>
      </c>
      <c r="N16" s="1" t="inlineStr">
        <is>
          <t>F. Lindstrom</t>
        </is>
      </c>
    </row>
    <row r="17">
      <c r="A17" s="1" t="inlineStr">
        <is>
          <t>UVP-SOW-2026-421</t>
        </is>
      </c>
      <c r="B17" s="1" t="inlineStr">
        <is>
          <t>Union Vale Pharma</t>
        </is>
      </c>
      <c r="C17" s="1" t="inlineStr">
        <is>
          <t>Union Vale Vault</t>
        </is>
      </c>
      <c r="D17" s="1" t="inlineStr">
        <is>
          <t>M70</t>
        </is>
      </c>
      <c r="E17" s="1" t="inlineStr">
        <is>
          <t>Pilot cell operating at contracted throughput</t>
        </is>
      </c>
      <c r="F17" s="2" t="n">
        <v>46083</v>
      </c>
      <c r="G17" s="1" t="inlineStr"/>
      <c r="H17" s="1">
        <f>IF(G17="","",G17-F17)</f>
        <v/>
      </c>
      <c r="I17" s="1" t="inlineStr">
        <is>
          <t>No evidence located; open request with the account team</t>
        </is>
      </c>
      <c r="J17" s="1" t="inlineStr">
        <is>
          <t>20 percent on pilot</t>
        </is>
      </c>
      <c r="K17" s="1" t="n">
        <v>380690.71</v>
      </c>
      <c r="L17" s="1" t="inlineStr">
        <is>
          <t>No</t>
        </is>
      </c>
      <c r="M17" s="1" t="inlineStr">
        <is>
          <t>Blocked on customer</t>
        </is>
      </c>
      <c r="N17" s="1" t="inlineStr">
        <is>
          <t>H. Ferrand</t>
        </is>
      </c>
    </row>
    <row r="18">
      <c r="A18" s="1" t="inlineStr">
        <is>
          <t>DGC-SOW-2024-331</t>
        </is>
      </c>
      <c r="B18" s="1" t="inlineStr">
        <is>
          <t>Dorsey Grain Cooperative</t>
        </is>
      </c>
      <c r="C18" s="1" t="inlineStr">
        <is>
          <t>Dorsey Elevator 2</t>
        </is>
      </c>
      <c r="D18" s="1" t="inlineStr">
        <is>
          <t>M80</t>
        </is>
      </c>
      <c r="E18" s="1" t="inlineStr">
        <is>
          <t>Operator training delivered and signed off</t>
        </is>
      </c>
      <c r="F18" s="2" t="n">
        <v>45835</v>
      </c>
      <c r="G18" s="2" t="n">
        <v>45840</v>
      </c>
      <c r="H18" s="1">
        <f>IF(G18="","",G18-F18)</f>
        <v/>
      </c>
      <c r="I18" s="1" t="inlineStr">
        <is>
          <t>Training attendance register</t>
        </is>
      </c>
      <c r="J18" s="1" t="inlineStr">
        <is>
          <t>None</t>
        </is>
      </c>
      <c r="K18" s="1" t="n">
        <v>0</v>
      </c>
      <c r="L18" s="1" t="inlineStr">
        <is>
          <t>No</t>
        </is>
      </c>
      <c r="M18" s="1" t="inlineStr">
        <is>
          <t>Complete</t>
        </is>
      </c>
      <c r="N18" s="1" t="inlineStr">
        <is>
          <t>J. Alvarez</t>
        </is>
      </c>
    </row>
    <row r="19">
      <c r="A19" s="1" t="inlineStr">
        <is>
          <t>YHG-SOW-2026-235</t>
        </is>
      </c>
      <c r="B19" s="1" t="inlineStr">
        <is>
          <t>Yarrow Home Goods</t>
        </is>
      </c>
      <c r="C19" s="1" t="inlineStr">
        <is>
          <t>Yarrow FC3</t>
        </is>
      </c>
      <c r="D19" s="1" t="inlineStr">
        <is>
          <t>M90</t>
        </is>
      </c>
      <c r="E19" s="1" t="inlineStr">
        <is>
          <t>Customer acceptance certificate countersigned</t>
        </is>
      </c>
      <c r="F19" s="2" t="n">
        <v>45954</v>
      </c>
      <c r="G19" s="2" t="n">
        <v>45953</v>
      </c>
      <c r="H19" s="1">
        <f>IF(G19="","",G19-F19)</f>
        <v/>
      </c>
      <c r="I19" s="1" t="inlineStr">
        <is>
          <t>Countersigned acceptance certificate</t>
        </is>
      </c>
      <c r="J19" s="1" t="inlineStr">
        <is>
          <t>20 percent on acceptance</t>
        </is>
      </c>
      <c r="K19" s="1" t="n">
        <v>421106.61</v>
      </c>
      <c r="L19" s="1" t="inlineStr">
        <is>
          <t>Yes</t>
        </is>
      </c>
      <c r="M19" s="1" t="inlineStr">
        <is>
          <t>Complete</t>
        </is>
      </c>
      <c r="N19" s="1" t="inlineStr">
        <is>
          <t>S. Vitale</t>
        </is>
      </c>
    </row>
    <row r="20">
      <c r="A20" s="1" t="inlineStr">
        <is>
          <t>QBM-SOW-2024-507</t>
        </is>
      </c>
      <c r="B20" s="1" t="inlineStr">
        <is>
          <t>Quarrybridge Materials</t>
        </is>
      </c>
      <c r="C20" s="1" t="inlineStr">
        <is>
          <t>Quarrybridge Site 1</t>
        </is>
      </c>
      <c r="D20" s="1" t="inlineStr">
        <is>
          <t>M95</t>
        </is>
      </c>
      <c r="E20" s="1" t="inlineStr">
        <is>
          <t>Warranty commencement recorded</t>
        </is>
      </c>
      <c r="F20" s="2" t="n">
        <v>46048</v>
      </c>
      <c r="G20" s="2" t="n">
        <v>46048</v>
      </c>
      <c r="H20" s="1">
        <f>IF(G20="","",G20-F20)</f>
        <v/>
      </c>
      <c r="I20" s="1" t="inlineStr">
        <is>
          <t>Customer email confirmation retained in the deployment file</t>
        </is>
      </c>
      <c r="J20" s="1" t="inlineStr">
        <is>
          <t>None</t>
        </is>
      </c>
      <c r="K20" s="1" t="n">
        <v>0</v>
      </c>
      <c r="L20" s="1" t="inlineStr">
        <is>
          <t>No</t>
        </is>
      </c>
      <c r="M20" s="1" t="inlineStr">
        <is>
          <t>Complete</t>
        </is>
      </c>
      <c r="N20" s="1" t="inlineStr">
        <is>
          <t>J. Alvarez</t>
        </is>
      </c>
    </row>
    <row r="21">
      <c r="A21" s="1" t="inlineStr">
        <is>
          <t>CMS-SOW-2026-958</t>
        </is>
      </c>
      <c r="B21" s="1" t="inlineStr">
        <is>
          <t>Calder Marine Supply</t>
        </is>
      </c>
      <c r="C21" s="1" t="inlineStr">
        <is>
          <t>Calder Dock 3</t>
        </is>
      </c>
      <c r="D21" s="1" t="inlineStr">
        <is>
          <t>M10</t>
        </is>
      </c>
      <c r="E21" s="1" t="inlineStr">
        <is>
          <t>Contract signature and order acknowledgement</t>
        </is>
      </c>
      <c r="F21" s="2" t="n">
        <v>46091</v>
      </c>
      <c r="G21" s="1" t="inlineStr"/>
      <c r="H21" s="1">
        <f>IF(G21="","",G21-F21)</f>
        <v/>
      </c>
      <c r="I21" s="1" t="inlineStr">
        <is>
          <t>No evidence located; open request with the account team</t>
        </is>
      </c>
      <c r="J21" s="1" t="inlineStr">
        <is>
          <t>20 percent on signature</t>
        </is>
      </c>
      <c r="K21" s="1" t="n">
        <v>171223.78</v>
      </c>
      <c r="L21" s="1" t="inlineStr">
        <is>
          <t>No</t>
        </is>
      </c>
      <c r="M21" s="1" t="inlineStr">
        <is>
          <t>In progress</t>
        </is>
      </c>
      <c r="N21" s="1" t="inlineStr">
        <is>
          <t>S. Vitale</t>
        </is>
      </c>
    </row>
    <row r="22">
      <c r="A22" s="1" t="inlineStr">
        <is>
          <t>OGF-SOW-2025-532</t>
        </is>
      </c>
      <c r="B22" s="1" t="inlineStr">
        <is>
          <t>Orchard Grove Foods</t>
        </is>
      </c>
      <c r="C22" s="1" t="inlineStr">
        <is>
          <t>Orchard Cold 2</t>
        </is>
      </c>
      <c r="D22" s="1" t="inlineStr">
        <is>
          <t>M20</t>
        </is>
      </c>
      <c r="E22" s="1" t="inlineStr">
        <is>
          <t>Site survey complete and layout approved</t>
        </is>
      </c>
      <c r="F22" s="2" t="n">
        <v>45695</v>
      </c>
      <c r="G22" s="1" t="inlineStr"/>
      <c r="H22" s="1">
        <f>IF(G22="","",G22-F22)</f>
        <v/>
      </c>
      <c r="I22" s="1" t="inlineStr">
        <is>
          <t>No evidence located; open request with the account team</t>
        </is>
      </c>
      <c r="J22" s="1" t="inlineStr">
        <is>
          <t>None</t>
        </is>
      </c>
      <c r="K22" s="1" t="n">
        <v>0</v>
      </c>
      <c r="L22" s="1" t="inlineStr">
        <is>
          <t>No</t>
        </is>
      </c>
      <c r="M22" s="1" t="inlineStr">
        <is>
          <t>Blocked on customer</t>
        </is>
      </c>
      <c r="N22" s="1" t="inlineStr">
        <is>
          <t>B. Ng</t>
        </is>
      </c>
    </row>
    <row r="23">
      <c r="A23" s="1" t="inlineStr">
        <is>
          <t>BMC-SOW-2024-456</t>
        </is>
      </c>
      <c r="B23" s="1" t="inlineStr">
        <is>
          <t>Blue Mesa Components</t>
        </is>
      </c>
      <c r="C23" s="1" t="inlineStr">
        <is>
          <t>Mesa Plant 2</t>
        </is>
      </c>
      <c r="D23" s="1" t="inlineStr">
        <is>
          <t>M30</t>
        </is>
      </c>
      <c r="E23" s="1" t="inlineStr">
        <is>
          <t>Hardware shipped to site</t>
        </is>
      </c>
      <c r="F23" s="2" t="n">
        <v>45712</v>
      </c>
      <c r="G23" s="1" t="inlineStr"/>
      <c r="H23" s="1">
        <f>IF(G23="","",G23-F23)</f>
        <v/>
      </c>
      <c r="I23" s="1" t="inlineStr">
        <is>
          <t>No evidence located; open request with the account team</t>
        </is>
      </c>
      <c r="J23" s="1" t="inlineStr">
        <is>
          <t>40 percent on shipment</t>
        </is>
      </c>
      <c r="K23" s="1" t="n">
        <v>254589.13</v>
      </c>
      <c r="L23" s="1" t="inlineStr">
        <is>
          <t>No</t>
        </is>
      </c>
      <c r="M23" s="1" t="inlineStr">
        <is>
          <t>In progress</t>
        </is>
      </c>
      <c r="N23" s="1" t="inlineStr">
        <is>
          <t>B. Ng</t>
        </is>
      </c>
    </row>
    <row r="24">
      <c r="A24" s="1" t="inlineStr">
        <is>
          <t>MDY-SOW-2024-795</t>
        </is>
      </c>
      <c r="B24" s="1" t="inlineStr">
        <is>
          <t>Meridian Dynamics</t>
        </is>
      </c>
      <c r="C24" s="1" t="inlineStr">
        <is>
          <t>Meridian Bay 7</t>
        </is>
      </c>
      <c r="D24" s="1" t="inlineStr">
        <is>
          <t>M40</t>
        </is>
      </c>
      <c r="E24" s="1" t="inlineStr">
        <is>
          <t>Mechanical installation complete</t>
        </is>
      </c>
      <c r="F24" s="2" t="n">
        <v>46150</v>
      </c>
      <c r="G24" s="2" t="n">
        <v>46184</v>
      </c>
      <c r="H24" s="1">
        <f>IF(G24="","",G24-F24)</f>
        <v/>
      </c>
      <c r="I24" s="1" t="inlineStr">
        <is>
          <t>Training attendance register</t>
        </is>
      </c>
      <c r="J24" s="1" t="inlineStr">
        <is>
          <t>None</t>
        </is>
      </c>
      <c r="K24" s="1" t="n">
        <v>0</v>
      </c>
      <c r="L24" s="1" t="inlineStr">
        <is>
          <t>No</t>
        </is>
      </c>
      <c r="M24" s="1" t="inlineStr">
        <is>
          <t>Complete</t>
        </is>
      </c>
      <c r="N24" s="1" t="inlineStr">
        <is>
          <t>F. Lindstrom</t>
        </is>
      </c>
    </row>
    <row r="25">
      <c r="A25" s="1" t="inlineStr">
        <is>
          <t>HLS-SOW-2026-756</t>
        </is>
      </c>
      <c r="B25" s="1" t="inlineStr">
        <is>
          <t>Harborline Systems</t>
        </is>
      </c>
      <c r="C25" s="1" t="inlineStr">
        <is>
          <t>Harborline Pier 9</t>
        </is>
      </c>
      <c r="D25" s="1" t="inlineStr">
        <is>
          <t>M50</t>
        </is>
      </c>
      <c r="E25" s="1" t="inlineStr">
        <is>
          <t>Network and warehouse-system integration complete</t>
        </is>
      </c>
      <c r="F25" s="2" t="n">
        <v>45716</v>
      </c>
      <c r="G25" s="2" t="n">
        <v>45723</v>
      </c>
      <c r="H25" s="1">
        <f>IF(G25="","",G25-F25)</f>
        <v/>
      </c>
      <c r="I25" s="1" t="inlineStr">
        <is>
          <t>Site sign-off form with throughput log attached</t>
        </is>
      </c>
      <c r="J25" s="1" t="inlineStr">
        <is>
          <t>None</t>
        </is>
      </c>
      <c r="K25" s="1" t="n">
        <v>0</v>
      </c>
      <c r="L25" s="1" t="inlineStr">
        <is>
          <t>No</t>
        </is>
      </c>
      <c r="M25" s="1" t="inlineStr">
        <is>
          <t>Complete</t>
        </is>
      </c>
      <c r="N25" s="1" t="inlineStr">
        <is>
          <t>B. Ng</t>
        </is>
      </c>
    </row>
    <row r="26">
      <c r="A26" s="1" t="inlineStr">
        <is>
          <t>FTM-SOW-2024-446</t>
        </is>
      </c>
      <c r="B26" s="1" t="inlineStr">
        <is>
          <t>Fathom Mobility</t>
        </is>
      </c>
      <c r="C26" s="1" t="inlineStr">
        <is>
          <t>Fathom Line A</t>
        </is>
      </c>
      <c r="D26" s="1" t="inlineStr">
        <is>
          <t>M60</t>
        </is>
      </c>
      <c r="E26" s="1" t="inlineStr">
        <is>
          <t>Safety validation witnessed by customer</t>
        </is>
      </c>
      <c r="F26" s="2" t="n">
        <v>46087</v>
      </c>
      <c r="G26" s="2" t="n">
        <v>46087</v>
      </c>
      <c r="H26" s="1">
        <f>IF(G26="","",G26-F26)</f>
        <v/>
      </c>
      <c r="I26" s="1" t="inlineStr">
        <is>
          <t>Training attendance register</t>
        </is>
      </c>
      <c r="J26" s="1" t="inlineStr">
        <is>
          <t>None</t>
        </is>
      </c>
      <c r="K26" s="1" t="n">
        <v>0</v>
      </c>
      <c r="L26" s="1" t="inlineStr">
        <is>
          <t>No</t>
        </is>
      </c>
      <c r="M26" s="1" t="inlineStr">
        <is>
          <t>Complete</t>
        </is>
      </c>
      <c r="N26" s="1" t="inlineStr">
        <is>
          <t>F. Lindstrom</t>
        </is>
      </c>
    </row>
    <row r="27">
      <c r="A27" s="1" t="inlineStr">
        <is>
          <t>CMS-SOW-2026-406</t>
        </is>
      </c>
      <c r="B27" s="1" t="inlineStr">
        <is>
          <t>Calder Marine Supply</t>
        </is>
      </c>
      <c r="C27" s="1" t="inlineStr">
        <is>
          <t>Calder Dock 3</t>
        </is>
      </c>
      <c r="D27" s="1" t="inlineStr">
        <is>
          <t>M70</t>
        </is>
      </c>
      <c r="E27" s="1" t="inlineStr">
        <is>
          <t>Pilot cell operating at contracted throughput</t>
        </is>
      </c>
      <c r="F27" s="2" t="n">
        <v>45967</v>
      </c>
      <c r="G27" s="1" t="inlineStr"/>
      <c r="H27" s="1">
        <f>IF(G27="","",G27-F27)</f>
        <v/>
      </c>
      <c r="I27" s="1" t="inlineStr">
        <is>
          <t>No evidence located; open request with the account team</t>
        </is>
      </c>
      <c r="J27" s="1" t="inlineStr">
        <is>
          <t>20 percent on pilot</t>
        </is>
      </c>
      <c r="K27" s="1" t="n">
        <v>50368.07</v>
      </c>
      <c r="L27" s="1" t="inlineStr">
        <is>
          <t>No</t>
        </is>
      </c>
      <c r="M27" s="1" t="inlineStr">
        <is>
          <t>In progress</t>
        </is>
      </c>
      <c r="N27" s="1" t="inlineStr">
        <is>
          <t>B. Ng</t>
        </is>
      </c>
    </row>
    <row r="28">
      <c r="A28" s="1" t="inlineStr">
        <is>
          <t>CFF-SOW-2025-149</t>
        </is>
      </c>
      <c r="B28" s="1" t="inlineStr">
        <is>
          <t>Crestline Fulfillment</t>
        </is>
      </c>
      <c r="C28" s="1" t="inlineStr">
        <is>
          <t>Crestline FC1</t>
        </is>
      </c>
      <c r="D28" s="1" t="inlineStr">
        <is>
          <t>M80</t>
        </is>
      </c>
      <c r="E28" s="1" t="inlineStr">
        <is>
          <t>Operator training delivered and signed off</t>
        </is>
      </c>
      <c r="F28" s="2" t="n">
        <v>45890</v>
      </c>
      <c r="G28" s="2" t="n">
        <v>45898</v>
      </c>
      <c r="H28" s="1">
        <f>IF(G28="","",G28-F28)</f>
        <v/>
      </c>
      <c r="I28" s="1" t="inlineStr">
        <is>
          <t>Training attendance register</t>
        </is>
      </c>
      <c r="J28" s="1" t="inlineStr">
        <is>
          <t>None</t>
        </is>
      </c>
      <c r="K28" s="1" t="n">
        <v>0</v>
      </c>
      <c r="L28" s="1" t="inlineStr">
        <is>
          <t>No</t>
        </is>
      </c>
      <c r="M28" s="1" t="inlineStr">
        <is>
          <t>Conditionally accepted</t>
        </is>
      </c>
      <c r="N28" s="1" t="inlineStr">
        <is>
          <t>B. Ng</t>
        </is>
      </c>
    </row>
    <row r="29">
      <c r="A29" s="1" t="inlineStr">
        <is>
          <t>CMS-SOW-2026-660</t>
        </is>
      </c>
      <c r="B29" s="1" t="inlineStr">
        <is>
          <t>Calder Marine Supply</t>
        </is>
      </c>
      <c r="C29" s="1" t="inlineStr">
        <is>
          <t>Calder Dock 3</t>
        </is>
      </c>
      <c r="D29" s="1" t="inlineStr">
        <is>
          <t>M90</t>
        </is>
      </c>
      <c r="E29" s="1" t="inlineStr">
        <is>
          <t>Customer acceptance certificate countersigned</t>
        </is>
      </c>
      <c r="F29" s="2" t="n">
        <v>45828</v>
      </c>
      <c r="G29" s="1" t="inlineStr"/>
      <c r="H29" s="1">
        <f>IF(G29="","",G29-F29)</f>
        <v/>
      </c>
      <c r="I29" s="1" t="inlineStr">
        <is>
          <t>No evidence located; open request with the account team</t>
        </is>
      </c>
      <c r="J29" s="1" t="inlineStr">
        <is>
          <t>20 percent on acceptance</t>
        </is>
      </c>
      <c r="K29" s="1" t="n">
        <v>451293.25</v>
      </c>
      <c r="L29" s="1" t="inlineStr">
        <is>
          <t>No</t>
        </is>
      </c>
      <c r="M29" s="1" t="inlineStr">
        <is>
          <t>Planned</t>
        </is>
      </c>
      <c r="N29" s="1" t="inlineStr">
        <is>
          <t>S. Vitale</t>
        </is>
      </c>
    </row>
    <row r="30">
      <c r="A30" s="1" t="inlineStr">
        <is>
          <t>CFF-SOW-2025-422</t>
        </is>
      </c>
      <c r="B30" s="1" t="inlineStr">
        <is>
          <t>Crestline Fulfillment</t>
        </is>
      </c>
      <c r="C30" s="1" t="inlineStr">
        <is>
          <t>Crestline FC1</t>
        </is>
      </c>
      <c r="D30" s="1" t="inlineStr">
        <is>
          <t>M95</t>
        </is>
      </c>
      <c r="E30" s="1" t="inlineStr">
        <is>
          <t>Warranty commencement recorded</t>
        </is>
      </c>
      <c r="F30" s="2" t="n">
        <v>45877</v>
      </c>
      <c r="G30" s="2" t="n">
        <v>45884</v>
      </c>
      <c r="H30" s="1">
        <f>IF(G30="","",G30-F30)</f>
        <v/>
      </c>
      <c r="I30" s="1" t="inlineStr">
        <is>
          <t>Customer email confirmation retained in the deployment file</t>
        </is>
      </c>
      <c r="J30" s="1" t="inlineStr">
        <is>
          <t>None</t>
        </is>
      </c>
      <c r="K30" s="1" t="n">
        <v>0</v>
      </c>
      <c r="L30" s="1" t="inlineStr">
        <is>
          <t>No</t>
        </is>
      </c>
      <c r="M30" s="1" t="inlineStr">
        <is>
          <t>Conditionally accepted</t>
        </is>
      </c>
      <c r="N30" s="1" t="inlineStr">
        <is>
          <t>F. Lindstrom</t>
        </is>
      </c>
    </row>
    <row r="31">
      <c r="A31" s="1" t="inlineStr">
        <is>
          <t>VRS-SOW-2024-113</t>
        </is>
      </c>
      <c r="B31" s="1" t="inlineStr">
        <is>
          <t>Vantage Robotics Supply</t>
        </is>
      </c>
      <c r="C31" s="1" t="inlineStr">
        <is>
          <t>Vantage Depot</t>
        </is>
      </c>
      <c r="D31" s="1" t="inlineStr">
        <is>
          <t>M10</t>
        </is>
      </c>
      <c r="E31" s="1" t="inlineStr">
        <is>
          <t>Contract signature and order acknowledgement</t>
        </is>
      </c>
      <c r="F31" s="2" t="n">
        <v>45849</v>
      </c>
      <c r="G31" s="2" t="n">
        <v>45849</v>
      </c>
      <c r="H31" s="1">
        <f>IF(G31="","",G31-F31)</f>
        <v/>
      </c>
      <c r="I31" s="1" t="inlineStr">
        <is>
          <t>Training attendance register</t>
        </is>
      </c>
      <c r="J31" s="1" t="inlineStr">
        <is>
          <t>20 percent on signature</t>
        </is>
      </c>
      <c r="K31" s="1" t="n">
        <v>243273.2</v>
      </c>
      <c r="L31" s="1" t="inlineStr">
        <is>
          <t>Yes</t>
        </is>
      </c>
      <c r="M31" s="1" t="inlineStr">
        <is>
          <t>Complete</t>
        </is>
      </c>
      <c r="N31" s="1" t="inlineStr">
        <is>
          <t>H. Ferrand</t>
        </is>
      </c>
    </row>
    <row r="32">
      <c r="A32" s="1" t="inlineStr">
        <is>
          <t>LKA-SOW-2024-499</t>
        </is>
      </c>
      <c r="B32" s="1" t="inlineStr">
        <is>
          <t>Larkspur Apparel</t>
        </is>
      </c>
      <c r="C32" s="1" t="inlineStr">
        <is>
          <t>Larkspur FC2</t>
        </is>
      </c>
      <c r="D32" s="1" t="inlineStr">
        <is>
          <t>M20</t>
        </is>
      </c>
      <c r="E32" s="1" t="inlineStr">
        <is>
          <t>Site survey complete and layout approved</t>
        </is>
      </c>
      <c r="F32" s="2" t="n">
        <v>46092</v>
      </c>
      <c r="G32" s="2" t="n">
        <v>46108</v>
      </c>
      <c r="H32" s="1">
        <f>IF(G32="","",G32-F32)</f>
        <v/>
      </c>
      <c r="I32" s="1" t="inlineStr">
        <is>
          <t>Training attendance register</t>
        </is>
      </c>
      <c r="J32" s="1" t="inlineStr">
        <is>
          <t>None</t>
        </is>
      </c>
      <c r="K32" s="1" t="n">
        <v>0</v>
      </c>
      <c r="L32" s="1" t="inlineStr">
        <is>
          <t>No</t>
        </is>
      </c>
      <c r="M32" s="1" t="inlineStr">
        <is>
          <t>Complete</t>
        </is>
      </c>
      <c r="N32" s="1" t="inlineStr">
        <is>
          <t>S. Vitale</t>
        </is>
      </c>
    </row>
    <row r="33">
      <c r="A33" s="1" t="inlineStr">
        <is>
          <t>UVP-SOW-2024-876</t>
        </is>
      </c>
      <c r="B33" s="1" t="inlineStr">
        <is>
          <t>Union Vale Pharma</t>
        </is>
      </c>
      <c r="C33" s="1" t="inlineStr">
        <is>
          <t>Union Vale Vault</t>
        </is>
      </c>
      <c r="D33" s="1" t="inlineStr">
        <is>
          <t>M30</t>
        </is>
      </c>
      <c r="E33" s="1" t="inlineStr">
        <is>
          <t>Hardware shipped to site</t>
        </is>
      </c>
      <c r="F33" s="2" t="n">
        <v>45714</v>
      </c>
      <c r="G33" s="2" t="n">
        <v>45709</v>
      </c>
      <c r="H33" s="1">
        <f>IF(G33="","",G33-F33)</f>
        <v/>
      </c>
      <c r="I33" s="1" t="inlineStr">
        <is>
          <t>Training attendance register</t>
        </is>
      </c>
      <c r="J33" s="1" t="inlineStr">
        <is>
          <t>40 percent on shipment</t>
        </is>
      </c>
      <c r="K33" s="1" t="n">
        <v>162142.72</v>
      </c>
      <c r="L33" s="1" t="inlineStr">
        <is>
          <t>Yes</t>
        </is>
      </c>
      <c r="M33" s="1" t="inlineStr">
        <is>
          <t>Complete</t>
        </is>
      </c>
      <c r="N33" s="1" t="inlineStr">
        <is>
          <t>H. Ferrand</t>
        </is>
      </c>
    </row>
    <row r="34">
      <c r="A34" s="1" t="inlineStr">
        <is>
          <t>HLS-SOW-2024-589</t>
        </is>
      </c>
      <c r="B34" s="1" t="inlineStr">
        <is>
          <t>Harborline Systems</t>
        </is>
      </c>
      <c r="C34" s="1" t="inlineStr">
        <is>
          <t>Harborline Pier 9</t>
        </is>
      </c>
      <c r="D34" s="1" t="inlineStr">
        <is>
          <t>M40</t>
        </is>
      </c>
      <c r="E34" s="1" t="inlineStr">
        <is>
          <t>Mechanical installation complete</t>
        </is>
      </c>
      <c r="F34" s="2" t="n">
        <v>45755</v>
      </c>
      <c r="G34" s="2" t="n">
        <v>45755</v>
      </c>
      <c r="H34" s="1">
        <f>IF(G34="","",G34-F34)</f>
        <v/>
      </c>
      <c r="I34" s="1" t="inlineStr">
        <is>
          <t>Integration test report countersigned by customer IT</t>
        </is>
      </c>
      <c r="J34" s="1" t="inlineStr">
        <is>
          <t>None</t>
        </is>
      </c>
      <c r="K34" s="1" t="n">
        <v>0</v>
      </c>
      <c r="L34" s="1" t="inlineStr">
        <is>
          <t>No</t>
        </is>
      </c>
      <c r="M34" s="1" t="inlineStr">
        <is>
          <t>Complete</t>
        </is>
      </c>
      <c r="N34" s="1" t="inlineStr">
        <is>
          <t>J. Alvarez</t>
        </is>
      </c>
    </row>
    <row r="35">
      <c r="A35" s="1" t="inlineStr">
        <is>
          <t>BWA-SOW-2026-939</t>
        </is>
      </c>
      <c r="B35" s="1" t="inlineStr">
        <is>
          <t>Bellweather Auto Group</t>
        </is>
      </c>
      <c r="C35" s="1" t="inlineStr">
        <is>
          <t>Bellweather PDC</t>
        </is>
      </c>
      <c r="D35" s="1" t="inlineStr">
        <is>
          <t>M50</t>
        </is>
      </c>
      <c r="E35" s="1" t="inlineStr">
        <is>
          <t>Network and warehouse-system integration complete</t>
        </is>
      </c>
      <c r="F35" s="2" t="n">
        <v>46154</v>
      </c>
      <c r="G35" s="2" t="n">
        <v>46153</v>
      </c>
      <c r="H35" s="1">
        <f>IF(G35="","",G35-F35)</f>
        <v/>
      </c>
      <c r="I35" s="1" t="inlineStr">
        <is>
          <t>Integration test report countersigned by customer IT</t>
        </is>
      </c>
      <c r="J35" s="1" t="inlineStr">
        <is>
          <t>None</t>
        </is>
      </c>
      <c r="K35" s="1" t="n">
        <v>0</v>
      </c>
      <c r="L35" s="1" t="inlineStr">
        <is>
          <t>No</t>
        </is>
      </c>
      <c r="M35" s="1" t="inlineStr">
        <is>
          <t>Conditionally accepted</t>
        </is>
      </c>
      <c r="N35" s="1" t="inlineStr">
        <is>
          <t>J. Alvarez</t>
        </is>
      </c>
    </row>
    <row r="36">
      <c r="A36" s="1" t="inlineStr">
        <is>
          <t>GPD-SOW-2026-432</t>
        </is>
      </c>
      <c r="B36" s="1" t="inlineStr">
        <is>
          <t>Granite Peak Distribution</t>
        </is>
      </c>
      <c r="C36" s="1" t="inlineStr">
        <is>
          <t>Granite Yard</t>
        </is>
      </c>
      <c r="D36" s="1" t="inlineStr">
        <is>
          <t>M60</t>
        </is>
      </c>
      <c r="E36" s="1" t="inlineStr">
        <is>
          <t>Safety validation witnessed by customer</t>
        </is>
      </c>
      <c r="F36" s="2" t="n">
        <v>45891</v>
      </c>
      <c r="G36" s="2" t="n">
        <v>45891</v>
      </c>
      <c r="H36" s="1">
        <f>IF(G36="","",G36-F36)</f>
        <v/>
      </c>
      <c r="I36" s="1" t="inlineStr">
        <is>
          <t>Training attendance register</t>
        </is>
      </c>
      <c r="J36" s="1" t="inlineStr">
        <is>
          <t>None</t>
        </is>
      </c>
      <c r="K36" s="1" t="n">
        <v>0</v>
      </c>
      <c r="L36" s="1" t="inlineStr">
        <is>
          <t>No</t>
        </is>
      </c>
      <c r="M36" s="1" t="inlineStr">
        <is>
          <t>Complete</t>
        </is>
      </c>
      <c r="N36" s="1" t="inlineStr">
        <is>
          <t>H. Ferrand</t>
        </is>
      </c>
    </row>
    <row r="37">
      <c r="A37" s="1" t="inlineStr">
        <is>
          <t>RWO-SOW-2025-116</t>
        </is>
      </c>
      <c r="B37" s="1" t="inlineStr">
        <is>
          <t>Redwood Optics</t>
        </is>
      </c>
      <c r="C37" s="1" t="inlineStr">
        <is>
          <t>Redwood Clean 3</t>
        </is>
      </c>
      <c r="D37" s="1" t="inlineStr">
        <is>
          <t>M70</t>
        </is>
      </c>
      <c r="E37" s="1" t="inlineStr">
        <is>
          <t>Pilot cell operating at contracted throughput</t>
        </is>
      </c>
      <c r="F37" s="2" t="n">
        <v>46037</v>
      </c>
      <c r="G37" s="2" t="n">
        <v>46031</v>
      </c>
      <c r="H37" s="1">
        <f>IF(G37="","",G37-F37)</f>
        <v/>
      </c>
      <c r="I37" s="1" t="inlineStr">
        <is>
          <t>Witnessed safety validation report</t>
        </is>
      </c>
      <c r="J37" s="1" t="inlineStr">
        <is>
          <t>20 percent on pilot</t>
        </is>
      </c>
      <c r="K37" s="1" t="n">
        <v>457289.87</v>
      </c>
      <c r="L37" s="1" t="inlineStr">
        <is>
          <t>Yes</t>
        </is>
      </c>
      <c r="M37" s="1" t="inlineStr">
        <is>
          <t>Complete</t>
        </is>
      </c>
      <c r="N37" s="1" t="inlineStr">
        <is>
          <t>F. Lindstrom</t>
        </is>
      </c>
    </row>
    <row r="38">
      <c r="A38" s="1" t="inlineStr">
        <is>
          <t>LKA-SOW-2025-832</t>
        </is>
      </c>
      <c r="B38" s="1" t="inlineStr">
        <is>
          <t>Larkspur Apparel</t>
        </is>
      </c>
      <c r="C38" s="1" t="inlineStr">
        <is>
          <t>Larkspur FC2</t>
        </is>
      </c>
      <c r="D38" s="1" t="inlineStr">
        <is>
          <t>M80</t>
        </is>
      </c>
      <c r="E38" s="1" t="inlineStr">
        <is>
          <t>Operator training delivered and signed off</t>
        </is>
      </c>
      <c r="F38" s="2" t="n">
        <v>45922</v>
      </c>
      <c r="G38" s="1" t="inlineStr"/>
      <c r="H38" s="1">
        <f>IF(G38="","",G38-F38)</f>
        <v/>
      </c>
      <c r="I38" s="1" t="inlineStr">
        <is>
          <t>No evidence located; open request with the account team</t>
        </is>
      </c>
      <c r="J38" s="1" t="inlineStr">
        <is>
          <t>None</t>
        </is>
      </c>
      <c r="K38" s="1" t="n">
        <v>0</v>
      </c>
      <c r="L38" s="1" t="inlineStr">
        <is>
          <t>No</t>
        </is>
      </c>
      <c r="M38" s="1" t="inlineStr">
        <is>
          <t>Planned</t>
        </is>
      </c>
      <c r="N38" s="1" t="inlineStr">
        <is>
          <t>H. Ferrand</t>
        </is>
      </c>
    </row>
    <row r="39">
      <c r="A39" s="1" t="inlineStr">
        <is>
          <t>CFF-SOW-2026-286</t>
        </is>
      </c>
      <c r="B39" s="1" t="inlineStr">
        <is>
          <t>Crestline Fulfillment</t>
        </is>
      </c>
      <c r="C39" s="1" t="inlineStr">
        <is>
          <t>Crestline FC1</t>
        </is>
      </c>
      <c r="D39" s="1" t="inlineStr">
        <is>
          <t>M90</t>
        </is>
      </c>
      <c r="E39" s="1" t="inlineStr">
        <is>
          <t>Customer acceptance certificate countersigned</t>
        </is>
      </c>
      <c r="F39" s="2" t="n">
        <v>45720</v>
      </c>
      <c r="G39" s="1" t="inlineStr"/>
      <c r="H39" s="1">
        <f>IF(G39="","",G39-F39)</f>
        <v/>
      </c>
      <c r="I39" s="1" t="inlineStr">
        <is>
          <t>No evidence located; open request with the account team</t>
        </is>
      </c>
      <c r="J39" s="1" t="inlineStr">
        <is>
          <t>20 percent on acceptance</t>
        </is>
      </c>
      <c r="K39" s="1" t="n">
        <v>343576.46</v>
      </c>
      <c r="L39" s="1" t="inlineStr">
        <is>
          <t>No</t>
        </is>
      </c>
      <c r="M39" s="1" t="inlineStr">
        <is>
          <t>Blocked on customer</t>
        </is>
      </c>
      <c r="N39" s="1" t="inlineStr">
        <is>
          <t>H. Ferrand</t>
        </is>
      </c>
    </row>
    <row r="40">
      <c r="A40" s="1" t="inlineStr">
        <is>
          <t>BWA-SOW-2025-904</t>
        </is>
      </c>
      <c r="B40" s="1" t="inlineStr">
        <is>
          <t>Bellweather Auto Group</t>
        </is>
      </c>
      <c r="C40" s="1" t="inlineStr">
        <is>
          <t>Bellweather PDC</t>
        </is>
      </c>
      <c r="D40" s="1" t="inlineStr">
        <is>
          <t>M95</t>
        </is>
      </c>
      <c r="E40" s="1" t="inlineStr">
        <is>
          <t>Warranty commencement recorded</t>
        </is>
      </c>
      <c r="F40" s="2" t="n">
        <v>45867</v>
      </c>
      <c r="G40" s="2" t="n">
        <v>45866</v>
      </c>
      <c r="H40" s="1">
        <f>IF(G40="","",G40-F40)</f>
        <v/>
      </c>
      <c r="I40" s="1" t="inlineStr">
        <is>
          <t>Witnessed safety validation report</t>
        </is>
      </c>
      <c r="J40" s="1" t="inlineStr">
        <is>
          <t>None</t>
        </is>
      </c>
      <c r="K40" s="1" t="n">
        <v>0</v>
      </c>
      <c r="L40" s="1" t="inlineStr">
        <is>
          <t>No</t>
        </is>
      </c>
      <c r="M40" s="1" t="inlineStr">
        <is>
          <t>Complete</t>
        </is>
      </c>
      <c r="N40" s="1" t="inlineStr">
        <is>
          <t>B. Ng</t>
        </is>
      </c>
    </row>
    <row r="41">
      <c r="A41" s="1" t="inlineStr">
        <is>
          <t>GPD-SOW-2026-783</t>
        </is>
      </c>
      <c r="B41" s="1" t="inlineStr">
        <is>
          <t>Granite Peak Distribution</t>
        </is>
      </c>
      <c r="C41" s="1" t="inlineStr">
        <is>
          <t>Granite Yard</t>
        </is>
      </c>
      <c r="D41" s="1" t="inlineStr">
        <is>
          <t>M10</t>
        </is>
      </c>
      <c r="E41" s="1" t="inlineStr">
        <is>
          <t>Contract signature and order acknowledgement</t>
        </is>
      </c>
      <c r="F41" s="2" t="n">
        <v>46164</v>
      </c>
      <c r="G41" s="2" t="n">
        <v>46164</v>
      </c>
      <c r="H41" s="1">
        <f>IF(G41="","",G41-F41)</f>
        <v/>
      </c>
      <c r="I41" s="1" t="inlineStr">
        <is>
          <t>Conditional acceptance letter with open punch list</t>
        </is>
      </c>
      <c r="J41" s="1" t="inlineStr">
        <is>
          <t>20 percent on signature</t>
        </is>
      </c>
      <c r="K41" s="1" t="n">
        <v>228052.68</v>
      </c>
      <c r="L41" s="1" t="inlineStr">
        <is>
          <t>Yes</t>
        </is>
      </c>
      <c r="M41" s="1" t="inlineStr">
        <is>
          <t>Complete</t>
        </is>
      </c>
      <c r="N41" s="1" t="inlineStr">
        <is>
          <t>J. Alvarez</t>
        </is>
      </c>
    </row>
    <row r="42">
      <c r="A42" s="1" t="inlineStr">
        <is>
          <t>MDY-SOW-2025-392</t>
        </is>
      </c>
      <c r="B42" s="1" t="inlineStr">
        <is>
          <t>Meridian Dynamics</t>
        </is>
      </c>
      <c r="C42" s="1" t="inlineStr">
        <is>
          <t>Meridian Bay 7</t>
        </is>
      </c>
      <c r="D42" s="1" t="inlineStr">
        <is>
          <t>M20</t>
        </is>
      </c>
      <c r="E42" s="1" t="inlineStr">
        <is>
          <t>Site survey complete and layout approved</t>
        </is>
      </c>
      <c r="F42" s="2" t="n">
        <v>45891</v>
      </c>
      <c r="G42" s="1" t="inlineStr"/>
      <c r="H42" s="1">
        <f>IF(G42="","",G42-F42)</f>
        <v/>
      </c>
      <c r="I42" s="1" t="inlineStr">
        <is>
          <t>No evidence located; open request with the account team</t>
        </is>
      </c>
      <c r="J42" s="1" t="inlineStr">
        <is>
          <t>None</t>
        </is>
      </c>
      <c r="K42" s="1" t="n">
        <v>0</v>
      </c>
      <c r="L42" s="1" t="inlineStr">
        <is>
          <t>No</t>
        </is>
      </c>
      <c r="M42" s="1" t="inlineStr">
        <is>
          <t>Planned</t>
        </is>
      </c>
      <c r="N42" s="1" t="inlineStr">
        <is>
          <t>S. Vitale</t>
        </is>
      </c>
    </row>
    <row r="43">
      <c r="A43" s="1" t="inlineStr">
        <is>
          <t>MDY-SOW-2024-216</t>
        </is>
      </c>
      <c r="B43" s="1" t="inlineStr">
        <is>
          <t>Meridian Dynamics</t>
        </is>
      </c>
      <c r="C43" s="1" t="inlineStr">
        <is>
          <t>Meridian Bay 7</t>
        </is>
      </c>
      <c r="D43" s="1" t="inlineStr">
        <is>
          <t>M30</t>
        </is>
      </c>
      <c r="E43" s="1" t="inlineStr">
        <is>
          <t>Hardware shipped to site</t>
        </is>
      </c>
      <c r="F43" s="2" t="n">
        <v>46171</v>
      </c>
      <c r="G43" s="1" t="inlineStr"/>
      <c r="H43" s="1">
        <f>IF(G43="","",G43-F43)</f>
        <v/>
      </c>
      <c r="I43" s="1" t="inlineStr">
        <is>
          <t>No evidence located; open request with the account team</t>
        </is>
      </c>
      <c r="J43" s="1" t="inlineStr">
        <is>
          <t>40 percent on shipment</t>
        </is>
      </c>
      <c r="K43" s="1" t="n">
        <v>161399.19</v>
      </c>
      <c r="L43" s="1" t="inlineStr">
        <is>
          <t>No</t>
        </is>
      </c>
      <c r="M43" s="1" t="inlineStr">
        <is>
          <t>In progress</t>
        </is>
      </c>
      <c r="N43" s="1" t="inlineStr">
        <is>
          <t>H. Ferrand</t>
        </is>
      </c>
    </row>
    <row r="44">
      <c r="A44" s="1" t="inlineStr">
        <is>
          <t>AST-SOW-2026-798</t>
        </is>
      </c>
      <c r="B44" s="1" t="inlineStr">
        <is>
          <t>Asterion Logistics</t>
        </is>
      </c>
      <c r="C44" s="1" t="inlineStr">
        <is>
          <t>Tracy DC</t>
        </is>
      </c>
      <c r="D44" s="1" t="inlineStr">
        <is>
          <t>M40</t>
        </is>
      </c>
      <c r="E44" s="1" t="inlineStr">
        <is>
          <t>Mechanical installation complete</t>
        </is>
      </c>
      <c r="F44" s="2" t="n">
        <v>45730</v>
      </c>
      <c r="G44" s="1" t="inlineStr"/>
      <c r="H44" s="1">
        <f>IF(G44="","",G44-F44)</f>
        <v/>
      </c>
      <c r="I44" s="1" t="inlineStr">
        <is>
          <t>No evidence located; open request with the account team</t>
        </is>
      </c>
      <c r="J44" s="1" t="inlineStr">
        <is>
          <t>None</t>
        </is>
      </c>
      <c r="K44" s="1" t="n">
        <v>0</v>
      </c>
      <c r="L44" s="1" t="inlineStr">
        <is>
          <t>No</t>
        </is>
      </c>
      <c r="M44" s="1" t="inlineStr">
        <is>
          <t>In progress</t>
        </is>
      </c>
      <c r="N44" s="1" t="inlineStr">
        <is>
          <t>B. Ng</t>
        </is>
      </c>
    </row>
    <row r="45">
      <c r="A45" s="1" t="inlineStr">
        <is>
          <t>QBM-SOW-2025-802</t>
        </is>
      </c>
      <c r="B45" s="1" t="inlineStr">
        <is>
          <t>Quarrybridge Materials</t>
        </is>
      </c>
      <c r="C45" s="1" t="inlineStr">
        <is>
          <t>Quarrybridge Site 1</t>
        </is>
      </c>
      <c r="D45" s="1" t="inlineStr">
        <is>
          <t>M50</t>
        </is>
      </c>
      <c r="E45" s="1" t="inlineStr">
        <is>
          <t>Network and warehouse-system integration complete</t>
        </is>
      </c>
      <c r="F45" s="2" t="n">
        <v>45882</v>
      </c>
      <c r="G45" s="2" t="n">
        <v>45887</v>
      </c>
      <c r="H45" s="1">
        <f>IF(G45="","",G45-F45)</f>
        <v/>
      </c>
      <c r="I45" s="1" t="inlineStr">
        <is>
          <t>Integration test report countersigned by customer IT</t>
        </is>
      </c>
      <c r="J45" s="1" t="inlineStr">
        <is>
          <t>None</t>
        </is>
      </c>
      <c r="K45" s="1" t="n">
        <v>0</v>
      </c>
      <c r="L45" s="1" t="inlineStr">
        <is>
          <t>No</t>
        </is>
      </c>
      <c r="M45" s="1" t="inlineStr">
        <is>
          <t>Complete</t>
        </is>
      </c>
      <c r="N45" s="1" t="inlineStr">
        <is>
          <t>S. Vitale</t>
        </is>
      </c>
    </row>
    <row r="46">
      <c r="A46" s="1" t="inlineStr">
        <is>
          <t>PFU-SOW-2024-338</t>
        </is>
      </c>
      <c r="B46" s="1" t="inlineStr">
        <is>
          <t>Pioneer Freight Union</t>
        </is>
      </c>
      <c r="C46" s="1" t="inlineStr">
        <is>
          <t>Pioneer Hub</t>
        </is>
      </c>
      <c r="D46" s="1" t="inlineStr">
        <is>
          <t>M60</t>
        </is>
      </c>
      <c r="E46" s="1" t="inlineStr">
        <is>
          <t>Safety validation witnessed by customer</t>
        </is>
      </c>
      <c r="F46" s="2" t="n">
        <v>45989</v>
      </c>
      <c r="G46" s="1" t="inlineStr"/>
      <c r="H46" s="1">
        <f>IF(G46="","",G46-F46)</f>
        <v/>
      </c>
      <c r="I46" s="1" t="inlineStr">
        <is>
          <t>No evidence located; open request with the account team</t>
        </is>
      </c>
      <c r="J46" s="1" t="inlineStr">
        <is>
          <t>None</t>
        </is>
      </c>
      <c r="K46" s="1" t="n">
        <v>0</v>
      </c>
      <c r="L46" s="1" t="inlineStr">
        <is>
          <t>No</t>
        </is>
      </c>
      <c r="M46" s="1" t="inlineStr">
        <is>
          <t>In progress</t>
        </is>
      </c>
      <c r="N46" s="1" t="inlineStr">
        <is>
          <t>H. Ferrand</t>
        </is>
      </c>
    </row>
    <row r="47">
      <c r="A47" s="1" t="inlineStr">
        <is>
          <t>BMC-SOW-2026-169</t>
        </is>
      </c>
      <c r="B47" s="1" t="inlineStr">
        <is>
          <t>Blue Mesa Components</t>
        </is>
      </c>
      <c r="C47" s="1" t="inlineStr">
        <is>
          <t>Mesa Plant 2</t>
        </is>
      </c>
      <c r="D47" s="1" t="inlineStr">
        <is>
          <t>M70</t>
        </is>
      </c>
      <c r="E47" s="1" t="inlineStr">
        <is>
          <t>Pilot cell operating at contracted throughput</t>
        </is>
      </c>
      <c r="F47" s="2" t="n">
        <v>45960</v>
      </c>
      <c r="G47" s="1" t="inlineStr"/>
      <c r="H47" s="1">
        <f>IF(G47="","",G47-F47)</f>
        <v/>
      </c>
      <c r="I47" s="1" t="inlineStr">
        <is>
          <t>No evidence located; open request with the account team</t>
        </is>
      </c>
      <c r="J47" s="1" t="inlineStr">
        <is>
          <t>20 percent on pilot</t>
        </is>
      </c>
      <c r="K47" s="1" t="n">
        <v>359063.01</v>
      </c>
      <c r="L47" s="1" t="inlineStr">
        <is>
          <t>No</t>
        </is>
      </c>
      <c r="M47" s="1" t="inlineStr">
        <is>
          <t>In progress</t>
        </is>
      </c>
      <c r="N47" s="1" t="inlineStr">
        <is>
          <t>F. Lindstrom</t>
        </is>
      </c>
    </row>
    <row r="48">
      <c r="A48" s="1" t="inlineStr">
        <is>
          <t>KPP-SOW-2024-266</t>
        </is>
      </c>
      <c r="B48" s="1" t="inlineStr">
        <is>
          <t>Keystone Paper &amp; Pack</t>
        </is>
      </c>
      <c r="C48" s="1" t="inlineStr">
        <is>
          <t>Keystone Mill 3</t>
        </is>
      </c>
      <c r="D48" s="1" t="inlineStr">
        <is>
          <t>M80</t>
        </is>
      </c>
      <c r="E48" s="1" t="inlineStr">
        <is>
          <t>Operator training delivered and signed off</t>
        </is>
      </c>
      <c r="F48" s="2" t="n">
        <v>45933</v>
      </c>
      <c r="G48" s="2" t="n">
        <v>45940</v>
      </c>
      <c r="H48" s="1">
        <f>IF(G48="","",G48-F48)</f>
        <v/>
      </c>
      <c r="I48" s="1" t="inlineStr">
        <is>
          <t>Witnessed safety validation report</t>
        </is>
      </c>
      <c r="J48" s="1" t="inlineStr">
        <is>
          <t>None</t>
        </is>
      </c>
      <c r="K48" s="1" t="n">
        <v>0</v>
      </c>
      <c r="L48" s="1" t="inlineStr">
        <is>
          <t>No</t>
        </is>
      </c>
      <c r="M48" s="1" t="inlineStr">
        <is>
          <t>Complete</t>
        </is>
      </c>
      <c r="N48" s="1" t="inlineStr">
        <is>
          <t>J. Alvarez</t>
        </is>
      </c>
    </row>
    <row r="49">
      <c r="A49" s="1" t="inlineStr">
        <is>
          <t>DBI-SOW-2024-874</t>
        </is>
      </c>
      <c r="B49" s="1" t="inlineStr">
        <is>
          <t>Dunbar Industrial</t>
        </is>
      </c>
      <c r="C49" s="1" t="inlineStr">
        <is>
          <t>Dunbar Works</t>
        </is>
      </c>
      <c r="D49" s="1" t="inlineStr">
        <is>
          <t>M90</t>
        </is>
      </c>
      <c r="E49" s="1" t="inlineStr">
        <is>
          <t>Customer acceptance certificate countersigned</t>
        </is>
      </c>
      <c r="F49" s="2" t="n">
        <v>46162</v>
      </c>
      <c r="G49" s="1" t="inlineStr"/>
      <c r="H49" s="1">
        <f>IF(G49="","",G49-F49)</f>
        <v/>
      </c>
      <c r="I49" s="1" t="inlineStr">
        <is>
          <t>No evidence located; open request with the account team</t>
        </is>
      </c>
      <c r="J49" s="1" t="inlineStr">
        <is>
          <t>20 percent on acceptance</t>
        </is>
      </c>
      <c r="K49" s="1" t="n">
        <v>358760.67</v>
      </c>
      <c r="L49" s="1" t="inlineStr">
        <is>
          <t>No</t>
        </is>
      </c>
      <c r="M49" s="1" t="inlineStr">
        <is>
          <t>Blocked on customer</t>
        </is>
      </c>
      <c r="N49" s="1" t="inlineStr">
        <is>
          <t>F. Lindstrom</t>
        </is>
      </c>
    </row>
    <row r="50">
      <c r="A50" s="1" t="inlineStr">
        <is>
          <t>JHS-SOW-2025-927</t>
        </is>
      </c>
      <c r="B50" s="1" t="inlineStr">
        <is>
          <t>Juniper Health Supply</t>
        </is>
      </c>
      <c r="C50" s="1" t="inlineStr">
        <is>
          <t>Juniper Sterile 1</t>
        </is>
      </c>
      <c r="D50" s="1" t="inlineStr">
        <is>
          <t>M95</t>
        </is>
      </c>
      <c r="E50" s="1" t="inlineStr">
        <is>
          <t>Warranty commencement recorded</t>
        </is>
      </c>
      <c r="F50" s="2" t="n">
        <v>45770</v>
      </c>
      <c r="G50" s="2" t="n">
        <v>45765</v>
      </c>
      <c r="H50" s="1">
        <f>IF(G50="","",G50-F50)</f>
        <v/>
      </c>
      <c r="I50" s="1" t="inlineStr">
        <is>
          <t>Integration test report countersigned by customer IT</t>
        </is>
      </c>
      <c r="J50" s="1" t="inlineStr">
        <is>
          <t>None</t>
        </is>
      </c>
      <c r="K50" s="1" t="n">
        <v>0</v>
      </c>
      <c r="L50" s="1" t="inlineStr">
        <is>
          <t>No</t>
        </is>
      </c>
      <c r="M50" s="1" t="inlineStr">
        <is>
          <t>Complete</t>
        </is>
      </c>
      <c r="N50" s="1" t="inlineStr">
        <is>
          <t>J. Alvarez</t>
        </is>
      </c>
    </row>
    <row r="51">
      <c r="A51" s="1" t="inlineStr">
        <is>
          <t>BMC-SOW-2026-764</t>
        </is>
      </c>
      <c r="B51" s="1" t="inlineStr">
        <is>
          <t>Blue Mesa Components</t>
        </is>
      </c>
      <c r="C51" s="1" t="inlineStr">
        <is>
          <t>Mesa Plant 2</t>
        </is>
      </c>
      <c r="D51" s="1" t="inlineStr">
        <is>
          <t>M10</t>
        </is>
      </c>
      <c r="E51" s="1" t="inlineStr">
        <is>
          <t>Contract signature and order acknowledgement</t>
        </is>
      </c>
      <c r="F51" s="2" t="n">
        <v>45951</v>
      </c>
      <c r="G51" s="2" t="n">
        <v>45985</v>
      </c>
      <c r="H51" s="1">
        <f>IF(G51="","",G51-F51)</f>
        <v/>
      </c>
      <c r="I51" s="1" t="inlineStr">
        <is>
          <t>Countersigned acceptance certificate</t>
        </is>
      </c>
      <c r="J51" s="1" t="inlineStr">
        <is>
          <t>20 percent on signature</t>
        </is>
      </c>
      <c r="K51" s="1" t="n">
        <v>132811.53</v>
      </c>
      <c r="L51" s="1" t="inlineStr">
        <is>
          <t>No</t>
        </is>
      </c>
      <c r="M51" s="1" t="inlineStr">
        <is>
          <t>Conditionally accepted</t>
        </is>
      </c>
      <c r="N51" s="1" t="inlineStr">
        <is>
          <t>S. Vitale</t>
        </is>
      </c>
    </row>
    <row r="52">
      <c r="A52" s="1" t="inlineStr">
        <is>
          <t>MDY-SOW-2024-718</t>
        </is>
      </c>
      <c r="B52" s="1" t="inlineStr">
        <is>
          <t>Meridian Dynamics</t>
        </is>
      </c>
      <c r="C52" s="1" t="inlineStr">
        <is>
          <t>Meridian Bay 7</t>
        </is>
      </c>
      <c r="D52" s="1" t="inlineStr">
        <is>
          <t>M20</t>
        </is>
      </c>
      <c r="E52" s="1" t="inlineStr">
        <is>
          <t>Site survey complete and layout approved</t>
        </is>
      </c>
      <c r="F52" s="2" t="n">
        <v>45860</v>
      </c>
      <c r="G52" s="2" t="n">
        <v>45856</v>
      </c>
      <c r="H52" s="1">
        <f>IF(G52="","",G52-F52)</f>
        <v/>
      </c>
      <c r="I52" s="1" t="inlineStr">
        <is>
          <t>Training attendance register</t>
        </is>
      </c>
      <c r="J52" s="1" t="inlineStr">
        <is>
          <t>None</t>
        </is>
      </c>
      <c r="K52" s="1" t="n">
        <v>0</v>
      </c>
      <c r="L52" s="1" t="inlineStr">
        <is>
          <t>No</t>
        </is>
      </c>
      <c r="M52" s="1" t="inlineStr">
        <is>
          <t>Conditionally accepted</t>
        </is>
      </c>
      <c r="N52" s="1" t="inlineStr">
        <is>
          <t>H. Ferrand</t>
        </is>
      </c>
    </row>
    <row r="53">
      <c r="A53" s="1" t="inlineStr">
        <is>
          <t>UVP-SOW-2024-275</t>
        </is>
      </c>
      <c r="B53" s="1" t="inlineStr">
        <is>
          <t>Union Vale Pharma</t>
        </is>
      </c>
      <c r="C53" s="1" t="inlineStr">
        <is>
          <t>Union Vale Vault</t>
        </is>
      </c>
      <c r="D53" s="1" t="inlineStr">
        <is>
          <t>M30</t>
        </is>
      </c>
      <c r="E53" s="1" t="inlineStr">
        <is>
          <t>Hardware shipped to site</t>
        </is>
      </c>
      <c r="F53" s="2" t="n">
        <v>45957</v>
      </c>
      <c r="G53" s="1" t="inlineStr"/>
      <c r="H53" s="1">
        <f>IF(G53="","",G53-F53)</f>
        <v/>
      </c>
      <c r="I53" s="1" t="inlineStr">
        <is>
          <t>No evidence located; open request with the account team</t>
        </is>
      </c>
      <c r="J53" s="1" t="inlineStr">
        <is>
          <t>40 percent on shipment</t>
        </is>
      </c>
      <c r="K53" s="1" t="n">
        <v>466823.74</v>
      </c>
      <c r="L53" s="1" t="inlineStr">
        <is>
          <t>No</t>
        </is>
      </c>
      <c r="M53" s="1" t="inlineStr">
        <is>
          <t>In progress</t>
        </is>
      </c>
      <c r="N53" s="1" t="inlineStr">
        <is>
          <t>F. Lindstrom</t>
        </is>
      </c>
    </row>
    <row r="54">
      <c r="A54" s="1" t="inlineStr">
        <is>
          <t>WCD-SOW-2024-885</t>
        </is>
      </c>
      <c r="B54" s="1" t="inlineStr">
        <is>
          <t>Westlake Chemical Depot</t>
        </is>
      </c>
      <c r="C54" s="1" t="inlineStr">
        <is>
          <t>Westlake Tank 6</t>
        </is>
      </c>
      <c r="D54" s="1" t="inlineStr">
        <is>
          <t>M40</t>
        </is>
      </c>
      <c r="E54" s="1" t="inlineStr">
        <is>
          <t>Mechanical installation complete</t>
        </is>
      </c>
      <c r="F54" s="2" t="n">
        <v>45744</v>
      </c>
      <c r="G54" s="2" t="n">
        <v>45749</v>
      </c>
      <c r="H54" s="1">
        <f>IF(G54="","",G54-F54)</f>
        <v/>
      </c>
      <c r="I54" s="1" t="inlineStr">
        <is>
          <t>Customer email confirmation retained in the deployment file</t>
        </is>
      </c>
      <c r="J54" s="1" t="inlineStr">
        <is>
          <t>None</t>
        </is>
      </c>
      <c r="K54" s="1" t="n">
        <v>0</v>
      </c>
      <c r="L54" s="1" t="inlineStr">
        <is>
          <t>No</t>
        </is>
      </c>
      <c r="M54" s="1" t="inlineStr">
        <is>
          <t>Deferred at customer request</t>
        </is>
      </c>
      <c r="N54" s="1" t="inlineStr">
        <is>
          <t>J. Alvarez</t>
        </is>
      </c>
    </row>
    <row r="55">
      <c r="A55" s="1" t="inlineStr">
        <is>
          <t>DBI-SOW-2024-731</t>
        </is>
      </c>
      <c r="B55" s="1" t="inlineStr">
        <is>
          <t>Dunbar Industrial</t>
        </is>
      </c>
      <c r="C55" s="1" t="inlineStr">
        <is>
          <t>Dunbar Works</t>
        </is>
      </c>
      <c r="D55" s="1" t="inlineStr">
        <is>
          <t>M50</t>
        </is>
      </c>
      <c r="E55" s="1" t="inlineStr">
        <is>
          <t>Network and warehouse-system integration complete</t>
        </is>
      </c>
      <c r="F55" s="2" t="n">
        <v>45891</v>
      </c>
      <c r="G55" s="2" t="n">
        <v>45896</v>
      </c>
      <c r="H55" s="1">
        <f>IF(G55="","",G55-F55)</f>
        <v/>
      </c>
      <c r="I55" s="1" t="inlineStr">
        <is>
          <t>Witnessed safety validation report</t>
        </is>
      </c>
      <c r="J55" s="1" t="inlineStr">
        <is>
          <t>None</t>
        </is>
      </c>
      <c r="K55" s="1" t="n">
        <v>0</v>
      </c>
      <c r="L55" s="1" t="inlineStr">
        <is>
          <t>No</t>
        </is>
      </c>
      <c r="M55" s="1" t="inlineStr">
        <is>
          <t>Complete</t>
        </is>
      </c>
      <c r="N55" s="1" t="inlineStr">
        <is>
          <t>F. Lindstrom</t>
        </is>
      </c>
    </row>
    <row r="56">
      <c r="A56" s="1" t="inlineStr">
        <is>
          <t>DGC-SOW-2025-357</t>
        </is>
      </c>
      <c r="B56" s="1" t="inlineStr">
        <is>
          <t>Dorsey Grain Cooperative</t>
        </is>
      </c>
      <c r="C56" s="1" t="inlineStr">
        <is>
          <t>Dorsey Elevator 2</t>
        </is>
      </c>
      <c r="D56" s="1" t="inlineStr">
        <is>
          <t>M60</t>
        </is>
      </c>
      <c r="E56" s="1" t="inlineStr">
        <is>
          <t>Safety validation witnessed by customer</t>
        </is>
      </c>
      <c r="F56" s="2" t="n">
        <v>46140</v>
      </c>
      <c r="G56" s="1" t="inlineStr"/>
      <c r="H56" s="1">
        <f>IF(G56="","",G56-F56)</f>
        <v/>
      </c>
      <c r="I56" s="1" t="inlineStr">
        <is>
          <t>No evidence located; open request with the account team</t>
        </is>
      </c>
      <c r="J56" s="1" t="inlineStr">
        <is>
          <t>None</t>
        </is>
      </c>
      <c r="K56" s="1" t="n">
        <v>0</v>
      </c>
      <c r="L56" s="1" t="inlineStr">
        <is>
          <t>No</t>
        </is>
      </c>
      <c r="M56" s="1" t="inlineStr">
        <is>
          <t>In progress</t>
        </is>
      </c>
      <c r="N56" s="1" t="inlineStr">
        <is>
          <t>J. Alvarez</t>
        </is>
      </c>
    </row>
    <row r="57">
      <c r="A57" s="1" t="inlineStr">
        <is>
          <t>TCE-SOW-2024-654</t>
        </is>
      </c>
      <c r="B57" s="1" t="inlineStr">
        <is>
          <t>Tamarack Electronics</t>
        </is>
      </c>
      <c r="C57" s="1" t="inlineStr">
        <is>
          <t>Tamarack SMT 2</t>
        </is>
      </c>
      <c r="D57" s="1" t="inlineStr">
        <is>
          <t>M70</t>
        </is>
      </c>
      <c r="E57" s="1" t="inlineStr">
        <is>
          <t>Pilot cell operating at contracted throughput</t>
        </is>
      </c>
      <c r="F57" s="2" t="n">
        <v>45930</v>
      </c>
      <c r="G57" s="1" t="inlineStr"/>
      <c r="H57" s="1">
        <f>IF(G57="","",G57-F57)</f>
        <v/>
      </c>
      <c r="I57" s="1" t="inlineStr">
        <is>
          <t>No evidence located; open request with the account team</t>
        </is>
      </c>
      <c r="J57" s="1" t="inlineStr">
        <is>
          <t>20 percent on pilot</t>
        </is>
      </c>
      <c r="K57" s="1" t="n">
        <v>272222.77</v>
      </c>
      <c r="L57" s="1" t="inlineStr">
        <is>
          <t>No</t>
        </is>
      </c>
      <c r="M57" s="1" t="inlineStr">
        <is>
          <t>Planned</t>
        </is>
      </c>
      <c r="N57" s="1" t="inlineStr">
        <is>
          <t>B. Ng</t>
        </is>
      </c>
    </row>
    <row r="58">
      <c r="A58" s="1" t="inlineStr">
        <is>
          <t>BMC-SOW-2024-257</t>
        </is>
      </c>
      <c r="B58" s="1" t="inlineStr">
        <is>
          <t>Blue Mesa Components</t>
        </is>
      </c>
      <c r="C58" s="1" t="inlineStr">
        <is>
          <t>Mesa Plant 2</t>
        </is>
      </c>
      <c r="D58" s="1" t="inlineStr">
        <is>
          <t>M80</t>
        </is>
      </c>
      <c r="E58" s="1" t="inlineStr">
        <is>
          <t>Operator training delivered and signed off</t>
        </is>
      </c>
      <c r="F58" s="2" t="n">
        <v>45814</v>
      </c>
      <c r="G58" s="1" t="inlineStr"/>
      <c r="H58" s="1">
        <f>IF(G58="","",G58-F58)</f>
        <v/>
      </c>
      <c r="I58" s="1" t="inlineStr">
        <is>
          <t>No evidence located; open request with the account team</t>
        </is>
      </c>
      <c r="J58" s="1" t="inlineStr">
        <is>
          <t>None</t>
        </is>
      </c>
      <c r="K58" s="1" t="n">
        <v>0</v>
      </c>
      <c r="L58" s="1" t="inlineStr">
        <is>
          <t>No</t>
        </is>
      </c>
      <c r="M58" s="1" t="inlineStr">
        <is>
          <t>Planned</t>
        </is>
      </c>
      <c r="N58" s="1" t="inlineStr">
        <is>
          <t>S. Vitale</t>
        </is>
      </c>
    </row>
    <row r="59">
      <c r="A59" s="1" t="inlineStr">
        <is>
          <t>BWA-SOW-2026-310</t>
        </is>
      </c>
      <c r="B59" s="1" t="inlineStr">
        <is>
          <t>Bellweather Auto Group</t>
        </is>
      </c>
      <c r="C59" s="1" t="inlineStr">
        <is>
          <t>Bellweather PDC</t>
        </is>
      </c>
      <c r="D59" s="1" t="inlineStr">
        <is>
          <t>M90</t>
        </is>
      </c>
      <c r="E59" s="1" t="inlineStr">
        <is>
          <t>Customer acceptance certificate countersigned</t>
        </is>
      </c>
      <c r="F59" s="2" t="n">
        <v>46101</v>
      </c>
      <c r="G59" s="1" t="inlineStr"/>
      <c r="H59" s="1">
        <f>IF(G59="","",G59-F59)</f>
        <v/>
      </c>
      <c r="I59" s="1" t="inlineStr">
        <is>
          <t>No evidence located; open request with the account team</t>
        </is>
      </c>
      <c r="J59" s="1" t="inlineStr">
        <is>
          <t>20 percent on acceptance</t>
        </is>
      </c>
      <c r="K59" s="1" t="n">
        <v>400601.28</v>
      </c>
      <c r="L59" s="1" t="inlineStr">
        <is>
          <t>No</t>
        </is>
      </c>
      <c r="M59" s="1" t="inlineStr">
        <is>
          <t>In progress</t>
        </is>
      </c>
      <c r="N59" s="1" t="inlineStr">
        <is>
          <t>S. Vitale</t>
        </is>
      </c>
    </row>
    <row r="60">
      <c r="A60" s="1" t="inlineStr">
        <is>
          <t>YHG-SOW-2025-617</t>
        </is>
      </c>
      <c r="B60" s="1" t="inlineStr">
        <is>
          <t>Yarrow Home Goods</t>
        </is>
      </c>
      <c r="C60" s="1" t="inlineStr">
        <is>
          <t>Yarrow FC3</t>
        </is>
      </c>
      <c r="D60" s="1" t="inlineStr">
        <is>
          <t>M95</t>
        </is>
      </c>
      <c r="E60" s="1" t="inlineStr">
        <is>
          <t>Warranty commencement recorded</t>
        </is>
      </c>
      <c r="F60" s="2" t="n">
        <v>46104</v>
      </c>
      <c r="G60" s="2" t="n">
        <v>46106</v>
      </c>
      <c r="H60" s="1">
        <f>IF(G60="","",G60-F60)</f>
        <v/>
      </c>
      <c r="I60" s="1" t="inlineStr">
        <is>
          <t>Integration test report countersigned by customer IT</t>
        </is>
      </c>
      <c r="J60" s="1" t="inlineStr">
        <is>
          <t>None</t>
        </is>
      </c>
      <c r="K60" s="1" t="n">
        <v>0</v>
      </c>
      <c r="L60" s="1" t="inlineStr">
        <is>
          <t>No</t>
        </is>
      </c>
      <c r="M60" s="1" t="inlineStr">
        <is>
          <t>Complete</t>
        </is>
      </c>
      <c r="N60" s="1" t="inlineStr">
        <is>
          <t>S. Vitale</t>
        </is>
      </c>
    </row>
    <row r="61">
      <c r="A61" s="1" t="inlineStr">
        <is>
          <t>DBI-SOW-2024-429</t>
        </is>
      </c>
      <c r="B61" s="1" t="inlineStr">
        <is>
          <t>Dunbar Industrial</t>
        </is>
      </c>
      <c r="C61" s="1" t="inlineStr">
        <is>
          <t>Dunbar Works</t>
        </is>
      </c>
      <c r="D61" s="1" t="inlineStr">
        <is>
          <t>M10</t>
        </is>
      </c>
      <c r="E61" s="1" t="inlineStr">
        <is>
          <t>Contract signature and order acknowledgement</t>
        </is>
      </c>
      <c r="F61" s="2" t="n">
        <v>46002</v>
      </c>
      <c r="G61" s="2" t="n">
        <v>46001</v>
      </c>
      <c r="H61" s="1">
        <f>IF(G61="","",G61-F61)</f>
        <v/>
      </c>
      <c r="I61" s="1" t="inlineStr">
        <is>
          <t>Site sign-off form with throughput log attached</t>
        </is>
      </c>
      <c r="J61" s="1" t="inlineStr">
        <is>
          <t>20 percent on signature</t>
        </is>
      </c>
      <c r="K61" s="1" t="n">
        <v>154777.48</v>
      </c>
      <c r="L61" s="1" t="inlineStr">
        <is>
          <t>Yes</t>
        </is>
      </c>
      <c r="M61" s="1" t="inlineStr">
        <is>
          <t>Complete</t>
        </is>
      </c>
      <c r="N61" s="1" t="inlineStr">
        <is>
          <t>H. Ferrand</t>
        </is>
      </c>
    </row>
    <row r="62">
      <c r="A62" s="1" t="inlineStr">
        <is>
          <t>FTM-SOW-2025-643</t>
        </is>
      </c>
      <c r="B62" s="1" t="inlineStr">
        <is>
          <t>Fathom Mobility</t>
        </is>
      </c>
      <c r="C62" s="1" t="inlineStr">
        <is>
          <t>Fathom Line A</t>
        </is>
      </c>
      <c r="D62" s="1" t="inlineStr">
        <is>
          <t>M20</t>
        </is>
      </c>
      <c r="E62" s="1" t="inlineStr">
        <is>
          <t>Site survey complete and layout approved</t>
        </is>
      </c>
      <c r="F62" s="2" t="n">
        <v>45938</v>
      </c>
      <c r="G62" s="2" t="n">
        <v>45933</v>
      </c>
      <c r="H62" s="1">
        <f>IF(G62="","",G62-F62)</f>
        <v/>
      </c>
      <c r="I62" s="1" t="inlineStr">
        <is>
          <t>Conditional acceptance letter with open punch list</t>
        </is>
      </c>
      <c r="J62" s="1" t="inlineStr">
        <is>
          <t>None</t>
        </is>
      </c>
      <c r="K62" s="1" t="n">
        <v>0</v>
      </c>
      <c r="L62" s="1" t="inlineStr">
        <is>
          <t>No</t>
        </is>
      </c>
      <c r="M62" s="1" t="inlineStr">
        <is>
          <t>Complete</t>
        </is>
      </c>
      <c r="N62" s="1" t="inlineStr">
        <is>
          <t>F. Lindstrom</t>
        </is>
      </c>
    </row>
    <row r="63">
      <c r="A63" s="1" t="inlineStr">
        <is>
          <t>EWP-SOW-2024-428</t>
        </is>
      </c>
      <c r="B63" s="1" t="inlineStr">
        <is>
          <t>Elmsworth Publishing</t>
        </is>
      </c>
      <c r="C63" s="1" t="inlineStr">
        <is>
          <t>Elmsworth Bindery</t>
        </is>
      </c>
      <c r="D63" s="1" t="inlineStr">
        <is>
          <t>M30</t>
        </is>
      </c>
      <c r="E63" s="1" t="inlineStr">
        <is>
          <t>Hardware shipped to site</t>
        </is>
      </c>
      <c r="F63" s="2" t="n">
        <v>46150</v>
      </c>
      <c r="G63" s="2" t="n">
        <v>46149</v>
      </c>
      <c r="H63" s="1">
        <f>IF(G63="","",G63-F63)</f>
        <v/>
      </c>
      <c r="I63" s="1" t="inlineStr">
        <is>
          <t>Customer email confirmation retained in the deployment file</t>
        </is>
      </c>
      <c r="J63" s="1" t="inlineStr">
        <is>
          <t>40 percent on shipment</t>
        </is>
      </c>
      <c r="K63" s="1" t="n">
        <v>218416.03</v>
      </c>
      <c r="L63" s="1" t="inlineStr">
        <is>
          <t>Yes</t>
        </is>
      </c>
      <c r="M63" s="1" t="inlineStr">
        <is>
          <t>Complete</t>
        </is>
      </c>
      <c r="N63" s="1" t="inlineStr">
        <is>
          <t>B. Ng</t>
        </is>
      </c>
    </row>
    <row r="64">
      <c r="A64" s="1" t="inlineStr">
        <is>
          <t>UVP-SOW-2026-496</t>
        </is>
      </c>
      <c r="B64" s="1" t="inlineStr">
        <is>
          <t>Union Vale Pharma</t>
        </is>
      </c>
      <c r="C64" s="1" t="inlineStr">
        <is>
          <t>Union Vale Vault</t>
        </is>
      </c>
      <c r="D64" s="1" t="inlineStr">
        <is>
          <t>M40</t>
        </is>
      </c>
      <c r="E64" s="1" t="inlineStr">
        <is>
          <t>Mechanical installation complete</t>
        </is>
      </c>
      <c r="F64" s="2" t="n">
        <v>45758</v>
      </c>
      <c r="G64" s="1" t="inlineStr"/>
      <c r="H64" s="1">
        <f>IF(G64="","",G64-F64)</f>
        <v/>
      </c>
      <c r="I64" s="1" t="inlineStr">
        <is>
          <t>No evidence located; open request with the account team</t>
        </is>
      </c>
      <c r="J64" s="1" t="inlineStr">
        <is>
          <t>None</t>
        </is>
      </c>
      <c r="K64" s="1" t="n">
        <v>0</v>
      </c>
      <c r="L64" s="1" t="inlineStr">
        <is>
          <t>No</t>
        </is>
      </c>
      <c r="M64" s="1" t="inlineStr">
        <is>
          <t>Planned</t>
        </is>
      </c>
      <c r="N64" s="1" t="inlineStr">
        <is>
          <t>H. Ferrand</t>
        </is>
      </c>
    </row>
    <row r="65">
      <c r="A65" s="1" t="inlineStr">
        <is>
          <t>OGF-SOW-2026-587</t>
        </is>
      </c>
      <c r="B65" s="1" t="inlineStr">
        <is>
          <t>Orchard Grove Foods</t>
        </is>
      </c>
      <c r="C65" s="1" t="inlineStr">
        <is>
          <t>Orchard Cold 2</t>
        </is>
      </c>
      <c r="D65" s="1" t="inlineStr">
        <is>
          <t>M50</t>
        </is>
      </c>
      <c r="E65" s="1" t="inlineStr">
        <is>
          <t>Network and warehouse-system integration complete</t>
        </is>
      </c>
      <c r="F65" s="2" t="n">
        <v>46059</v>
      </c>
      <c r="G65" s="1" t="inlineStr"/>
      <c r="H65" s="1">
        <f>IF(G65="","",G65-F65)</f>
        <v/>
      </c>
      <c r="I65" s="1" t="inlineStr">
        <is>
          <t>No evidence located; open request with the account team</t>
        </is>
      </c>
      <c r="J65" s="1" t="inlineStr">
        <is>
          <t>None</t>
        </is>
      </c>
      <c r="K65" s="1" t="n">
        <v>0</v>
      </c>
      <c r="L65" s="1" t="inlineStr">
        <is>
          <t>No</t>
        </is>
      </c>
      <c r="M65" s="1" t="inlineStr">
        <is>
          <t>Blocked on customer</t>
        </is>
      </c>
      <c r="N65" s="1" t="inlineStr">
        <is>
          <t>B. Ng</t>
        </is>
      </c>
    </row>
    <row r="66">
      <c r="A66" s="1" t="inlineStr">
        <is>
          <t>KPP-SOW-2024-733</t>
        </is>
      </c>
      <c r="B66" s="1" t="inlineStr">
        <is>
          <t>Keystone Paper &amp; Pack</t>
        </is>
      </c>
      <c r="C66" s="1" t="inlineStr">
        <is>
          <t>Keystone Mill 3</t>
        </is>
      </c>
      <c r="D66" s="1" t="inlineStr">
        <is>
          <t>M60</t>
        </is>
      </c>
      <c r="E66" s="1" t="inlineStr">
        <is>
          <t>Safety validation witnessed by customer</t>
        </is>
      </c>
      <c r="F66" s="2" t="n">
        <v>45793</v>
      </c>
      <c r="G66" s="1" t="inlineStr"/>
      <c r="H66" s="1">
        <f>IF(G66="","",G66-F66)</f>
        <v/>
      </c>
      <c r="I66" s="1" t="inlineStr">
        <is>
          <t>No evidence located; open request with the account team</t>
        </is>
      </c>
      <c r="J66" s="1" t="inlineStr">
        <is>
          <t>None</t>
        </is>
      </c>
      <c r="K66" s="1" t="n">
        <v>0</v>
      </c>
      <c r="L66" s="1" t="inlineStr">
        <is>
          <t>No</t>
        </is>
      </c>
      <c r="M66" s="1" t="inlineStr">
        <is>
          <t>In progress</t>
        </is>
      </c>
      <c r="N66" s="1" t="inlineStr">
        <is>
          <t>S. Vitale</t>
        </is>
      </c>
    </row>
    <row r="67">
      <c r="A67" s="1" t="inlineStr">
        <is>
          <t>OGF-SOW-2024-770</t>
        </is>
      </c>
      <c r="B67" s="1" t="inlineStr">
        <is>
          <t>Orchard Grove Foods</t>
        </is>
      </c>
      <c r="C67" s="1" t="inlineStr">
        <is>
          <t>Orchard Cold 2</t>
        </is>
      </c>
      <c r="D67" s="1" t="inlineStr">
        <is>
          <t>M70</t>
        </is>
      </c>
      <c r="E67" s="1" t="inlineStr">
        <is>
          <t>Pilot cell operating at contracted throughput</t>
        </is>
      </c>
      <c r="F67" s="2" t="n">
        <v>45968</v>
      </c>
      <c r="G67" s="2" t="n">
        <v>45968</v>
      </c>
      <c r="H67" s="1">
        <f>IF(G67="","",G67-F67)</f>
        <v/>
      </c>
      <c r="I67" s="1" t="inlineStr">
        <is>
          <t>Integration test report countersigned by customer IT</t>
        </is>
      </c>
      <c r="J67" s="1" t="inlineStr">
        <is>
          <t>20 percent on pilot</t>
        </is>
      </c>
      <c r="K67" s="1" t="n">
        <v>287156.63</v>
      </c>
      <c r="L67" s="1" t="inlineStr">
        <is>
          <t>Yes</t>
        </is>
      </c>
      <c r="M67" s="1" t="inlineStr">
        <is>
          <t>Complete</t>
        </is>
      </c>
      <c r="N67" s="1" t="inlineStr">
        <is>
          <t>J. Alvarez</t>
        </is>
      </c>
    </row>
    <row r="68">
      <c r="A68" s="1" t="inlineStr">
        <is>
          <t>KPP-SOW-2024-949</t>
        </is>
      </c>
      <c r="B68" s="1" t="inlineStr">
        <is>
          <t>Keystone Paper &amp; Pack</t>
        </is>
      </c>
      <c r="C68" s="1" t="inlineStr">
        <is>
          <t>Keystone Mill 3</t>
        </is>
      </c>
      <c r="D68" s="1" t="inlineStr">
        <is>
          <t>M80</t>
        </is>
      </c>
      <c r="E68" s="1" t="inlineStr">
        <is>
          <t>Operator training delivered and signed off</t>
        </is>
      </c>
      <c r="F68" s="2" t="n">
        <v>46150</v>
      </c>
      <c r="G68" s="1" t="inlineStr"/>
      <c r="H68" s="1">
        <f>IF(G68="","",G68-F68)</f>
        <v/>
      </c>
      <c r="I68" s="1" t="inlineStr">
        <is>
          <t>No evidence located; open request with the account team</t>
        </is>
      </c>
      <c r="J68" s="1" t="inlineStr">
        <is>
          <t>None</t>
        </is>
      </c>
      <c r="K68" s="1" t="n">
        <v>0</v>
      </c>
      <c r="L68" s="1" t="inlineStr">
        <is>
          <t>No</t>
        </is>
      </c>
      <c r="M68" s="1" t="inlineStr">
        <is>
          <t>Blocked on customer</t>
        </is>
      </c>
      <c r="N68" s="1" t="inlineStr">
        <is>
          <t>B. Ng</t>
        </is>
      </c>
    </row>
    <row r="69">
      <c r="A69" s="1" t="inlineStr">
        <is>
          <t>OGF-SOW-2026-302</t>
        </is>
      </c>
      <c r="B69" s="1" t="inlineStr">
        <is>
          <t>Orchard Grove Foods</t>
        </is>
      </c>
      <c r="C69" s="1" t="inlineStr">
        <is>
          <t>Orchard Cold 2</t>
        </is>
      </c>
      <c r="D69" s="1" t="inlineStr">
        <is>
          <t>M90</t>
        </is>
      </c>
      <c r="E69" s="1" t="inlineStr">
        <is>
          <t>Customer acceptance certificate countersigned</t>
        </is>
      </c>
      <c r="F69" s="2" t="n">
        <v>46052</v>
      </c>
      <c r="G69" s="2" t="n">
        <v>46070</v>
      </c>
      <c r="H69" s="1">
        <f>IF(G69="","",G69-F69)</f>
        <v/>
      </c>
      <c r="I69" s="1" t="inlineStr">
        <is>
          <t>Conditional acceptance letter with open punch list</t>
        </is>
      </c>
      <c r="J69" s="1" t="inlineStr">
        <is>
          <t>20 percent on acceptance</t>
        </is>
      </c>
      <c r="K69" s="1" t="n">
        <v>178045.37</v>
      </c>
      <c r="L69" s="1" t="inlineStr">
        <is>
          <t>Yes</t>
        </is>
      </c>
      <c r="M69" s="1" t="inlineStr">
        <is>
          <t>Complete</t>
        </is>
      </c>
      <c r="N69" s="1" t="inlineStr">
        <is>
          <t>J. Alvarez</t>
        </is>
      </c>
    </row>
    <row r="70">
      <c r="A70" s="1" t="inlineStr">
        <is>
          <t>UVP-SOW-2025-316</t>
        </is>
      </c>
      <c r="B70" s="1" t="inlineStr">
        <is>
          <t>Union Vale Pharma</t>
        </is>
      </c>
      <c r="C70" s="1" t="inlineStr">
        <is>
          <t>Union Vale Vault</t>
        </is>
      </c>
      <c r="D70" s="1" t="inlineStr">
        <is>
          <t>M95</t>
        </is>
      </c>
      <c r="E70" s="1" t="inlineStr">
        <is>
          <t>Warranty commencement recorded</t>
        </is>
      </c>
      <c r="F70" s="2" t="n">
        <v>45992</v>
      </c>
      <c r="G70" s="2" t="n">
        <v>45992</v>
      </c>
      <c r="H70" s="1">
        <f>IF(G70="","",G70-F70)</f>
        <v/>
      </c>
      <c r="I70" s="1" t="inlineStr">
        <is>
          <t>Training attendance register</t>
        </is>
      </c>
      <c r="J70" s="1" t="inlineStr">
        <is>
          <t>None</t>
        </is>
      </c>
      <c r="K70" s="1" t="n">
        <v>0</v>
      </c>
      <c r="L70" s="1" t="inlineStr">
        <is>
          <t>No</t>
        </is>
      </c>
      <c r="M70" s="1" t="inlineStr">
        <is>
          <t>Complete</t>
        </is>
      </c>
      <c r="N70" s="1" t="inlineStr">
        <is>
          <t>H. Ferrand</t>
        </is>
      </c>
    </row>
    <row r="71">
      <c r="A71" s="1" t="inlineStr">
        <is>
          <t>NFB-SOW-2024-970</t>
        </is>
      </c>
      <c r="B71" s="1" t="inlineStr">
        <is>
          <t>Northfield Beverage</t>
        </is>
      </c>
      <c r="C71" s="1" t="inlineStr">
        <is>
          <t>Northfield Line 5</t>
        </is>
      </c>
      <c r="D71" s="1" t="inlineStr">
        <is>
          <t>M10</t>
        </is>
      </c>
      <c r="E71" s="1" t="inlineStr">
        <is>
          <t>Contract signature and order acknowledgement</t>
        </is>
      </c>
      <c r="F71" s="2" t="n">
        <v>46184</v>
      </c>
      <c r="G71" s="2" t="n">
        <v>46184</v>
      </c>
      <c r="H71" s="1">
        <f>IF(G71="","",G71-F71)</f>
        <v/>
      </c>
      <c r="I71" s="1" t="inlineStr">
        <is>
          <t>Countersigned acceptance certificate</t>
        </is>
      </c>
      <c r="J71" s="1" t="inlineStr">
        <is>
          <t>20 percent on signature</t>
        </is>
      </c>
      <c r="K71" s="1" t="n">
        <v>68162.64999999999</v>
      </c>
      <c r="L71" s="1" t="inlineStr">
        <is>
          <t>No</t>
        </is>
      </c>
      <c r="M71" s="1" t="inlineStr">
        <is>
          <t>Conditionally accepted</t>
        </is>
      </c>
      <c r="N71" s="1" t="inlineStr">
        <is>
          <t>J. Alvarez</t>
        </is>
      </c>
    </row>
    <row r="72">
      <c r="A72" s="1" t="inlineStr">
        <is>
          <t>HLS-SOW-2025-980</t>
        </is>
      </c>
      <c r="B72" s="1" t="inlineStr">
        <is>
          <t>Harborline Systems</t>
        </is>
      </c>
      <c r="C72" s="1" t="inlineStr">
        <is>
          <t>Harborline Pier 9</t>
        </is>
      </c>
      <c r="D72" s="1" t="inlineStr">
        <is>
          <t>M20</t>
        </is>
      </c>
      <c r="E72" s="1" t="inlineStr">
        <is>
          <t>Site survey complete and layout approved</t>
        </is>
      </c>
      <c r="F72" s="2" t="n">
        <v>45918</v>
      </c>
      <c r="G72" s="2" t="n">
        <v>45923</v>
      </c>
      <c r="H72" s="1">
        <f>IF(G72="","",G72-F72)</f>
        <v/>
      </c>
      <c r="I72" s="1" t="inlineStr">
        <is>
          <t>Site sign-off form with throughput log attached</t>
        </is>
      </c>
      <c r="J72" s="1" t="inlineStr">
        <is>
          <t>None</t>
        </is>
      </c>
      <c r="K72" s="1" t="n">
        <v>0</v>
      </c>
      <c r="L72" s="1" t="inlineStr">
        <is>
          <t>No</t>
        </is>
      </c>
      <c r="M72" s="1" t="inlineStr">
        <is>
          <t>Complete</t>
        </is>
      </c>
      <c r="N72" s="1" t="inlineStr">
        <is>
          <t>H. Ferrand</t>
        </is>
      </c>
    </row>
    <row r="73">
      <c r="A73" s="1" t="inlineStr">
        <is>
          <t>CMS-SOW-2025-484</t>
        </is>
      </c>
      <c r="B73" s="1" t="inlineStr">
        <is>
          <t>Calder Marine Supply</t>
        </is>
      </c>
      <c r="C73" s="1" t="inlineStr">
        <is>
          <t>Calder Dock 3</t>
        </is>
      </c>
      <c r="D73" s="1" t="inlineStr">
        <is>
          <t>M30</t>
        </is>
      </c>
      <c r="E73" s="1" t="inlineStr">
        <is>
          <t>Hardware shipped to site</t>
        </is>
      </c>
      <c r="F73" s="2" t="n">
        <v>46163</v>
      </c>
      <c r="G73" s="1" t="inlineStr"/>
      <c r="H73" s="1">
        <f>IF(G73="","",G73-F73)</f>
        <v/>
      </c>
      <c r="I73" s="1" t="inlineStr">
        <is>
          <t>No evidence located; open request with the account team</t>
        </is>
      </c>
      <c r="J73" s="1" t="inlineStr">
        <is>
          <t>40 percent on shipment</t>
        </is>
      </c>
      <c r="K73" s="1" t="n">
        <v>253775.58</v>
      </c>
      <c r="L73" s="1" t="inlineStr">
        <is>
          <t>No</t>
        </is>
      </c>
      <c r="M73" s="1" t="inlineStr">
        <is>
          <t>Planned</t>
        </is>
      </c>
      <c r="N73" s="1" t="inlineStr">
        <is>
          <t>F. Lindstrom</t>
        </is>
      </c>
    </row>
    <row r="74">
      <c r="A74" s="1" t="inlineStr">
        <is>
          <t>VRS-SOW-2024-739</t>
        </is>
      </c>
      <c r="B74" s="1" t="inlineStr">
        <is>
          <t>Vantage Robotics Supply</t>
        </is>
      </c>
      <c r="C74" s="1" t="inlineStr">
        <is>
          <t>Vantage Depot</t>
        </is>
      </c>
      <c r="D74" s="1" t="inlineStr">
        <is>
          <t>M40</t>
        </is>
      </c>
      <c r="E74" s="1" t="inlineStr">
        <is>
          <t>Mechanical installation complete</t>
        </is>
      </c>
      <c r="F74" s="2" t="n">
        <v>45751</v>
      </c>
      <c r="G74" s="1" t="inlineStr"/>
      <c r="H74" s="1">
        <f>IF(G74="","",G74-F74)</f>
        <v/>
      </c>
      <c r="I74" s="1" t="inlineStr">
        <is>
          <t>No evidence located; open request with the account team</t>
        </is>
      </c>
      <c r="J74" s="1" t="inlineStr">
        <is>
          <t>None</t>
        </is>
      </c>
      <c r="K74" s="1" t="n">
        <v>0</v>
      </c>
      <c r="L74" s="1" t="inlineStr">
        <is>
          <t>No</t>
        </is>
      </c>
      <c r="M74" s="1" t="inlineStr">
        <is>
          <t>Blocked on customer</t>
        </is>
      </c>
      <c r="N74" s="1" t="inlineStr">
        <is>
          <t>J. Alvarez</t>
        </is>
      </c>
    </row>
    <row r="75">
      <c r="A75" s="1" t="inlineStr">
        <is>
          <t>GPD-SOW-2025-896</t>
        </is>
      </c>
      <c r="B75" s="1" t="inlineStr">
        <is>
          <t>Granite Peak Distribution</t>
        </is>
      </c>
      <c r="C75" s="1" t="inlineStr">
        <is>
          <t>Granite Yard</t>
        </is>
      </c>
      <c r="D75" s="1" t="inlineStr">
        <is>
          <t>M50</t>
        </is>
      </c>
      <c r="E75" s="1" t="inlineStr">
        <is>
          <t>Network and warehouse-system integration complete</t>
        </is>
      </c>
      <c r="F75" s="2" t="n">
        <v>45786</v>
      </c>
      <c r="G75" s="1" t="inlineStr"/>
      <c r="H75" s="1">
        <f>IF(G75="","",G75-F75)</f>
        <v/>
      </c>
      <c r="I75" s="1" t="inlineStr">
        <is>
          <t>No evidence located; open request with the account team</t>
        </is>
      </c>
      <c r="J75" s="1" t="inlineStr">
        <is>
          <t>None</t>
        </is>
      </c>
      <c r="K75" s="1" t="n">
        <v>0</v>
      </c>
      <c r="L75" s="1" t="inlineStr">
        <is>
          <t>No</t>
        </is>
      </c>
      <c r="M75" s="1" t="inlineStr">
        <is>
          <t>Planned</t>
        </is>
      </c>
      <c r="N75" s="1" t="inlineStr">
        <is>
          <t>F. Lindstrom</t>
        </is>
      </c>
    </row>
    <row r="76">
      <c r="A76" s="1" t="inlineStr">
        <is>
          <t>LKA-SOW-2025-748</t>
        </is>
      </c>
      <c r="B76" s="1" t="inlineStr">
        <is>
          <t>Larkspur Apparel</t>
        </is>
      </c>
      <c r="C76" s="1" t="inlineStr">
        <is>
          <t>Larkspur FC2</t>
        </is>
      </c>
      <c r="D76" s="1" t="inlineStr">
        <is>
          <t>M60</t>
        </is>
      </c>
      <c r="E76" s="1" t="inlineStr">
        <is>
          <t>Safety validation witnessed by customer</t>
        </is>
      </c>
      <c r="F76" s="2" t="n">
        <v>45933</v>
      </c>
      <c r="G76" s="2" t="n">
        <v>45933</v>
      </c>
      <c r="H76" s="1">
        <f>IF(G76="","",G76-F76)</f>
        <v/>
      </c>
      <c r="I76" s="1" t="inlineStr">
        <is>
          <t>Customer email confirmation retained in the deployment file</t>
        </is>
      </c>
      <c r="J76" s="1" t="inlineStr">
        <is>
          <t>None</t>
        </is>
      </c>
      <c r="K76" s="1" t="n">
        <v>0</v>
      </c>
      <c r="L76" s="1" t="inlineStr">
        <is>
          <t>No</t>
        </is>
      </c>
      <c r="M76" s="1" t="inlineStr">
        <is>
          <t>Conditionally accepted</t>
        </is>
      </c>
      <c r="N76" s="1" t="inlineStr">
        <is>
          <t>J. Alvarez</t>
        </is>
      </c>
    </row>
    <row r="77">
      <c r="A77" s="1" t="inlineStr">
        <is>
          <t>HLS-SOW-2024-382</t>
        </is>
      </c>
      <c r="B77" s="1" t="inlineStr">
        <is>
          <t>Harborline Systems</t>
        </is>
      </c>
      <c r="C77" s="1" t="inlineStr">
        <is>
          <t>Harborline Pier 9</t>
        </is>
      </c>
      <c r="D77" s="1" t="inlineStr">
        <is>
          <t>M70</t>
        </is>
      </c>
      <c r="E77" s="1" t="inlineStr">
        <is>
          <t>Pilot cell operating at contracted throughput</t>
        </is>
      </c>
      <c r="F77" s="2" t="n">
        <v>45835</v>
      </c>
      <c r="G77" s="2" t="n">
        <v>45835</v>
      </c>
      <c r="H77" s="1">
        <f>IF(G77="","",G77-F77)</f>
        <v/>
      </c>
      <c r="I77" s="1" t="inlineStr">
        <is>
          <t>Customer email confirmation retained in the deployment file</t>
        </is>
      </c>
      <c r="J77" s="1" t="inlineStr">
        <is>
          <t>20 percent on pilot</t>
        </is>
      </c>
      <c r="K77" s="1" t="n">
        <v>463408.4</v>
      </c>
      <c r="L77" s="1" t="inlineStr">
        <is>
          <t>No</t>
        </is>
      </c>
      <c r="M77" s="1" t="inlineStr">
        <is>
          <t>Conditionally accepted</t>
        </is>
      </c>
      <c r="N77" s="1" t="inlineStr">
        <is>
          <t>J. Alvarez</t>
        </is>
      </c>
    </row>
    <row r="78">
      <c r="A78" s="1" t="inlineStr">
        <is>
          <t>MDY-SOW-2024-672</t>
        </is>
      </c>
      <c r="B78" s="1" t="inlineStr">
        <is>
          <t>Meridian Dynamics</t>
        </is>
      </c>
      <c r="C78" s="1" t="inlineStr">
        <is>
          <t>Meridian Bay 7</t>
        </is>
      </c>
      <c r="D78" s="1" t="inlineStr">
        <is>
          <t>M80</t>
        </is>
      </c>
      <c r="E78" s="1" t="inlineStr">
        <is>
          <t>Operator training delivered and signed off</t>
        </is>
      </c>
      <c r="F78" s="2" t="n">
        <v>45783</v>
      </c>
      <c r="G78" s="2" t="n">
        <v>45800</v>
      </c>
      <c r="H78" s="1">
        <f>IF(G78="","",G78-F78)</f>
        <v/>
      </c>
      <c r="I78" s="1" t="inlineStr">
        <is>
          <t>Witnessed safety validation report</t>
        </is>
      </c>
      <c r="J78" s="1" t="inlineStr">
        <is>
          <t>None</t>
        </is>
      </c>
      <c r="K78" s="1" t="n">
        <v>0</v>
      </c>
      <c r="L78" s="1" t="inlineStr">
        <is>
          <t>No</t>
        </is>
      </c>
      <c r="M78" s="1" t="inlineStr">
        <is>
          <t>Complete</t>
        </is>
      </c>
      <c r="N78" s="1" t="inlineStr">
        <is>
          <t>H. Ferrand</t>
        </is>
      </c>
    </row>
    <row r="79">
      <c r="A79" s="1" t="inlineStr">
        <is>
          <t>ABT-SOW-2025-713</t>
        </is>
      </c>
      <c r="B79" s="1" t="inlineStr">
        <is>
          <t>Alderbrook Textiles</t>
        </is>
      </c>
      <c r="C79" s="1" t="inlineStr">
        <is>
          <t>Alderbrook Loom 1</t>
        </is>
      </c>
      <c r="D79" s="1" t="inlineStr">
        <is>
          <t>M90</t>
        </is>
      </c>
      <c r="E79" s="1" t="inlineStr">
        <is>
          <t>Customer acceptance certificate countersigned</t>
        </is>
      </c>
      <c r="F79" s="2" t="n">
        <v>45737</v>
      </c>
      <c r="G79" s="2" t="n">
        <v>45737</v>
      </c>
      <c r="H79" s="1">
        <f>IF(G79="","",G79-F79)</f>
        <v/>
      </c>
      <c r="I79" s="1" t="inlineStr">
        <is>
          <t>Conditional acceptance letter with open punch list</t>
        </is>
      </c>
      <c r="J79" s="1" t="inlineStr">
        <is>
          <t>20 percent on acceptance</t>
        </is>
      </c>
      <c r="K79" s="1" t="n">
        <v>281875.04</v>
      </c>
      <c r="L79" s="1" t="inlineStr">
        <is>
          <t>Yes</t>
        </is>
      </c>
      <c r="M79" s="1" t="inlineStr">
        <is>
          <t>Complete</t>
        </is>
      </c>
      <c r="N79" s="1" t="inlineStr">
        <is>
          <t>B. Ng</t>
        </is>
      </c>
    </row>
    <row r="80">
      <c r="A80" s="1" t="inlineStr">
        <is>
          <t>VRS-SOW-2026-475</t>
        </is>
      </c>
      <c r="B80" s="1" t="inlineStr">
        <is>
          <t>Vantage Robotics Supply</t>
        </is>
      </c>
      <c r="C80" s="1" t="inlineStr">
        <is>
          <t>Vantage Depot</t>
        </is>
      </c>
      <c r="D80" s="1" t="inlineStr">
        <is>
          <t>M95</t>
        </is>
      </c>
      <c r="E80" s="1" t="inlineStr">
        <is>
          <t>Warranty commencement recorded</t>
        </is>
      </c>
      <c r="F80" s="2" t="n">
        <v>45912</v>
      </c>
      <c r="G80" s="1" t="inlineStr"/>
      <c r="H80" s="1">
        <f>IF(G80="","",G80-F80)</f>
        <v/>
      </c>
      <c r="I80" s="1" t="inlineStr">
        <is>
          <t>No evidence located; open request with the account team</t>
        </is>
      </c>
      <c r="J80" s="1" t="inlineStr">
        <is>
          <t>None</t>
        </is>
      </c>
      <c r="K80" s="1" t="n">
        <v>0</v>
      </c>
      <c r="L80" s="1" t="inlineStr">
        <is>
          <t>No</t>
        </is>
      </c>
      <c r="M80" s="1" t="inlineStr">
        <is>
          <t>In progress</t>
        </is>
      </c>
      <c r="N80" s="1" t="inlineStr">
        <is>
          <t>H. Ferrand</t>
        </is>
      </c>
    </row>
    <row r="81">
      <c r="A81" s="1" t="inlineStr">
        <is>
          <t>ABT-SOW-2025-911</t>
        </is>
      </c>
      <c r="B81" s="1" t="inlineStr">
        <is>
          <t>Alderbrook Textiles</t>
        </is>
      </c>
      <c r="C81" s="1" t="inlineStr">
        <is>
          <t>Alderbrook Loom 1</t>
        </is>
      </c>
      <c r="D81" s="1" t="inlineStr">
        <is>
          <t>M10</t>
        </is>
      </c>
      <c r="E81" s="1" t="inlineStr">
        <is>
          <t>Contract signature and order acknowledgement</t>
        </is>
      </c>
      <c r="F81" s="2" t="n">
        <v>46129</v>
      </c>
      <c r="G81" s="2" t="n">
        <v>46147</v>
      </c>
      <c r="H81" s="1">
        <f>IF(G81="","",G81-F81)</f>
        <v/>
      </c>
      <c r="I81" s="1" t="inlineStr">
        <is>
          <t>Customer email confirmation retained in the deployment file</t>
        </is>
      </c>
      <c r="J81" s="1" t="inlineStr">
        <is>
          <t>20 percent on signature</t>
        </is>
      </c>
      <c r="K81" s="1" t="n">
        <v>394575.71</v>
      </c>
      <c r="L81" s="1" t="inlineStr">
        <is>
          <t>No</t>
        </is>
      </c>
      <c r="M81" s="1" t="inlineStr">
        <is>
          <t>Conditionally accepted</t>
        </is>
      </c>
      <c r="N81" s="1" t="inlineStr">
        <is>
          <t>F. Lindstrom</t>
        </is>
      </c>
    </row>
    <row r="82">
      <c r="A82" s="1" t="inlineStr">
        <is>
          <t>PFU-SOW-2024-315</t>
        </is>
      </c>
      <c r="B82" s="1" t="inlineStr">
        <is>
          <t>Pioneer Freight Union</t>
        </is>
      </c>
      <c r="C82" s="1" t="inlineStr">
        <is>
          <t>Pioneer Hub</t>
        </is>
      </c>
      <c r="D82" s="1" t="inlineStr">
        <is>
          <t>M20</t>
        </is>
      </c>
      <c r="E82" s="1" t="inlineStr">
        <is>
          <t>Site survey complete and layout approved</t>
        </is>
      </c>
      <c r="F82" s="2" t="n">
        <v>46119</v>
      </c>
      <c r="G82" s="2" t="n">
        <v>46118</v>
      </c>
      <c r="H82" s="1">
        <f>IF(G82="","",G82-F82)</f>
        <v/>
      </c>
      <c r="I82" s="1" t="inlineStr">
        <is>
          <t>Customer email confirmation retained in the deployment file</t>
        </is>
      </c>
      <c r="J82" s="1" t="inlineStr">
        <is>
          <t>None</t>
        </is>
      </c>
      <c r="K82" s="1" t="n">
        <v>0</v>
      </c>
      <c r="L82" s="1" t="inlineStr">
        <is>
          <t>No</t>
        </is>
      </c>
      <c r="M82" s="1" t="inlineStr">
        <is>
          <t>Complete</t>
        </is>
      </c>
      <c r="N82" s="1" t="inlineStr">
        <is>
          <t>S. Vitale</t>
        </is>
      </c>
    </row>
    <row r="83">
      <c r="A83" s="1" t="inlineStr">
        <is>
          <t>MDY-SOW-2025-683</t>
        </is>
      </c>
      <c r="B83" s="1" t="inlineStr">
        <is>
          <t>Meridian Dynamics</t>
        </is>
      </c>
      <c r="C83" s="1" t="inlineStr">
        <is>
          <t>Meridian Bay 7</t>
        </is>
      </c>
      <c r="D83" s="1" t="inlineStr">
        <is>
          <t>M30</t>
        </is>
      </c>
      <c r="E83" s="1" t="inlineStr">
        <is>
          <t>Hardware shipped to site</t>
        </is>
      </c>
      <c r="F83" s="2" t="n">
        <v>45845</v>
      </c>
      <c r="G83" s="1" t="inlineStr"/>
      <c r="H83" s="1">
        <f>IF(G83="","",G83-F83)</f>
        <v/>
      </c>
      <c r="I83" s="1" t="inlineStr">
        <is>
          <t>No evidence located; open request with the account team</t>
        </is>
      </c>
      <c r="J83" s="1" t="inlineStr">
        <is>
          <t>40 percent on shipment</t>
        </is>
      </c>
      <c r="K83" s="1" t="n">
        <v>160512.45</v>
      </c>
      <c r="L83" s="1" t="inlineStr">
        <is>
          <t>No</t>
        </is>
      </c>
      <c r="M83" s="1" t="inlineStr">
        <is>
          <t>Planned</t>
        </is>
      </c>
      <c r="N83" s="1" t="inlineStr">
        <is>
          <t>H. Ferrand</t>
        </is>
      </c>
    </row>
    <row r="84">
      <c r="A84" s="1" t="inlineStr">
        <is>
          <t>FTM-SOW-2025-431</t>
        </is>
      </c>
      <c r="B84" s="1" t="inlineStr">
        <is>
          <t>Fathom Mobility</t>
        </is>
      </c>
      <c r="C84" s="1" t="inlineStr">
        <is>
          <t>Fathom Line A</t>
        </is>
      </c>
      <c r="D84" s="1" t="inlineStr">
        <is>
          <t>M40</t>
        </is>
      </c>
      <c r="E84" s="1" t="inlineStr">
        <is>
          <t>Mechanical installation complete</t>
        </is>
      </c>
      <c r="F84" s="2" t="n">
        <v>46143</v>
      </c>
      <c r="G84" s="1" t="inlineStr"/>
      <c r="H84" s="1">
        <f>IF(G84="","",G84-F84)</f>
        <v/>
      </c>
      <c r="I84" s="1" t="inlineStr">
        <is>
          <t>No evidence located; open request with the account team</t>
        </is>
      </c>
      <c r="J84" s="1" t="inlineStr">
        <is>
          <t>None</t>
        </is>
      </c>
      <c r="K84" s="1" t="n">
        <v>0</v>
      </c>
      <c r="L84" s="1" t="inlineStr">
        <is>
          <t>No</t>
        </is>
      </c>
      <c r="M84" s="1" t="inlineStr">
        <is>
          <t>In progress</t>
        </is>
      </c>
      <c r="N84" s="1" t="inlineStr">
        <is>
          <t>J. Alvarez</t>
        </is>
      </c>
    </row>
    <row r="85">
      <c r="A85" s="1" t="inlineStr">
        <is>
          <t>YHG-SOW-2025-793</t>
        </is>
      </c>
      <c r="B85" s="1" t="inlineStr">
        <is>
          <t>Yarrow Home Goods</t>
        </is>
      </c>
      <c r="C85" s="1" t="inlineStr">
        <is>
          <t>Yarrow FC3</t>
        </is>
      </c>
      <c r="D85" s="1" t="inlineStr">
        <is>
          <t>M50</t>
        </is>
      </c>
      <c r="E85" s="1" t="inlineStr">
        <is>
          <t>Network and warehouse-system integration complete</t>
        </is>
      </c>
      <c r="F85" s="2" t="n">
        <v>46169</v>
      </c>
      <c r="G85" s="1" t="inlineStr"/>
      <c r="H85" s="1">
        <f>IF(G85="","",G85-F85)</f>
        <v/>
      </c>
      <c r="I85" s="1" t="inlineStr">
        <is>
          <t>No evidence located; open request with the account team</t>
        </is>
      </c>
      <c r="J85" s="1" t="inlineStr">
        <is>
          <t>None</t>
        </is>
      </c>
      <c r="K85" s="1" t="n">
        <v>0</v>
      </c>
      <c r="L85" s="1" t="inlineStr">
        <is>
          <t>No</t>
        </is>
      </c>
      <c r="M85" s="1" t="inlineStr">
        <is>
          <t>Blocked on customer</t>
        </is>
      </c>
      <c r="N85" s="1" t="inlineStr">
        <is>
          <t>H. Ferrand</t>
        </is>
      </c>
    </row>
    <row r="86">
      <c r="A86" s="1" t="inlineStr">
        <is>
          <t>OGF-SOW-2025-322</t>
        </is>
      </c>
      <c r="B86" s="1" t="inlineStr">
        <is>
          <t>Orchard Grove Foods</t>
        </is>
      </c>
      <c r="C86" s="1" t="inlineStr">
        <is>
          <t>Orchard Cold 2</t>
        </is>
      </c>
      <c r="D86" s="1" t="inlineStr">
        <is>
          <t>M60</t>
        </is>
      </c>
      <c r="E86" s="1" t="inlineStr">
        <is>
          <t>Safety validation witnessed by customer</t>
        </is>
      </c>
      <c r="F86" s="2" t="n">
        <v>46073</v>
      </c>
      <c r="G86" s="1" t="inlineStr"/>
      <c r="H86" s="1">
        <f>IF(G86="","",G86-F86)</f>
        <v/>
      </c>
      <c r="I86" s="1" t="inlineStr">
        <is>
          <t>No evidence located; open request with the account team</t>
        </is>
      </c>
      <c r="J86" s="1" t="inlineStr">
        <is>
          <t>None</t>
        </is>
      </c>
      <c r="K86" s="1" t="n">
        <v>0</v>
      </c>
      <c r="L86" s="1" t="inlineStr">
        <is>
          <t>No</t>
        </is>
      </c>
      <c r="M86" s="1" t="inlineStr">
        <is>
          <t>Blocked on customer</t>
        </is>
      </c>
      <c r="N86" s="1" t="inlineStr">
        <is>
          <t>B. Ng</t>
        </is>
      </c>
    </row>
    <row r="87">
      <c r="A87" s="1" t="inlineStr">
        <is>
          <t>DBI-SOW-2026-473</t>
        </is>
      </c>
      <c r="B87" s="1" t="inlineStr">
        <is>
          <t>Dunbar Industrial</t>
        </is>
      </c>
      <c r="C87" s="1" t="inlineStr">
        <is>
          <t>Dunbar Works</t>
        </is>
      </c>
      <c r="D87" s="1" t="inlineStr">
        <is>
          <t>M70</t>
        </is>
      </c>
      <c r="E87" s="1" t="inlineStr">
        <is>
          <t>Pilot cell operating at contracted throughput</t>
        </is>
      </c>
      <c r="F87" s="2" t="n">
        <v>45853</v>
      </c>
      <c r="G87" s="2" t="n">
        <v>45853</v>
      </c>
      <c r="H87" s="1">
        <f>IF(G87="","",G87-F87)</f>
        <v/>
      </c>
      <c r="I87" s="1" t="inlineStr">
        <is>
          <t>Training attendance register</t>
        </is>
      </c>
      <c r="J87" s="1" t="inlineStr">
        <is>
          <t>20 percent on pilot</t>
        </is>
      </c>
      <c r="K87" s="1" t="n">
        <v>409176.19</v>
      </c>
      <c r="L87" s="1" t="inlineStr">
        <is>
          <t>No</t>
        </is>
      </c>
      <c r="M87" s="1" t="inlineStr">
        <is>
          <t>Conditionally accepted</t>
        </is>
      </c>
      <c r="N87" s="1" t="inlineStr">
        <is>
          <t>H. Ferrand</t>
        </is>
      </c>
    </row>
    <row r="88">
      <c r="A88" s="1" t="inlineStr">
        <is>
          <t>YHG-SOW-2025-240</t>
        </is>
      </c>
      <c r="B88" s="1" t="inlineStr">
        <is>
          <t>Yarrow Home Goods</t>
        </is>
      </c>
      <c r="C88" s="1" t="inlineStr">
        <is>
          <t>Yarrow FC3</t>
        </is>
      </c>
      <c r="D88" s="1" t="inlineStr">
        <is>
          <t>M80</t>
        </is>
      </c>
      <c r="E88" s="1" t="inlineStr">
        <is>
          <t>Operator training delivered and signed off</t>
        </is>
      </c>
      <c r="F88" s="2" t="n">
        <v>45747</v>
      </c>
      <c r="G88" s="2" t="n">
        <v>45765</v>
      </c>
      <c r="H88" s="1">
        <f>IF(G88="","",G88-F88)</f>
        <v/>
      </c>
      <c r="I88" s="1" t="inlineStr">
        <is>
          <t>Site sign-off form with throughput log attached</t>
        </is>
      </c>
      <c r="J88" s="1" t="inlineStr">
        <is>
          <t>None</t>
        </is>
      </c>
      <c r="K88" s="1" t="n">
        <v>0</v>
      </c>
      <c r="L88" s="1" t="inlineStr">
        <is>
          <t>No</t>
        </is>
      </c>
      <c r="M88" s="1" t="inlineStr">
        <is>
          <t>Complete</t>
        </is>
      </c>
      <c r="N88" s="1" t="inlineStr">
        <is>
          <t>J. Alvarez</t>
        </is>
      </c>
    </row>
    <row r="89">
      <c r="A89" s="1" t="inlineStr">
        <is>
          <t>WCD-SOW-2024-280</t>
        </is>
      </c>
      <c r="B89" s="1" t="inlineStr">
        <is>
          <t>Westlake Chemical Depot</t>
        </is>
      </c>
      <c r="C89" s="1" t="inlineStr">
        <is>
          <t>Westlake Tank 6</t>
        </is>
      </c>
      <c r="D89" s="1" t="inlineStr">
        <is>
          <t>M90</t>
        </is>
      </c>
      <c r="E89" s="1" t="inlineStr">
        <is>
          <t>Customer acceptance certificate countersigned</t>
        </is>
      </c>
      <c r="F89" s="2" t="n">
        <v>45987</v>
      </c>
      <c r="G89" s="2" t="n">
        <v>45982</v>
      </c>
      <c r="H89" s="1">
        <f>IF(G89="","",G89-F89)</f>
        <v/>
      </c>
      <c r="I89" s="1" t="inlineStr">
        <is>
          <t>Integration test report countersigned by customer IT</t>
        </is>
      </c>
      <c r="J89" s="1" t="inlineStr">
        <is>
          <t>20 percent on acceptance</t>
        </is>
      </c>
      <c r="K89" s="1" t="n">
        <v>264464.17</v>
      </c>
      <c r="L89" s="1" t="inlineStr">
        <is>
          <t>No</t>
        </is>
      </c>
      <c r="M89" s="1" t="inlineStr">
        <is>
          <t>Conditionally accepted</t>
        </is>
      </c>
      <c r="N89" s="1" t="inlineStr">
        <is>
          <t>H. Ferrand</t>
        </is>
      </c>
    </row>
    <row r="90">
      <c r="A90" s="1" t="inlineStr">
        <is>
          <t>SRR-SOW-2024-393</t>
        </is>
      </c>
      <c r="B90" s="1" t="inlineStr">
        <is>
          <t>Summit Ridge Retail</t>
        </is>
      </c>
      <c r="C90" s="1" t="inlineStr">
        <is>
          <t>Summit RDC</t>
        </is>
      </c>
      <c r="D90" s="1" t="inlineStr">
        <is>
          <t>M95</t>
        </is>
      </c>
      <c r="E90" s="1" t="inlineStr">
        <is>
          <t>Warranty commencement recorded</t>
        </is>
      </c>
      <c r="F90" s="2" t="n">
        <v>46140</v>
      </c>
      <c r="G90" s="2" t="n">
        <v>46157</v>
      </c>
      <c r="H90" s="1">
        <f>IF(G90="","",G90-F90)</f>
        <v/>
      </c>
      <c r="I90" s="1" t="inlineStr">
        <is>
          <t>Site sign-off form with throughput log attached</t>
        </is>
      </c>
      <c r="J90" s="1" t="inlineStr">
        <is>
          <t>None</t>
        </is>
      </c>
      <c r="K90" s="1" t="n">
        <v>0</v>
      </c>
      <c r="L90" s="1" t="inlineStr">
        <is>
          <t>No</t>
        </is>
      </c>
      <c r="M90" s="1" t="inlineStr">
        <is>
          <t>Complete</t>
        </is>
      </c>
      <c r="N90" s="1" t="inlineStr">
        <is>
          <t>S. Vitale</t>
        </is>
      </c>
    </row>
    <row r="91">
      <c r="A91" s="1" t="inlineStr">
        <is>
          <t>NFB-SOW-2024-971</t>
        </is>
      </c>
      <c r="B91" s="1" t="inlineStr">
        <is>
          <t>Northfield Beverage</t>
        </is>
      </c>
      <c r="C91" s="1" t="inlineStr">
        <is>
          <t>Northfield Line 5</t>
        </is>
      </c>
      <c r="D91" s="1" t="inlineStr">
        <is>
          <t>M10</t>
        </is>
      </c>
      <c r="E91" s="1" t="inlineStr">
        <is>
          <t>Contract signature and order acknowledgement</t>
        </is>
      </c>
      <c r="F91" s="2" t="n">
        <v>46120</v>
      </c>
      <c r="G91" s="1" t="inlineStr"/>
      <c r="H91" s="1">
        <f>IF(G91="","",G91-F91)</f>
        <v/>
      </c>
      <c r="I91" s="1" t="inlineStr">
        <is>
          <t>No evidence located; open request with the account team</t>
        </is>
      </c>
      <c r="J91" s="1" t="inlineStr">
        <is>
          <t>20 percent on signature</t>
        </is>
      </c>
      <c r="K91" s="1" t="n">
        <v>479365.81</v>
      </c>
      <c r="L91" s="1" t="inlineStr">
        <is>
          <t>No</t>
        </is>
      </c>
      <c r="M91" s="1" t="inlineStr">
        <is>
          <t>Blocked on customer</t>
        </is>
      </c>
      <c r="N91" s="1" t="inlineStr">
        <is>
          <t>F. Lindstrom</t>
        </is>
      </c>
    </row>
    <row r="92">
      <c r="A92" s="1" t="inlineStr">
        <is>
          <t>TCE-SOW-2025-155</t>
        </is>
      </c>
      <c r="B92" s="1" t="inlineStr">
        <is>
          <t>Tamarack Electronics</t>
        </is>
      </c>
      <c r="C92" s="1" t="inlineStr">
        <is>
          <t>Tamarack SMT 2</t>
        </is>
      </c>
      <c r="D92" s="1" t="inlineStr">
        <is>
          <t>M20</t>
        </is>
      </c>
      <c r="E92" s="1" t="inlineStr">
        <is>
          <t>Site survey complete and layout approved</t>
        </is>
      </c>
      <c r="F92" s="2" t="n">
        <v>46104</v>
      </c>
      <c r="G92" s="2" t="n">
        <v>46100</v>
      </c>
      <c r="H92" s="1">
        <f>IF(G92="","",G92-F92)</f>
        <v/>
      </c>
      <c r="I92" s="1" t="inlineStr">
        <is>
          <t>Training attendance register</t>
        </is>
      </c>
      <c r="J92" s="1" t="inlineStr">
        <is>
          <t>None</t>
        </is>
      </c>
      <c r="K92" s="1" t="n">
        <v>0</v>
      </c>
      <c r="L92" s="1" t="inlineStr">
        <is>
          <t>No</t>
        </is>
      </c>
      <c r="M92" s="1" t="inlineStr">
        <is>
          <t>Complete</t>
        </is>
      </c>
      <c r="N92" s="1" t="inlineStr">
        <is>
          <t>B. Ng</t>
        </is>
      </c>
    </row>
    <row r="93">
      <c r="A93" s="1" t="inlineStr">
        <is>
          <t>HLS-SOW-2025-819</t>
        </is>
      </c>
      <c r="B93" s="1" t="inlineStr">
        <is>
          <t>Harborline Systems</t>
        </is>
      </c>
      <c r="C93" s="1" t="inlineStr">
        <is>
          <t>Harborline Pier 9</t>
        </is>
      </c>
      <c r="D93" s="1" t="inlineStr">
        <is>
          <t>M30</t>
        </is>
      </c>
      <c r="E93" s="1" t="inlineStr">
        <is>
          <t>Hardware shipped to site</t>
        </is>
      </c>
      <c r="F93" s="2" t="n">
        <v>45954</v>
      </c>
      <c r="G93" s="2" t="n">
        <v>45959</v>
      </c>
      <c r="H93" s="1">
        <f>IF(G93="","",G93-F93)</f>
        <v/>
      </c>
      <c r="I93" s="1" t="inlineStr">
        <is>
          <t>Training attendance register</t>
        </is>
      </c>
      <c r="J93" s="1" t="inlineStr">
        <is>
          <t>40 percent on shipment</t>
        </is>
      </c>
      <c r="K93" s="1" t="n">
        <v>378550.38</v>
      </c>
      <c r="L93" s="1" t="inlineStr">
        <is>
          <t>No</t>
        </is>
      </c>
      <c r="M93" s="1" t="inlineStr">
        <is>
          <t>Deferred at customer request</t>
        </is>
      </c>
      <c r="N93" s="1" t="inlineStr">
        <is>
          <t>F. Lindstrom</t>
        </is>
      </c>
    </row>
    <row r="94">
      <c r="A94" s="1" t="inlineStr">
        <is>
          <t>SRR-SOW-2026-280</t>
        </is>
      </c>
      <c r="B94" s="1" t="inlineStr">
        <is>
          <t>Summit Ridge Retail</t>
        </is>
      </c>
      <c r="C94" s="1" t="inlineStr">
        <is>
          <t>Summit RDC</t>
        </is>
      </c>
      <c r="D94" s="1" t="inlineStr">
        <is>
          <t>M40</t>
        </is>
      </c>
      <c r="E94" s="1" t="inlineStr">
        <is>
          <t>Mechanical installation complete</t>
        </is>
      </c>
      <c r="F94" s="2" t="n">
        <v>45762</v>
      </c>
      <c r="G94" s="2" t="n">
        <v>45762</v>
      </c>
      <c r="H94" s="1">
        <f>IF(G94="","",G94-F94)</f>
        <v/>
      </c>
      <c r="I94" s="1" t="inlineStr">
        <is>
          <t>Integration test report countersigned by customer IT</t>
        </is>
      </c>
      <c r="J94" s="1" t="inlineStr">
        <is>
          <t>None</t>
        </is>
      </c>
      <c r="K94" s="1" t="n">
        <v>0</v>
      </c>
      <c r="L94" s="1" t="inlineStr">
        <is>
          <t>No</t>
        </is>
      </c>
      <c r="M94" s="1" t="inlineStr">
        <is>
          <t>Complete</t>
        </is>
      </c>
      <c r="N94" s="1" t="inlineStr">
        <is>
          <t>H. Ferrand</t>
        </is>
      </c>
    </row>
    <row r="95">
      <c r="A95" s="1" t="inlineStr">
        <is>
          <t>PFU-SOW-2025-645</t>
        </is>
      </c>
      <c r="B95" s="1" t="inlineStr">
        <is>
          <t>Pioneer Freight Union</t>
        </is>
      </c>
      <c r="C95" s="1" t="inlineStr">
        <is>
          <t>Pioneer Hub</t>
        </is>
      </c>
      <c r="D95" s="1" t="inlineStr">
        <is>
          <t>M50</t>
        </is>
      </c>
      <c r="E95" s="1" t="inlineStr">
        <is>
          <t>Network and warehouse-system integration complete</t>
        </is>
      </c>
      <c r="F95" s="2" t="n">
        <v>45821</v>
      </c>
      <c r="G95" s="2" t="n">
        <v>45821</v>
      </c>
      <c r="H95" s="1">
        <f>IF(G95="","",G95-F95)</f>
        <v/>
      </c>
      <c r="I95" s="1" t="inlineStr">
        <is>
          <t>Conditional acceptance letter with open punch list</t>
        </is>
      </c>
      <c r="J95" s="1" t="inlineStr">
        <is>
          <t>None</t>
        </is>
      </c>
      <c r="K95" s="1" t="n">
        <v>0</v>
      </c>
      <c r="L95" s="1" t="inlineStr">
        <is>
          <t>No</t>
        </is>
      </c>
      <c r="M95" s="1" t="inlineStr">
        <is>
          <t>Complete</t>
        </is>
      </c>
      <c r="N95" s="1" t="inlineStr">
        <is>
          <t>S. Vitale</t>
        </is>
      </c>
    </row>
    <row r="96">
      <c r="A96" s="1" t="inlineStr">
        <is>
          <t>LKA-SOW-2024-762</t>
        </is>
      </c>
      <c r="B96" s="1" t="inlineStr">
        <is>
          <t>Larkspur Apparel</t>
        </is>
      </c>
      <c r="C96" s="1" t="inlineStr">
        <is>
          <t>Larkspur FC2</t>
        </is>
      </c>
      <c r="D96" s="1" t="inlineStr">
        <is>
          <t>M60</t>
        </is>
      </c>
      <c r="E96" s="1" t="inlineStr">
        <is>
          <t>Safety validation witnessed by customer</t>
        </is>
      </c>
      <c r="F96" s="2" t="n">
        <v>46023</v>
      </c>
      <c r="G96" s="1" t="inlineStr"/>
      <c r="H96" s="1">
        <f>IF(G96="","",G96-F96)</f>
        <v/>
      </c>
      <c r="I96" s="1" t="inlineStr">
        <is>
          <t>No evidence located; open request with the account team</t>
        </is>
      </c>
      <c r="J96" s="1" t="inlineStr">
        <is>
          <t>None</t>
        </is>
      </c>
      <c r="K96" s="1" t="n">
        <v>0</v>
      </c>
      <c r="L96" s="1" t="inlineStr">
        <is>
          <t>No</t>
        </is>
      </c>
      <c r="M96" s="1" t="inlineStr">
        <is>
          <t>In progress</t>
        </is>
      </c>
      <c r="N96" s="1" t="inlineStr">
        <is>
          <t>H. Ferrand</t>
        </is>
      </c>
    </row>
    <row r="97">
      <c r="A97" s="1" t="inlineStr">
        <is>
          <t>VRS-SOW-2026-574</t>
        </is>
      </c>
      <c r="B97" s="1" t="inlineStr">
        <is>
          <t>Vantage Robotics Supply</t>
        </is>
      </c>
      <c r="C97" s="1" t="inlineStr">
        <is>
          <t>Vantage Depot</t>
        </is>
      </c>
      <c r="D97" s="1" t="inlineStr">
        <is>
          <t>M70</t>
        </is>
      </c>
      <c r="E97" s="1" t="inlineStr">
        <is>
          <t>Pilot cell operating at contracted throughput</t>
        </is>
      </c>
      <c r="F97" s="2" t="n">
        <v>46199</v>
      </c>
      <c r="G97" s="1" t="inlineStr"/>
      <c r="H97" s="1">
        <f>IF(G97="","",G97-F97)</f>
        <v/>
      </c>
      <c r="I97" s="1" t="inlineStr">
        <is>
          <t>No evidence located; open request with the account team</t>
        </is>
      </c>
      <c r="J97" s="1" t="inlineStr">
        <is>
          <t>20 percent on pilot</t>
        </is>
      </c>
      <c r="K97" s="1" t="n">
        <v>236732.77</v>
      </c>
      <c r="L97" s="1" t="inlineStr">
        <is>
          <t>No</t>
        </is>
      </c>
      <c r="M97" s="1" t="inlineStr">
        <is>
          <t>Blocked on customer</t>
        </is>
      </c>
      <c r="N97" s="1" t="inlineStr">
        <is>
          <t>H. Ferrand</t>
        </is>
      </c>
    </row>
    <row r="98">
      <c r="A98" s="1" t="inlineStr">
        <is>
          <t>KPP-SOW-2024-932</t>
        </is>
      </c>
      <c r="B98" s="1" t="inlineStr">
        <is>
          <t>Keystone Paper &amp; Pack</t>
        </is>
      </c>
      <c r="C98" s="1" t="inlineStr">
        <is>
          <t>Keystone Mill 3</t>
        </is>
      </c>
      <c r="D98" s="1" t="inlineStr">
        <is>
          <t>M80</t>
        </is>
      </c>
      <c r="E98" s="1" t="inlineStr">
        <is>
          <t>Operator training delivered and signed off</t>
        </is>
      </c>
      <c r="F98" s="2" t="n">
        <v>46113</v>
      </c>
      <c r="G98" s="1" t="inlineStr"/>
      <c r="H98" s="1">
        <f>IF(G98="","",G98-F98)</f>
        <v/>
      </c>
      <c r="I98" s="1" t="inlineStr">
        <is>
          <t>No evidence located; open request with the account team</t>
        </is>
      </c>
      <c r="J98" s="1" t="inlineStr">
        <is>
          <t>None</t>
        </is>
      </c>
      <c r="K98" s="1" t="n">
        <v>0</v>
      </c>
      <c r="L98" s="1" t="inlineStr">
        <is>
          <t>No</t>
        </is>
      </c>
      <c r="M98" s="1" t="inlineStr">
        <is>
          <t>In progress</t>
        </is>
      </c>
      <c r="N98" s="1" t="inlineStr">
        <is>
          <t>S. Vitale</t>
        </is>
      </c>
    </row>
    <row r="99">
      <c r="A99" s="1" t="inlineStr">
        <is>
          <t>YHG-SOW-2026-413</t>
        </is>
      </c>
      <c r="B99" s="1" t="inlineStr">
        <is>
          <t>Yarrow Home Goods</t>
        </is>
      </c>
      <c r="C99" s="1" t="inlineStr">
        <is>
          <t>Yarrow FC3</t>
        </is>
      </c>
      <c r="D99" s="1" t="inlineStr">
        <is>
          <t>M90</t>
        </is>
      </c>
      <c r="E99" s="1" t="inlineStr">
        <is>
          <t>Customer acceptance certificate countersigned</t>
        </is>
      </c>
      <c r="F99" s="2" t="n">
        <v>46017</v>
      </c>
      <c r="G99" s="1" t="inlineStr"/>
      <c r="H99" s="1">
        <f>IF(G99="","",G99-F99)</f>
        <v/>
      </c>
      <c r="I99" s="1" t="inlineStr">
        <is>
          <t>No evidence located; open request with the account team</t>
        </is>
      </c>
      <c r="J99" s="1" t="inlineStr">
        <is>
          <t>20 percent on acceptance</t>
        </is>
      </c>
      <c r="K99" s="1" t="n">
        <v>227441.03</v>
      </c>
      <c r="L99" s="1" t="inlineStr">
        <is>
          <t>No</t>
        </is>
      </c>
      <c r="M99" s="1" t="inlineStr">
        <is>
          <t>In progress</t>
        </is>
      </c>
      <c r="N99" s="1" t="inlineStr">
        <is>
          <t>J. Alvarez</t>
        </is>
      </c>
    </row>
    <row r="100">
      <c r="A100" s="1" t="inlineStr">
        <is>
          <t>FTM-SOW-2025-595</t>
        </is>
      </c>
      <c r="B100" s="1" t="inlineStr">
        <is>
          <t>Fathom Mobility</t>
        </is>
      </c>
      <c r="C100" s="1" t="inlineStr">
        <is>
          <t>Fathom Line A</t>
        </is>
      </c>
      <c r="D100" s="1" t="inlineStr">
        <is>
          <t>M95</t>
        </is>
      </c>
      <c r="E100" s="1" t="inlineStr">
        <is>
          <t>Warranty commencement recorded</t>
        </is>
      </c>
      <c r="F100" s="2" t="n">
        <v>46154</v>
      </c>
      <c r="G100" s="2" t="n">
        <v>46157</v>
      </c>
      <c r="H100" s="1">
        <f>IF(G100="","",G100-F100)</f>
        <v/>
      </c>
      <c r="I100" s="1" t="inlineStr">
        <is>
          <t>Customer email confirmation retained in the deployment file</t>
        </is>
      </c>
      <c r="J100" s="1" t="inlineStr">
        <is>
          <t>None</t>
        </is>
      </c>
      <c r="K100" s="1" t="n">
        <v>0</v>
      </c>
      <c r="L100" s="1" t="inlineStr">
        <is>
          <t>No</t>
        </is>
      </c>
      <c r="M100" s="1" t="inlineStr">
        <is>
          <t>Complete</t>
        </is>
      </c>
      <c r="N100" s="1" t="inlineStr">
        <is>
          <t>F. Lindstrom</t>
        </is>
      </c>
    </row>
    <row r="101">
      <c r="A101" s="1" t="inlineStr">
        <is>
          <t>FTM-SOW-2026-355</t>
        </is>
      </c>
      <c r="B101" s="1" t="inlineStr">
        <is>
          <t>Fathom Mobility</t>
        </is>
      </c>
      <c r="C101" s="1" t="inlineStr">
        <is>
          <t>Fathom Line A</t>
        </is>
      </c>
      <c r="D101" s="1" t="inlineStr">
        <is>
          <t>M10</t>
        </is>
      </c>
      <c r="E101" s="1" t="inlineStr">
        <is>
          <t>Contract signature and order acknowledgement</t>
        </is>
      </c>
      <c r="F101" s="2" t="n">
        <v>45895</v>
      </c>
      <c r="G101" s="2" t="n">
        <v>45891</v>
      </c>
      <c r="H101" s="1">
        <f>IF(G101="","",G101-F101)</f>
        <v/>
      </c>
      <c r="I101" s="1" t="inlineStr">
        <is>
          <t>Countersigned acceptance certificate</t>
        </is>
      </c>
      <c r="J101" s="1" t="inlineStr">
        <is>
          <t>20 percent on signature</t>
        </is>
      </c>
      <c r="K101" s="1" t="n">
        <v>379505.76</v>
      </c>
      <c r="L101" s="1" t="inlineStr">
        <is>
          <t>Yes</t>
        </is>
      </c>
      <c r="M101" s="1" t="inlineStr">
        <is>
          <t>Complete</t>
        </is>
      </c>
      <c r="N101" s="1" t="inlineStr">
        <is>
          <t>B. Ng</t>
        </is>
      </c>
    </row>
    <row r="102">
      <c r="A102" s="1" t="inlineStr">
        <is>
          <t>DGC-SOW-2024-427</t>
        </is>
      </c>
      <c r="B102" s="1" t="inlineStr">
        <is>
          <t>Dorsey Grain Cooperative</t>
        </is>
      </c>
      <c r="C102" s="1" t="inlineStr">
        <is>
          <t>Dorsey Elevator 2</t>
        </is>
      </c>
      <c r="D102" s="1" t="inlineStr">
        <is>
          <t>M20</t>
        </is>
      </c>
      <c r="E102" s="1" t="inlineStr">
        <is>
          <t>Site survey complete and layout approved</t>
        </is>
      </c>
      <c r="F102" s="2" t="n">
        <v>45923</v>
      </c>
      <c r="G102" s="1" t="inlineStr"/>
      <c r="H102" s="1">
        <f>IF(G102="","",G102-F102)</f>
        <v/>
      </c>
      <c r="I102" s="1" t="inlineStr">
        <is>
          <t>No evidence located; open request with the account team</t>
        </is>
      </c>
      <c r="J102" s="1" t="inlineStr">
        <is>
          <t>None</t>
        </is>
      </c>
      <c r="K102" s="1" t="n">
        <v>0</v>
      </c>
      <c r="L102" s="1" t="inlineStr">
        <is>
          <t>No</t>
        </is>
      </c>
      <c r="M102" s="1" t="inlineStr">
        <is>
          <t>In progress</t>
        </is>
      </c>
      <c r="N102" s="1" t="inlineStr">
        <is>
          <t>H. Ferrand</t>
        </is>
      </c>
    </row>
    <row r="103">
      <c r="A103" s="1" t="inlineStr">
        <is>
          <t>JHS-SOW-2026-828</t>
        </is>
      </c>
      <c r="B103" s="1" t="inlineStr">
        <is>
          <t>Juniper Health Supply</t>
        </is>
      </c>
      <c r="C103" s="1" t="inlineStr">
        <is>
          <t>Juniper Sterile 1</t>
        </is>
      </c>
      <c r="D103" s="1" t="inlineStr">
        <is>
          <t>M30</t>
        </is>
      </c>
      <c r="E103" s="1" t="inlineStr">
        <is>
          <t>Hardware shipped to site</t>
        </is>
      </c>
      <c r="F103" s="2" t="n">
        <v>45800</v>
      </c>
      <c r="G103" s="2" t="n">
        <v>45807</v>
      </c>
      <c r="H103" s="1">
        <f>IF(G103="","",G103-F103)</f>
        <v/>
      </c>
      <c r="I103" s="1" t="inlineStr">
        <is>
          <t>Countersigned acceptance certificate</t>
        </is>
      </c>
      <c r="J103" s="1" t="inlineStr">
        <is>
          <t>40 percent on shipment</t>
        </is>
      </c>
      <c r="K103" s="1" t="n">
        <v>375327.85</v>
      </c>
      <c r="L103" s="1" t="inlineStr">
        <is>
          <t>No</t>
        </is>
      </c>
      <c r="M103" s="1" t="inlineStr">
        <is>
          <t>Conditionally accepted</t>
        </is>
      </c>
      <c r="N103" s="1" t="inlineStr">
        <is>
          <t>J. Alvarez</t>
        </is>
      </c>
    </row>
    <row r="104">
      <c r="A104" s="1" t="inlineStr">
        <is>
          <t>AST-SOW-2024-702</t>
        </is>
      </c>
      <c r="B104" s="1" t="inlineStr">
        <is>
          <t>Asterion Logistics</t>
        </is>
      </c>
      <c r="C104" s="1" t="inlineStr">
        <is>
          <t>Tracy DC</t>
        </is>
      </c>
      <c r="D104" s="1" t="inlineStr">
        <is>
          <t>M40</t>
        </is>
      </c>
      <c r="E104" s="1" t="inlineStr">
        <is>
          <t>Mechanical installation complete</t>
        </is>
      </c>
      <c r="F104" s="2" t="n">
        <v>45770</v>
      </c>
      <c r="G104" s="2" t="n">
        <v>45779</v>
      </c>
      <c r="H104" s="1">
        <f>IF(G104="","",G104-F104)</f>
        <v/>
      </c>
      <c r="I104" s="1" t="inlineStr">
        <is>
          <t>Training attendance register</t>
        </is>
      </c>
      <c r="J104" s="1" t="inlineStr">
        <is>
          <t>None</t>
        </is>
      </c>
      <c r="K104" s="1" t="n">
        <v>0</v>
      </c>
      <c r="L104" s="1" t="inlineStr">
        <is>
          <t>No</t>
        </is>
      </c>
      <c r="M104" s="1" t="inlineStr">
        <is>
          <t>Complete</t>
        </is>
      </c>
      <c r="N104" s="1" t="inlineStr">
        <is>
          <t>B. Ng</t>
        </is>
      </c>
    </row>
    <row r="105">
      <c r="A105" s="1" t="inlineStr">
        <is>
          <t>ABT-SOW-2024-270</t>
        </is>
      </c>
      <c r="B105" s="1" t="inlineStr">
        <is>
          <t>Alderbrook Textiles</t>
        </is>
      </c>
      <c r="C105" s="1" t="inlineStr">
        <is>
          <t>Alderbrook Loom 1</t>
        </is>
      </c>
      <c r="D105" s="1" t="inlineStr">
        <is>
          <t>M50</t>
        </is>
      </c>
      <c r="E105" s="1" t="inlineStr">
        <is>
          <t>Network and warehouse-system integration complete</t>
        </is>
      </c>
      <c r="F105" s="2" t="n">
        <v>45688</v>
      </c>
      <c r="G105" s="1" t="inlineStr"/>
      <c r="H105" s="1">
        <f>IF(G105="","",G105-F105)</f>
        <v/>
      </c>
      <c r="I105" s="1" t="inlineStr">
        <is>
          <t>No evidence located; open request with the account team</t>
        </is>
      </c>
      <c r="J105" s="1" t="inlineStr">
        <is>
          <t>None</t>
        </is>
      </c>
      <c r="K105" s="1" t="n">
        <v>0</v>
      </c>
      <c r="L105" s="1" t="inlineStr">
        <is>
          <t>No</t>
        </is>
      </c>
      <c r="M105" s="1" t="inlineStr">
        <is>
          <t>In progress</t>
        </is>
      </c>
      <c r="N105" s="1" t="inlineStr">
        <is>
          <t>S. Vitale</t>
        </is>
      </c>
    </row>
    <row r="106">
      <c r="A106" s="1" t="inlineStr">
        <is>
          <t>DGC-SOW-2026-384</t>
        </is>
      </c>
      <c r="B106" s="1" t="inlineStr">
        <is>
          <t>Dorsey Grain Cooperative</t>
        </is>
      </c>
      <c r="C106" s="1" t="inlineStr">
        <is>
          <t>Dorsey Elevator 2</t>
        </is>
      </c>
      <c r="D106" s="1" t="inlineStr">
        <is>
          <t>M60</t>
        </is>
      </c>
      <c r="E106" s="1" t="inlineStr">
        <is>
          <t>Safety validation witnessed by customer</t>
        </is>
      </c>
      <c r="F106" s="2" t="n">
        <v>45828</v>
      </c>
      <c r="G106" s="1" t="inlineStr"/>
      <c r="H106" s="1">
        <f>IF(G106="","",G106-F106)</f>
        <v/>
      </c>
      <c r="I106" s="1" t="inlineStr">
        <is>
          <t>No evidence located; open request with the account team</t>
        </is>
      </c>
      <c r="J106" s="1" t="inlineStr">
        <is>
          <t>None</t>
        </is>
      </c>
      <c r="K106" s="1" t="n">
        <v>0</v>
      </c>
      <c r="L106" s="1" t="inlineStr">
        <is>
          <t>No</t>
        </is>
      </c>
      <c r="M106" s="1" t="inlineStr">
        <is>
          <t>In progress</t>
        </is>
      </c>
      <c r="N106" s="1" t="inlineStr">
        <is>
          <t>B. Ng</t>
        </is>
      </c>
    </row>
    <row r="107">
      <c r="A107" s="1" t="inlineStr">
        <is>
          <t>GPD-SOW-2025-746</t>
        </is>
      </c>
      <c r="B107" s="1" t="inlineStr">
        <is>
          <t>Granite Peak Distribution</t>
        </is>
      </c>
      <c r="C107" s="1" t="inlineStr">
        <is>
          <t>Granite Yard</t>
        </is>
      </c>
      <c r="D107" s="1" t="inlineStr">
        <is>
          <t>M70</t>
        </is>
      </c>
      <c r="E107" s="1" t="inlineStr">
        <is>
          <t>Pilot cell operating at contracted throughput</t>
        </is>
      </c>
      <c r="F107" s="2" t="n">
        <v>45688</v>
      </c>
      <c r="G107" s="2" t="n">
        <v>45693</v>
      </c>
      <c r="H107" s="1">
        <f>IF(G107="","",G107-F107)</f>
        <v/>
      </c>
      <c r="I107" s="1" t="inlineStr">
        <is>
          <t>Conditional acceptance letter with open punch list</t>
        </is>
      </c>
      <c r="J107" s="1" t="inlineStr">
        <is>
          <t>20 percent on pilot</t>
        </is>
      </c>
      <c r="K107" s="1" t="n">
        <v>285703.65</v>
      </c>
      <c r="L107" s="1" t="inlineStr">
        <is>
          <t>Yes</t>
        </is>
      </c>
      <c r="M107" s="1" t="inlineStr">
        <is>
          <t>Complete</t>
        </is>
      </c>
      <c r="N107" s="1" t="inlineStr">
        <is>
          <t>H. Ferrand</t>
        </is>
      </c>
    </row>
    <row r="108">
      <c r="A108" s="1" t="inlineStr">
        <is>
          <t>ZAC-SOW-2026-423</t>
        </is>
      </c>
      <c r="B108" s="1" t="inlineStr">
        <is>
          <t>Zephyr Air Cargo</t>
        </is>
      </c>
      <c r="C108" s="1" t="inlineStr">
        <is>
          <t>Zephyr Ramp 2</t>
        </is>
      </c>
      <c r="D108" s="1" t="inlineStr">
        <is>
          <t>M80</t>
        </is>
      </c>
      <c r="E108" s="1" t="inlineStr">
        <is>
          <t>Operator training delivered and signed off</t>
        </is>
      </c>
      <c r="F108" s="2" t="n">
        <v>46164</v>
      </c>
      <c r="G108" s="2" t="n">
        <v>46164</v>
      </c>
      <c r="H108" s="1">
        <f>IF(G108="","",G108-F108)</f>
        <v/>
      </c>
      <c r="I108" s="1" t="inlineStr">
        <is>
          <t>Witnessed safety validation report</t>
        </is>
      </c>
      <c r="J108" s="1" t="inlineStr">
        <is>
          <t>None</t>
        </is>
      </c>
      <c r="K108" s="1" t="n">
        <v>0</v>
      </c>
      <c r="L108" s="1" t="inlineStr">
        <is>
          <t>No</t>
        </is>
      </c>
      <c r="M108" s="1" t="inlineStr">
        <is>
          <t>Conditionally accepted</t>
        </is>
      </c>
      <c r="N108" s="1" t="inlineStr">
        <is>
          <t>B. Ng</t>
        </is>
      </c>
    </row>
    <row r="109">
      <c r="A109" s="1" t="inlineStr">
        <is>
          <t>SRR-SOW-2025-688</t>
        </is>
      </c>
      <c r="B109" s="1" t="inlineStr">
        <is>
          <t>Summit Ridge Retail</t>
        </is>
      </c>
      <c r="C109" s="1" t="inlineStr">
        <is>
          <t>Summit RDC</t>
        </is>
      </c>
      <c r="D109" s="1" t="inlineStr">
        <is>
          <t>M90</t>
        </is>
      </c>
      <c r="E109" s="1" t="inlineStr">
        <is>
          <t>Customer acceptance certificate countersigned</t>
        </is>
      </c>
      <c r="F109" s="2" t="n">
        <v>45868</v>
      </c>
      <c r="G109" s="2" t="n">
        <v>45868</v>
      </c>
      <c r="H109" s="1">
        <f>IF(G109="","",G109-F109)</f>
        <v/>
      </c>
      <c r="I109" s="1" t="inlineStr">
        <is>
          <t>Witnessed safety validation report</t>
        </is>
      </c>
      <c r="J109" s="1" t="inlineStr">
        <is>
          <t>20 percent on acceptance</t>
        </is>
      </c>
      <c r="K109" s="1" t="n">
        <v>256354.22</v>
      </c>
      <c r="L109" s="1" t="inlineStr">
        <is>
          <t>Yes</t>
        </is>
      </c>
      <c r="M109" s="1" t="inlineStr">
        <is>
          <t>Complete</t>
        </is>
      </c>
      <c r="N109" s="1" t="inlineStr">
        <is>
          <t>H. Ferrand</t>
        </is>
      </c>
    </row>
    <row r="110">
      <c r="A110" s="1" t="inlineStr">
        <is>
          <t>SRR-SOW-2026-749</t>
        </is>
      </c>
      <c r="B110" s="1" t="inlineStr">
        <is>
          <t>Summit Ridge Retail</t>
        </is>
      </c>
      <c r="C110" s="1" t="inlineStr">
        <is>
          <t>Summit RDC</t>
        </is>
      </c>
      <c r="D110" s="1" t="inlineStr">
        <is>
          <t>M95</t>
        </is>
      </c>
      <c r="E110" s="1" t="inlineStr">
        <is>
          <t>Warranty commencement recorded</t>
        </is>
      </c>
      <c r="F110" s="2" t="n">
        <v>46111</v>
      </c>
      <c r="G110" s="2" t="n">
        <v>46108</v>
      </c>
      <c r="H110" s="1">
        <f>IF(G110="","",G110-F110)</f>
        <v/>
      </c>
      <c r="I110" s="1" t="inlineStr">
        <is>
          <t>Integration test report countersigned by customer IT</t>
        </is>
      </c>
      <c r="J110" s="1" t="inlineStr">
        <is>
          <t>None</t>
        </is>
      </c>
      <c r="K110" s="1" t="n">
        <v>0</v>
      </c>
      <c r="L110" s="1" t="inlineStr">
        <is>
          <t>No</t>
        </is>
      </c>
      <c r="M110" s="1" t="inlineStr">
        <is>
          <t>Complete</t>
        </is>
      </c>
      <c r="N110" s="1" t="inlineStr">
        <is>
          <t>B. Ng</t>
        </is>
      </c>
    </row>
    <row r="111">
      <c r="A111" s="1" t="inlineStr">
        <is>
          <t>ABT-SOW-2025-695</t>
        </is>
      </c>
      <c r="B111" s="1" t="inlineStr">
        <is>
          <t>Alderbrook Textiles</t>
        </is>
      </c>
      <c r="C111" s="1" t="inlineStr">
        <is>
          <t>Alderbrook Loom 1</t>
        </is>
      </c>
      <c r="D111" s="1" t="inlineStr">
        <is>
          <t>M10</t>
        </is>
      </c>
      <c r="E111" s="1" t="inlineStr">
        <is>
          <t>Contract signature and order acknowledgement</t>
        </is>
      </c>
      <c r="F111" s="2" t="n">
        <v>46023</v>
      </c>
      <c r="G111" s="1" t="inlineStr"/>
      <c r="H111" s="1">
        <f>IF(G111="","",G111-F111)</f>
        <v/>
      </c>
      <c r="I111" s="1" t="inlineStr">
        <is>
          <t>No evidence located; open request with the account team</t>
        </is>
      </c>
      <c r="J111" s="1" t="inlineStr">
        <is>
          <t>20 percent on signature</t>
        </is>
      </c>
      <c r="K111" s="1" t="n">
        <v>399523.84</v>
      </c>
      <c r="L111" s="1" t="inlineStr">
        <is>
          <t>No</t>
        </is>
      </c>
      <c r="M111" s="1" t="inlineStr">
        <is>
          <t>In progress</t>
        </is>
      </c>
      <c r="N111" s="1" t="inlineStr">
        <is>
          <t>B. Ng</t>
        </is>
      </c>
    </row>
    <row r="112">
      <c r="A112" s="1" t="inlineStr">
        <is>
          <t>DBI-SOW-2025-461</t>
        </is>
      </c>
      <c r="B112" s="1" t="inlineStr">
        <is>
          <t>Dunbar Industrial</t>
        </is>
      </c>
      <c r="C112" s="1" t="inlineStr">
        <is>
          <t>Dunbar Works</t>
        </is>
      </c>
      <c r="D112" s="1" t="inlineStr">
        <is>
          <t>M20</t>
        </is>
      </c>
      <c r="E112" s="1" t="inlineStr">
        <is>
          <t>Site survey complete and layout approved</t>
        </is>
      </c>
      <c r="F112" s="2" t="n">
        <v>46125</v>
      </c>
      <c r="G112" s="2" t="n">
        <v>46143</v>
      </c>
      <c r="H112" s="1">
        <f>IF(G112="","",G112-F112)</f>
        <v/>
      </c>
      <c r="I112" s="1" t="inlineStr">
        <is>
          <t>Integration test report countersigned by customer IT</t>
        </is>
      </c>
      <c r="J112" s="1" t="inlineStr">
        <is>
          <t>None</t>
        </is>
      </c>
      <c r="K112" s="1" t="n">
        <v>0</v>
      </c>
      <c r="L112" s="1" t="inlineStr">
        <is>
          <t>No</t>
        </is>
      </c>
      <c r="M112" s="1" t="inlineStr">
        <is>
          <t>Conditionally accepted</t>
        </is>
      </c>
      <c r="N112" s="1" t="inlineStr">
        <is>
          <t>F. Lindstrom</t>
        </is>
      </c>
    </row>
    <row r="113">
      <c r="A113" s="1" t="inlineStr">
        <is>
          <t>SRR-SOW-2025-757</t>
        </is>
      </c>
      <c r="B113" s="1" t="inlineStr">
        <is>
          <t>Summit Ridge Retail</t>
        </is>
      </c>
      <c r="C113" s="1" t="inlineStr">
        <is>
          <t>Summit RDC</t>
        </is>
      </c>
      <c r="D113" s="1" t="inlineStr">
        <is>
          <t>M30</t>
        </is>
      </c>
      <c r="E113" s="1" t="inlineStr">
        <is>
          <t>Hardware shipped to site</t>
        </is>
      </c>
      <c r="F113" s="2" t="n">
        <v>45846</v>
      </c>
      <c r="G113" s="2" t="n">
        <v>45880</v>
      </c>
      <c r="H113" s="1">
        <f>IF(G113="","",G113-F113)</f>
        <v/>
      </c>
      <c r="I113" s="1" t="inlineStr">
        <is>
          <t>Witnessed safety validation report</t>
        </is>
      </c>
      <c r="J113" s="1" t="inlineStr">
        <is>
          <t>40 percent on shipment</t>
        </is>
      </c>
      <c r="K113" s="1" t="n">
        <v>452282.43</v>
      </c>
      <c r="L113" s="1" t="inlineStr">
        <is>
          <t>No</t>
        </is>
      </c>
      <c r="M113" s="1" t="inlineStr">
        <is>
          <t>Deferred at customer request</t>
        </is>
      </c>
      <c r="N113" s="1" t="inlineStr">
        <is>
          <t>J. Alvarez</t>
        </is>
      </c>
    </row>
    <row r="114">
      <c r="A114" s="1" t="inlineStr">
        <is>
          <t>ABT-SOW-2024-929</t>
        </is>
      </c>
      <c r="B114" s="1" t="inlineStr">
        <is>
          <t>Alderbrook Textiles</t>
        </is>
      </c>
      <c r="C114" s="1" t="inlineStr">
        <is>
          <t>Alderbrook Loom 1</t>
        </is>
      </c>
      <c r="D114" s="1" t="inlineStr">
        <is>
          <t>M40</t>
        </is>
      </c>
      <c r="E114" s="1" t="inlineStr">
        <is>
          <t>Mechanical installation complete</t>
        </is>
      </c>
      <c r="F114" s="2" t="n">
        <v>45694</v>
      </c>
      <c r="G114" s="2" t="n">
        <v>45694</v>
      </c>
      <c r="H114" s="1">
        <f>IF(G114="","",G114-F114)</f>
        <v/>
      </c>
      <c r="I114" s="1" t="inlineStr">
        <is>
          <t>Integration test report countersigned by customer IT</t>
        </is>
      </c>
      <c r="J114" s="1" t="inlineStr">
        <is>
          <t>None</t>
        </is>
      </c>
      <c r="K114" s="1" t="n">
        <v>0</v>
      </c>
      <c r="L114" s="1" t="inlineStr">
        <is>
          <t>No</t>
        </is>
      </c>
      <c r="M114" s="1" t="inlineStr">
        <is>
          <t>Complete</t>
        </is>
      </c>
      <c r="N114" s="1" t="inlineStr">
        <is>
          <t>J. Alvarez</t>
        </is>
      </c>
    </row>
    <row r="115">
      <c r="A115" s="1" t="inlineStr">
        <is>
          <t>CFF-SOW-2024-540</t>
        </is>
      </c>
      <c r="B115" s="1" t="inlineStr">
        <is>
          <t>Crestline Fulfillment</t>
        </is>
      </c>
      <c r="C115" s="1" t="inlineStr">
        <is>
          <t>Crestline FC1</t>
        </is>
      </c>
      <c r="D115" s="1" t="inlineStr">
        <is>
          <t>M50</t>
        </is>
      </c>
      <c r="E115" s="1" t="inlineStr">
        <is>
          <t>Network and warehouse-system integration complete</t>
        </is>
      </c>
      <c r="F115" s="2" t="n">
        <v>45755</v>
      </c>
      <c r="G115" s="1" t="inlineStr"/>
      <c r="H115" s="1">
        <f>IF(G115="","",G115-F115)</f>
        <v/>
      </c>
      <c r="I115" s="1" t="inlineStr">
        <is>
          <t>No evidence located; open request with the account team</t>
        </is>
      </c>
      <c r="J115" s="1" t="inlineStr">
        <is>
          <t>None</t>
        </is>
      </c>
      <c r="K115" s="1" t="n">
        <v>0</v>
      </c>
      <c r="L115" s="1" t="inlineStr">
        <is>
          <t>No</t>
        </is>
      </c>
      <c r="M115" s="1" t="inlineStr">
        <is>
          <t>Planned</t>
        </is>
      </c>
      <c r="N115" s="1" t="inlineStr">
        <is>
          <t>B. Ng</t>
        </is>
      </c>
    </row>
    <row r="116">
      <c r="A116" s="1" t="inlineStr">
        <is>
          <t>CFF-SOW-2024-208</t>
        </is>
      </c>
      <c r="B116" s="1" t="inlineStr">
        <is>
          <t>Crestline Fulfillment</t>
        </is>
      </c>
      <c r="C116" s="1" t="inlineStr">
        <is>
          <t>Crestline FC1</t>
        </is>
      </c>
      <c r="D116" s="1" t="inlineStr">
        <is>
          <t>M60</t>
        </is>
      </c>
      <c r="E116" s="1" t="inlineStr">
        <is>
          <t>Safety validation witnessed by customer</t>
        </is>
      </c>
      <c r="F116" s="2" t="n">
        <v>45891</v>
      </c>
      <c r="G116" s="1" t="inlineStr"/>
      <c r="H116" s="1">
        <f>IF(G116="","",G116-F116)</f>
        <v/>
      </c>
      <c r="I116" s="1" t="inlineStr">
        <is>
          <t>No evidence located; open request with the account team</t>
        </is>
      </c>
      <c r="J116" s="1" t="inlineStr">
        <is>
          <t>None</t>
        </is>
      </c>
      <c r="K116" s="1" t="n">
        <v>0</v>
      </c>
      <c r="L116" s="1" t="inlineStr">
        <is>
          <t>No</t>
        </is>
      </c>
      <c r="M116" s="1" t="inlineStr">
        <is>
          <t>In progress</t>
        </is>
      </c>
      <c r="N116" s="1" t="inlineStr">
        <is>
          <t>H. Ferrand</t>
        </is>
      </c>
    </row>
    <row r="117">
      <c r="A117" s="1" t="inlineStr">
        <is>
          <t>BMC-SOW-2025-724</t>
        </is>
      </c>
      <c r="B117" s="1" t="inlineStr">
        <is>
          <t>Blue Mesa Components</t>
        </is>
      </c>
      <c r="C117" s="1" t="inlineStr">
        <is>
          <t>Mesa Plant 2</t>
        </is>
      </c>
      <c r="D117" s="1" t="inlineStr">
        <is>
          <t>M70</t>
        </is>
      </c>
      <c r="E117" s="1" t="inlineStr">
        <is>
          <t>Pilot cell operating at contracted throughput</t>
        </is>
      </c>
      <c r="F117" s="2" t="n">
        <v>46181</v>
      </c>
      <c r="G117" s="1" t="inlineStr"/>
      <c r="H117" s="1">
        <f>IF(G117="","",G117-F117)</f>
        <v/>
      </c>
      <c r="I117" s="1" t="inlineStr">
        <is>
          <t>No evidence located; open request with the account team</t>
        </is>
      </c>
      <c r="J117" s="1" t="inlineStr">
        <is>
          <t>20 percent on pilot</t>
        </is>
      </c>
      <c r="K117" s="1" t="n">
        <v>136808.93</v>
      </c>
      <c r="L117" s="1" t="inlineStr">
        <is>
          <t>No</t>
        </is>
      </c>
      <c r="M117" s="1" t="inlineStr">
        <is>
          <t>In progress</t>
        </is>
      </c>
      <c r="N117" s="1" t="inlineStr">
        <is>
          <t>S. Vitale</t>
        </is>
      </c>
    </row>
    <row r="118">
      <c r="A118" s="1" t="inlineStr">
        <is>
          <t>TCE-SOW-2024-922</t>
        </is>
      </c>
      <c r="B118" s="1" t="inlineStr">
        <is>
          <t>Tamarack Electronics</t>
        </is>
      </c>
      <c r="C118" s="1" t="inlineStr">
        <is>
          <t>Tamarack SMT 2</t>
        </is>
      </c>
      <c r="D118" s="1" t="inlineStr">
        <is>
          <t>M80</t>
        </is>
      </c>
      <c r="E118" s="1" t="inlineStr">
        <is>
          <t>Operator training delivered and signed off</t>
        </is>
      </c>
      <c r="F118" s="2" t="n">
        <v>45841</v>
      </c>
      <c r="G118" s="2" t="n">
        <v>45842</v>
      </c>
      <c r="H118" s="1">
        <f>IF(G118="","",G118-F118)</f>
        <v/>
      </c>
      <c r="I118" s="1" t="inlineStr">
        <is>
          <t>Witnessed safety validation report</t>
        </is>
      </c>
      <c r="J118" s="1" t="inlineStr">
        <is>
          <t>None</t>
        </is>
      </c>
      <c r="K118" s="1" t="n">
        <v>0</v>
      </c>
      <c r="L118" s="1" t="inlineStr">
        <is>
          <t>No</t>
        </is>
      </c>
      <c r="M118" s="1" t="inlineStr">
        <is>
          <t>Deferred at customer request</t>
        </is>
      </c>
      <c r="N118" s="1" t="inlineStr">
        <is>
          <t>B. Ng</t>
        </is>
      </c>
    </row>
    <row r="119">
      <c r="A119" s="1" t="inlineStr">
        <is>
          <t>MDY-SOW-2025-163</t>
        </is>
      </c>
      <c r="B119" s="1" t="inlineStr">
        <is>
          <t>Meridian Dynamics</t>
        </is>
      </c>
      <c r="C119" s="1" t="inlineStr">
        <is>
          <t>Meridian Bay 7</t>
        </is>
      </c>
      <c r="D119" s="1" t="inlineStr">
        <is>
          <t>M90</t>
        </is>
      </c>
      <c r="E119" s="1" t="inlineStr">
        <is>
          <t>Customer acceptance certificate countersigned</t>
        </is>
      </c>
      <c r="F119" s="2" t="n">
        <v>46100</v>
      </c>
      <c r="G119" s="1" t="inlineStr"/>
      <c r="H119" s="1">
        <f>IF(G119="","",G119-F119)</f>
        <v/>
      </c>
      <c r="I119" s="1" t="inlineStr">
        <is>
          <t>No evidence located; open request with the account team</t>
        </is>
      </c>
      <c r="J119" s="1" t="inlineStr">
        <is>
          <t>20 percent on acceptance</t>
        </is>
      </c>
      <c r="K119" s="1" t="n">
        <v>377318.88</v>
      </c>
      <c r="L119" s="1" t="inlineStr">
        <is>
          <t>No</t>
        </is>
      </c>
      <c r="M119" s="1" t="inlineStr">
        <is>
          <t>Blocked on customer</t>
        </is>
      </c>
      <c r="N119" s="1" t="inlineStr">
        <is>
          <t>S. Vitale</t>
        </is>
      </c>
    </row>
    <row r="120">
      <c r="A120" s="1" t="inlineStr">
        <is>
          <t>CFF-SOW-2026-913</t>
        </is>
      </c>
      <c r="B120" s="1" t="inlineStr">
        <is>
          <t>Crestline Fulfillment</t>
        </is>
      </c>
      <c r="C120" s="1" t="inlineStr">
        <is>
          <t>Crestline FC1</t>
        </is>
      </c>
      <c r="D120" s="1" t="inlineStr">
        <is>
          <t>M95</t>
        </is>
      </c>
      <c r="E120" s="1" t="inlineStr">
        <is>
          <t>Warranty commencement recorded</t>
        </is>
      </c>
      <c r="F120" s="2" t="n">
        <v>45765</v>
      </c>
      <c r="G120" s="1" t="inlineStr"/>
      <c r="H120" s="1">
        <f>IF(G120="","",G120-F120)</f>
        <v/>
      </c>
      <c r="I120" s="1" t="inlineStr">
        <is>
          <t>No evidence located; open request with the account team</t>
        </is>
      </c>
      <c r="J120" s="1" t="inlineStr">
        <is>
          <t>None</t>
        </is>
      </c>
      <c r="K120" s="1" t="n">
        <v>0</v>
      </c>
      <c r="L120" s="1" t="inlineStr">
        <is>
          <t>No</t>
        </is>
      </c>
      <c r="M120" s="1" t="inlineStr">
        <is>
          <t>Blocked on customer</t>
        </is>
      </c>
      <c r="N120" s="1" t="inlineStr">
        <is>
          <t>S. Vitale</t>
        </is>
      </c>
    </row>
    <row r="121">
      <c r="A121" s="1" t="inlineStr">
        <is>
          <t>MDY-SOW-2025-117</t>
        </is>
      </c>
      <c r="B121" s="1" t="inlineStr">
        <is>
          <t>Meridian Dynamics</t>
        </is>
      </c>
      <c r="C121" s="1" t="inlineStr">
        <is>
          <t>Meridian Bay 7</t>
        </is>
      </c>
      <c r="D121" s="1" t="inlineStr">
        <is>
          <t>M10</t>
        </is>
      </c>
      <c r="E121" s="1" t="inlineStr">
        <is>
          <t>Contract signature and order acknowledgement</t>
        </is>
      </c>
      <c r="F121" s="2" t="n">
        <v>45743</v>
      </c>
      <c r="G121" s="1" t="inlineStr"/>
      <c r="H121" s="1">
        <f>IF(G121="","",G121-F121)</f>
        <v/>
      </c>
      <c r="I121" s="1" t="inlineStr">
        <is>
          <t>No evidence located; open request with the account team</t>
        </is>
      </c>
      <c r="J121" s="1" t="inlineStr">
        <is>
          <t>20 percent on signature</t>
        </is>
      </c>
      <c r="K121" s="1" t="n">
        <v>458476.19</v>
      </c>
      <c r="L121" s="1" t="inlineStr">
        <is>
          <t>No</t>
        </is>
      </c>
      <c r="M121" s="1" t="inlineStr">
        <is>
          <t>In progress</t>
        </is>
      </c>
      <c r="N121" s="1" t="inlineStr">
        <is>
          <t>J. Alvarez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contract_ref</t>
        </is>
      </c>
      <c r="B1" s="1" t="inlineStr">
        <is>
          <t>customer</t>
        </is>
      </c>
      <c r="C1" s="1" t="inlineStr">
        <is>
          <t>site</t>
        </is>
      </c>
      <c r="D1" s="1" t="inlineStr">
        <is>
          <t>milestone_code</t>
        </is>
      </c>
      <c r="E1" s="1" t="inlineStr">
        <is>
          <t>milestone_description</t>
        </is>
      </c>
      <c r="F1" s="1" t="inlineStr">
        <is>
          <t>planned_date</t>
        </is>
      </c>
      <c r="G1" s="1" t="inlineStr">
        <is>
          <t>actual_date</t>
        </is>
      </c>
      <c r="H1" s="1" t="inlineStr">
        <is>
          <t>days_variance</t>
        </is>
      </c>
      <c r="I1" s="1" t="inlineStr">
        <is>
          <t>acceptance_evidence</t>
        </is>
      </c>
      <c r="J1" s="1" t="inlineStr">
        <is>
          <t>invoice_trigger</t>
        </is>
      </c>
      <c r="K1" s="1" t="inlineStr">
        <is>
          <t>milestone_amount</t>
        </is>
      </c>
      <c r="L1" s="1" t="inlineStr">
        <is>
          <t>invoiced_flag</t>
        </is>
      </c>
      <c r="M1" s="1" t="inlineStr">
        <is>
          <t>status</t>
        </is>
      </c>
      <c r="N1" s="1" t="inlineStr">
        <is>
          <t>owner</t>
        </is>
      </c>
    </row>
    <row r="2">
      <c r="A2" s="1" t="inlineStr">
        <is>
          <t>FTM-SOW-2024-430</t>
        </is>
      </c>
      <c r="B2" s="1" t="inlineStr">
        <is>
          <t>Fathom Mobility</t>
        </is>
      </c>
      <c r="C2" s="1" t="inlineStr">
        <is>
          <t>Fathom Line A</t>
        </is>
      </c>
      <c r="D2" s="1" t="inlineStr">
        <is>
          <t>M20</t>
        </is>
      </c>
      <c r="E2" s="1" t="inlineStr">
        <is>
          <t>Site survey complete and layout approved</t>
        </is>
      </c>
      <c r="F2" s="2" t="n">
        <v>45933</v>
      </c>
      <c r="G2" s="1" t="inlineStr"/>
      <c r="H2" s="1">
        <f>IF(G2="","",G2-F2)</f>
        <v/>
      </c>
      <c r="I2" s="1" t="inlineStr">
        <is>
          <t>No evidence located; open request with the account team</t>
        </is>
      </c>
      <c r="J2" s="1" t="inlineStr">
        <is>
          <t>None</t>
        </is>
      </c>
      <c r="K2" s="1" t="n">
        <v>0</v>
      </c>
      <c r="L2" s="1" t="inlineStr">
        <is>
          <t>No</t>
        </is>
      </c>
      <c r="M2" s="1" t="inlineStr">
        <is>
          <t>In progress</t>
        </is>
      </c>
      <c r="N2" s="1" t="inlineStr">
        <is>
          <t>B. Ng</t>
        </is>
      </c>
    </row>
    <row r="3">
      <c r="A3" s="1" t="inlineStr">
        <is>
          <t>BMC-SOW-2024-891</t>
        </is>
      </c>
      <c r="B3" s="1" t="inlineStr">
        <is>
          <t>Blue Mesa Components</t>
        </is>
      </c>
      <c r="C3" s="1" t="inlineStr">
        <is>
          <t>Mesa Plant 2</t>
        </is>
      </c>
      <c r="D3" s="1" t="inlineStr">
        <is>
          <t>M30</t>
        </is>
      </c>
      <c r="E3" s="1" t="inlineStr">
        <is>
          <t>Hardware shipped to site</t>
        </is>
      </c>
      <c r="F3" s="2" t="n">
        <v>45923</v>
      </c>
      <c r="G3" s="1" t="inlineStr"/>
      <c r="H3" s="1">
        <f>IF(G3="","",G3-F3)</f>
        <v/>
      </c>
      <c r="I3" s="1" t="inlineStr">
        <is>
          <t>No evidence located; open request with the account team</t>
        </is>
      </c>
      <c r="J3" s="1" t="inlineStr">
        <is>
          <t>40 percent on shipment</t>
        </is>
      </c>
      <c r="K3" s="1" t="n">
        <v>161995.76</v>
      </c>
      <c r="L3" s="1" t="inlineStr">
        <is>
          <t>No</t>
        </is>
      </c>
      <c r="M3" s="1" t="inlineStr">
        <is>
          <t>In progress</t>
        </is>
      </c>
      <c r="N3" s="1" t="inlineStr">
        <is>
          <t>J. Alvarez</t>
        </is>
      </c>
    </row>
    <row r="4">
      <c r="A4" s="1" t="inlineStr">
        <is>
          <t>IVG-SOW-2024-749</t>
        </is>
      </c>
      <c r="B4" s="1" t="inlineStr">
        <is>
          <t>Ironvale Grocery Group</t>
        </is>
      </c>
      <c r="C4" s="1" t="inlineStr">
        <is>
          <t>Ironvale RDC</t>
        </is>
      </c>
      <c r="D4" s="1" t="inlineStr">
        <is>
          <t>M40</t>
        </is>
      </c>
      <c r="E4" s="1" t="inlineStr">
        <is>
          <t>Mechanical installation complete</t>
        </is>
      </c>
      <c r="F4" s="2" t="n">
        <v>45881</v>
      </c>
      <c r="G4" s="2" t="n">
        <v>45880</v>
      </c>
      <c r="H4" s="1">
        <f>IF(G4="","",G4-F4)</f>
        <v/>
      </c>
      <c r="I4" s="1" t="inlineStr">
        <is>
          <t>Site sign-off form with throughput log attached</t>
        </is>
      </c>
      <c r="J4" s="1" t="inlineStr">
        <is>
          <t>None</t>
        </is>
      </c>
      <c r="K4" s="1" t="n">
        <v>0</v>
      </c>
      <c r="L4" s="1" t="inlineStr">
        <is>
          <t>No</t>
        </is>
      </c>
      <c r="M4" s="1" t="inlineStr">
        <is>
          <t>Deferred at customer request</t>
        </is>
      </c>
      <c r="N4" s="1" t="inlineStr">
        <is>
          <t>J. Alvarez</t>
        </is>
      </c>
    </row>
    <row r="5">
      <c r="A5" s="1" t="inlineStr">
        <is>
          <t>NFB-SOW-2024-173</t>
        </is>
      </c>
      <c r="B5" s="1" t="inlineStr">
        <is>
          <t>Northfield Beverage</t>
        </is>
      </c>
      <c r="C5" s="1" t="inlineStr">
        <is>
          <t>Northfield Line 5</t>
        </is>
      </c>
      <c r="D5" s="1" t="inlineStr">
        <is>
          <t>M50</t>
        </is>
      </c>
      <c r="E5" s="1" t="inlineStr">
        <is>
          <t>Network and warehouse-system integration complete</t>
        </is>
      </c>
      <c r="F5" s="2" t="n">
        <v>45714</v>
      </c>
      <c r="G5" s="1" t="inlineStr"/>
      <c r="H5" s="1">
        <f>IF(G5="","",G5-F5)</f>
        <v/>
      </c>
      <c r="I5" s="1" t="inlineStr">
        <is>
          <t>No evidence located; open request with the account team</t>
        </is>
      </c>
      <c r="J5" s="1" t="inlineStr">
        <is>
          <t>None</t>
        </is>
      </c>
      <c r="K5" s="1" t="n">
        <v>0</v>
      </c>
      <c r="L5" s="1" t="inlineStr">
        <is>
          <t>No</t>
        </is>
      </c>
      <c r="M5" s="1" t="inlineStr">
        <is>
          <t>Planned</t>
        </is>
      </c>
      <c r="N5" s="1" t="inlineStr">
        <is>
          <t>H. Ferrand</t>
        </is>
      </c>
    </row>
    <row r="6">
      <c r="A6" s="1" t="inlineStr">
        <is>
          <t>ZAC-SOW-2025-793</t>
        </is>
      </c>
      <c r="B6" s="1" t="inlineStr">
        <is>
          <t>Zephyr Air Cargo</t>
        </is>
      </c>
      <c r="C6" s="1" t="inlineStr">
        <is>
          <t>Zephyr Ramp 2</t>
        </is>
      </c>
      <c r="D6" s="1" t="inlineStr">
        <is>
          <t>M60</t>
        </is>
      </c>
      <c r="E6" s="1" t="inlineStr">
        <is>
          <t>Safety validation witnessed by customer</t>
        </is>
      </c>
      <c r="F6" s="2" t="n">
        <v>45930</v>
      </c>
      <c r="G6" s="1" t="inlineStr"/>
      <c r="H6" s="1">
        <f>IF(G6="","",G6-F6)</f>
        <v/>
      </c>
      <c r="I6" s="1" t="inlineStr">
        <is>
          <t>No evidence located; open request with the account team</t>
        </is>
      </c>
      <c r="J6" s="1" t="inlineStr">
        <is>
          <t>None</t>
        </is>
      </c>
      <c r="K6" s="1" t="n">
        <v>0</v>
      </c>
      <c r="L6" s="1" t="inlineStr">
        <is>
          <t>No</t>
        </is>
      </c>
      <c r="M6" s="1" t="inlineStr">
        <is>
          <t>In progress</t>
        </is>
      </c>
      <c r="N6" s="1" t="inlineStr">
        <is>
          <t>J. Alvarez</t>
        </is>
      </c>
    </row>
    <row r="7">
      <c r="A7" s="1" t="inlineStr">
        <is>
          <t>JHS-SOW-2024-313</t>
        </is>
      </c>
      <c r="B7" s="1" t="inlineStr">
        <is>
          <t>Juniper Health Supply</t>
        </is>
      </c>
      <c r="C7" s="1" t="inlineStr">
        <is>
          <t>Juniper Sterile 1</t>
        </is>
      </c>
      <c r="D7" s="1" t="inlineStr">
        <is>
          <t>M70</t>
        </is>
      </c>
      <c r="E7" s="1" t="inlineStr">
        <is>
          <t>Pilot cell operating at contracted throughput</t>
        </is>
      </c>
      <c r="F7" s="2" t="n">
        <v>45974</v>
      </c>
      <c r="G7" s="1" t="inlineStr"/>
      <c r="H7" s="1">
        <f>IF(G7="","",G7-F7)</f>
        <v/>
      </c>
      <c r="I7" s="1" t="inlineStr">
        <is>
          <t>No evidence located; open request with the account team</t>
        </is>
      </c>
      <c r="J7" s="1" t="inlineStr">
        <is>
          <t>20 percent on pilot</t>
        </is>
      </c>
      <c r="K7" s="1" t="n">
        <v>65493.31</v>
      </c>
      <c r="L7" s="1" t="inlineStr">
        <is>
          <t>No</t>
        </is>
      </c>
      <c r="M7" s="1" t="inlineStr">
        <is>
          <t>Blocked on customer</t>
        </is>
      </c>
      <c r="N7" s="1" t="inlineStr">
        <is>
          <t>H. Ferrand</t>
        </is>
      </c>
    </row>
    <row r="8">
      <c r="A8" s="1" t="inlineStr">
        <is>
          <t>EVW-SOW-2025-558</t>
        </is>
      </c>
      <c r="B8" s="1" t="inlineStr">
        <is>
          <t>Evergreen Warehousing</t>
        </is>
      </c>
      <c r="C8" s="1" t="inlineStr">
        <is>
          <t>Evergreen Bay 4</t>
        </is>
      </c>
      <c r="D8" s="1" t="inlineStr">
        <is>
          <t>M80</t>
        </is>
      </c>
      <c r="E8" s="1" t="inlineStr">
        <is>
          <t>Operator training delivered and signed off</t>
        </is>
      </c>
      <c r="F8" s="2" t="n">
        <v>45951</v>
      </c>
      <c r="G8" s="1" t="inlineStr"/>
      <c r="H8" s="1">
        <f>IF(G8="","",G8-F8)</f>
        <v/>
      </c>
      <c r="I8" s="1" t="inlineStr">
        <is>
          <t>No evidence located; open request with the account team</t>
        </is>
      </c>
      <c r="J8" s="1" t="inlineStr">
        <is>
          <t>None</t>
        </is>
      </c>
      <c r="K8" s="1" t="n">
        <v>0</v>
      </c>
      <c r="L8" s="1" t="inlineStr">
        <is>
          <t>No</t>
        </is>
      </c>
      <c r="M8" s="1" t="inlineStr">
        <is>
          <t>Blocked on customer</t>
        </is>
      </c>
      <c r="N8" s="1" t="inlineStr">
        <is>
          <t>H. Ferrand</t>
        </is>
      </c>
    </row>
    <row r="9">
      <c r="A9" s="1" t="inlineStr">
        <is>
          <t>CFF-SOW-2025-300</t>
        </is>
      </c>
      <c r="B9" s="1" t="inlineStr">
        <is>
          <t>Crestline Fulfillment</t>
        </is>
      </c>
      <c r="C9" s="1" t="inlineStr">
        <is>
          <t>Crestline FC1</t>
        </is>
      </c>
      <c r="D9" s="1" t="inlineStr">
        <is>
          <t>M90</t>
        </is>
      </c>
      <c r="E9" s="1" t="inlineStr">
        <is>
          <t>Customer acceptance certificate countersigned</t>
        </is>
      </c>
      <c r="F9" s="2" t="n">
        <v>46065</v>
      </c>
      <c r="G9" s="2" t="n">
        <v>46059</v>
      </c>
      <c r="H9" s="1">
        <f>IF(G9="","",G9-F9)</f>
        <v/>
      </c>
      <c r="I9" s="1" t="inlineStr">
        <is>
          <t>Training attendance register</t>
        </is>
      </c>
      <c r="J9" s="1" t="inlineStr">
        <is>
          <t>20 percent on acceptance</t>
        </is>
      </c>
      <c r="K9" s="1" t="n">
        <v>71992.55</v>
      </c>
      <c r="L9" s="1" t="inlineStr">
        <is>
          <t>Yes</t>
        </is>
      </c>
      <c r="M9" s="1" t="inlineStr">
        <is>
          <t>Complete</t>
        </is>
      </c>
      <c r="N9" s="1" t="inlineStr">
        <is>
          <t>B. Ng</t>
        </is>
      </c>
    </row>
    <row r="10">
      <c r="A10" s="1" t="inlineStr">
        <is>
          <t>JHS-SOW-2026-213</t>
        </is>
      </c>
      <c r="B10" s="1" t="inlineStr">
        <is>
          <t>Juniper Health Supply</t>
        </is>
      </c>
      <c r="C10" s="1" t="inlineStr">
        <is>
          <t>Juniper Sterile 1</t>
        </is>
      </c>
      <c r="D10" s="1" t="inlineStr">
        <is>
          <t>M95</t>
        </is>
      </c>
      <c r="E10" s="1" t="inlineStr">
        <is>
          <t>Warranty commencement recorded</t>
        </is>
      </c>
      <c r="F10" s="2" t="n">
        <v>46078</v>
      </c>
      <c r="G10" s="1" t="inlineStr"/>
      <c r="H10" s="1">
        <f>IF(G10="","",G10-F10)</f>
        <v/>
      </c>
      <c r="I10" s="1" t="inlineStr">
        <is>
          <t>No evidence located; open request with the account team</t>
        </is>
      </c>
      <c r="J10" s="1" t="inlineStr">
        <is>
          <t>None</t>
        </is>
      </c>
      <c r="K10" s="1" t="n">
        <v>0</v>
      </c>
      <c r="L10" s="1" t="inlineStr">
        <is>
          <t>No</t>
        </is>
      </c>
      <c r="M10" s="1" t="inlineStr">
        <is>
          <t>In progress</t>
        </is>
      </c>
      <c r="N10" s="1" t="inlineStr">
        <is>
          <t>F. Lindstrom</t>
        </is>
      </c>
    </row>
    <row r="11">
      <c r="A11" s="1" t="inlineStr">
        <is>
          <t>OGF-SOW-2026-777</t>
        </is>
      </c>
      <c r="B11" s="1" t="inlineStr">
        <is>
          <t>Orchard Grove Foods</t>
        </is>
      </c>
      <c r="C11" s="1" t="inlineStr">
        <is>
          <t>Orchard Cold 2</t>
        </is>
      </c>
      <c r="D11" s="1" t="inlineStr">
        <is>
          <t>M10</t>
        </is>
      </c>
      <c r="E11" s="1" t="inlineStr">
        <is>
          <t>Contract signature and order acknowledgement</t>
        </is>
      </c>
      <c r="F11" s="2" t="n">
        <v>46150</v>
      </c>
      <c r="G11" s="2" t="n">
        <v>46157</v>
      </c>
      <c r="H11" s="1">
        <f>IF(G11="","",G11-F11)</f>
        <v/>
      </c>
      <c r="I11" s="1" t="inlineStr">
        <is>
          <t>Customer email confirmation retained in the deployment file</t>
        </is>
      </c>
      <c r="J11" s="1" t="inlineStr">
        <is>
          <t>20 percent on signature</t>
        </is>
      </c>
      <c r="K11" s="1" t="n">
        <v>330956.49</v>
      </c>
      <c r="L11" s="1" t="inlineStr">
        <is>
          <t>Yes</t>
        </is>
      </c>
      <c r="M11" s="1" t="inlineStr">
        <is>
          <t>Complete</t>
        </is>
      </c>
      <c r="N11" s="1" t="inlineStr">
        <is>
          <t>H. Ferrand</t>
        </is>
      </c>
    </row>
    <row r="12">
      <c r="A12" s="1" t="inlineStr">
        <is>
          <t>NFB-SOW-2026-485</t>
        </is>
      </c>
      <c r="B12" s="1" t="inlineStr">
        <is>
          <t>Northfield Beverage</t>
        </is>
      </c>
      <c r="C12" s="1" t="inlineStr">
        <is>
          <t>Northfield Line 5</t>
        </is>
      </c>
      <c r="D12" s="1" t="inlineStr">
        <is>
          <t>M20</t>
        </is>
      </c>
      <c r="E12" s="1" t="inlineStr">
        <is>
          <t>Site survey complete and layout approved</t>
        </is>
      </c>
      <c r="F12" s="2" t="n">
        <v>45916</v>
      </c>
      <c r="G12" s="1" t="inlineStr"/>
      <c r="H12" s="1">
        <f>IF(G12="","",G12-F12)</f>
        <v/>
      </c>
      <c r="I12" s="1" t="inlineStr">
        <is>
          <t>No evidence located; open request with the account team</t>
        </is>
      </c>
      <c r="J12" s="1" t="inlineStr">
        <is>
          <t>None</t>
        </is>
      </c>
      <c r="K12" s="1" t="n">
        <v>0</v>
      </c>
      <c r="L12" s="1" t="inlineStr">
        <is>
          <t>No</t>
        </is>
      </c>
      <c r="M12" s="1" t="inlineStr">
        <is>
          <t>In progress</t>
        </is>
      </c>
      <c r="N12" s="1" t="inlineStr">
        <is>
          <t>S. Vitale</t>
        </is>
      </c>
    </row>
    <row r="13">
      <c r="A13" s="1" t="inlineStr">
        <is>
          <t>ZAC-SOW-2025-520</t>
        </is>
      </c>
      <c r="B13" s="1" t="inlineStr">
        <is>
          <t>Zephyr Air Cargo</t>
        </is>
      </c>
      <c r="C13" s="1" t="inlineStr">
        <is>
          <t>Zephyr Ramp 2</t>
        </is>
      </c>
      <c r="D13" s="1" t="inlineStr">
        <is>
          <t>M30</t>
        </is>
      </c>
      <c r="E13" s="1" t="inlineStr">
        <is>
          <t>Hardware shipped to site</t>
        </is>
      </c>
      <c r="F13" s="2" t="n">
        <v>45702</v>
      </c>
      <c r="G13" s="1" t="inlineStr"/>
      <c r="H13" s="1">
        <f>IF(G13="","",G13-F13)</f>
        <v/>
      </c>
      <c r="I13" s="1" t="inlineStr">
        <is>
          <t>No evidence located; open request with the account team</t>
        </is>
      </c>
      <c r="J13" s="1" t="inlineStr">
        <is>
          <t>40 percent on shipment</t>
        </is>
      </c>
      <c r="K13" s="1" t="n">
        <v>430800.54</v>
      </c>
      <c r="L13" s="1" t="inlineStr">
        <is>
          <t>No</t>
        </is>
      </c>
      <c r="M13" s="1" t="inlineStr">
        <is>
          <t>Blocked on customer</t>
        </is>
      </c>
      <c r="N13" s="1" t="inlineStr">
        <is>
          <t>H. Ferrand</t>
        </is>
      </c>
    </row>
    <row r="14">
      <c r="A14" s="1" t="inlineStr">
        <is>
          <t>DGC-SOW-2025-228</t>
        </is>
      </c>
      <c r="B14" s="1" t="inlineStr">
        <is>
          <t>Dorsey Grain Cooperative</t>
        </is>
      </c>
      <c r="C14" s="1" t="inlineStr">
        <is>
          <t>Dorsey Elevator 2</t>
        </is>
      </c>
      <c r="D14" s="1" t="inlineStr">
        <is>
          <t>M40</t>
        </is>
      </c>
      <c r="E14" s="1" t="inlineStr">
        <is>
          <t>Mechanical installation complete</t>
        </is>
      </c>
      <c r="F14" s="2" t="n">
        <v>45887</v>
      </c>
      <c r="G14" s="1" t="inlineStr"/>
      <c r="H14" s="1">
        <f>IF(G14="","",G14-F14)</f>
        <v/>
      </c>
      <c r="I14" s="1" t="inlineStr">
        <is>
          <t>No evidence located; open request with the account team</t>
        </is>
      </c>
      <c r="J14" s="1" t="inlineStr">
        <is>
          <t>None</t>
        </is>
      </c>
      <c r="K14" s="1" t="n">
        <v>0</v>
      </c>
      <c r="L14" s="1" t="inlineStr">
        <is>
          <t>No</t>
        </is>
      </c>
      <c r="M14" s="1" t="inlineStr">
        <is>
          <t>Planned</t>
        </is>
      </c>
      <c r="N14" s="1" t="inlineStr">
        <is>
          <t>H. Ferrand</t>
        </is>
      </c>
    </row>
    <row r="15">
      <c r="A15" s="1" t="inlineStr">
        <is>
          <t>WCD-SOW-2024-263</t>
        </is>
      </c>
      <c r="B15" s="1" t="inlineStr">
        <is>
          <t>Westlake Chemical Depot</t>
        </is>
      </c>
      <c r="C15" s="1" t="inlineStr">
        <is>
          <t>Westlake Tank 6</t>
        </is>
      </c>
      <c r="D15" s="1" t="inlineStr">
        <is>
          <t>M50</t>
        </is>
      </c>
      <c r="E15" s="1" t="inlineStr">
        <is>
          <t>Network and warehouse-system integration complete</t>
        </is>
      </c>
      <c r="F15" s="2" t="n">
        <v>45810</v>
      </c>
      <c r="G15" s="2" t="n">
        <v>45806</v>
      </c>
      <c r="H15" s="1">
        <f>IF(G15="","",G15-F15)</f>
        <v/>
      </c>
      <c r="I15" s="1" t="inlineStr">
        <is>
          <t>Training attendance register</t>
        </is>
      </c>
      <c r="J15" s="1" t="inlineStr">
        <is>
          <t>None</t>
        </is>
      </c>
      <c r="K15" s="1" t="n">
        <v>0</v>
      </c>
      <c r="L15" s="1" t="inlineStr">
        <is>
          <t>No</t>
        </is>
      </c>
      <c r="M15" s="1" t="inlineStr">
        <is>
          <t>Deferred at customer request</t>
        </is>
      </c>
      <c r="N15" s="1" t="inlineStr">
        <is>
          <t>S. Vitale</t>
        </is>
      </c>
    </row>
    <row r="16">
      <c r="A16" s="1" t="inlineStr">
        <is>
          <t>QBM-SOW-2025-652</t>
        </is>
      </c>
      <c r="B16" s="1" t="inlineStr">
        <is>
          <t>Quarrybridge Materials</t>
        </is>
      </c>
      <c r="C16" s="1" t="inlineStr">
        <is>
          <t>Quarrybridge Site 1</t>
        </is>
      </c>
      <c r="D16" s="1" t="inlineStr">
        <is>
          <t>M60</t>
        </is>
      </c>
      <c r="E16" s="1" t="inlineStr">
        <is>
          <t>Safety validation witnessed by customer</t>
        </is>
      </c>
      <c r="F16" s="2" t="n">
        <v>45730</v>
      </c>
      <c r="G16" s="2" t="n">
        <v>45737</v>
      </c>
      <c r="H16" s="1">
        <f>IF(G16="","",G16-F16)</f>
        <v/>
      </c>
      <c r="I16" s="1" t="inlineStr">
        <is>
          <t>Site sign-off form with throughput log attached</t>
        </is>
      </c>
      <c r="J16" s="1" t="inlineStr">
        <is>
          <t>None</t>
        </is>
      </c>
      <c r="K16" s="1" t="n">
        <v>0</v>
      </c>
      <c r="L16" s="1" t="inlineStr">
        <is>
          <t>No</t>
        </is>
      </c>
      <c r="M16" s="1" t="inlineStr">
        <is>
          <t>Complete</t>
        </is>
      </c>
      <c r="N16" s="1" t="inlineStr">
        <is>
          <t>H. Ferrand</t>
        </is>
      </c>
    </row>
    <row r="17">
      <c r="A17" s="1" t="inlineStr">
        <is>
          <t>EWP-SOW-2025-301</t>
        </is>
      </c>
      <c r="B17" s="1" t="inlineStr">
        <is>
          <t>Elmsworth Publishing</t>
        </is>
      </c>
      <c r="C17" s="1" t="inlineStr">
        <is>
          <t>Elmsworth Bindery</t>
        </is>
      </c>
      <c r="D17" s="1" t="inlineStr">
        <is>
          <t>M70</t>
        </is>
      </c>
      <c r="E17" s="1" t="inlineStr">
        <is>
          <t>Pilot cell operating at contracted throughput</t>
        </is>
      </c>
      <c r="F17" s="2" t="n">
        <v>46206</v>
      </c>
      <c r="G17" s="2" t="n">
        <v>46224</v>
      </c>
      <c r="H17" s="1">
        <f>IF(G17="","",G17-F17)</f>
        <v/>
      </c>
      <c r="I17" s="1" t="inlineStr">
        <is>
          <t>Site sign-off form with throughput log attached</t>
        </is>
      </c>
      <c r="J17" s="1" t="inlineStr">
        <is>
          <t>20 percent on pilot</t>
        </is>
      </c>
      <c r="K17" s="1" t="n">
        <v>106830.69</v>
      </c>
      <c r="L17" s="1" t="inlineStr">
        <is>
          <t>Yes</t>
        </is>
      </c>
      <c r="M17" s="1" t="inlineStr">
        <is>
          <t>Complete</t>
        </is>
      </c>
      <c r="N17" s="1" t="inlineStr">
        <is>
          <t>H. Ferrand</t>
        </is>
      </c>
    </row>
    <row r="18">
      <c r="A18" s="1" t="inlineStr">
        <is>
          <t>CFF-SOW-2026-981</t>
        </is>
      </c>
      <c r="B18" s="1" t="inlineStr">
        <is>
          <t>Crestline Fulfillment</t>
        </is>
      </c>
      <c r="C18" s="1" t="inlineStr">
        <is>
          <t>Crestline FC1</t>
        </is>
      </c>
      <c r="D18" s="1" t="inlineStr">
        <is>
          <t>M80</t>
        </is>
      </c>
      <c r="E18" s="1" t="inlineStr">
        <is>
          <t>Operator training delivered and signed off</t>
        </is>
      </c>
      <c r="F18" s="2" t="n">
        <v>45947</v>
      </c>
      <c r="G18" s="2" t="n">
        <v>45947</v>
      </c>
      <c r="H18" s="1">
        <f>IF(G18="","",G18-F18)</f>
        <v/>
      </c>
      <c r="I18" s="1" t="inlineStr">
        <is>
          <t>Training attendance register</t>
        </is>
      </c>
      <c r="J18" s="1" t="inlineStr">
        <is>
          <t>None</t>
        </is>
      </c>
      <c r="K18" s="1" t="n">
        <v>0</v>
      </c>
      <c r="L18" s="1" t="inlineStr">
        <is>
          <t>No</t>
        </is>
      </c>
      <c r="M18" s="1" t="inlineStr">
        <is>
          <t>Complete</t>
        </is>
      </c>
      <c r="N18" s="1" t="inlineStr">
        <is>
          <t>H. Ferrand</t>
        </is>
      </c>
    </row>
    <row r="19">
      <c r="A19" s="1" t="inlineStr">
        <is>
          <t>ZAC-SOW-2024-207</t>
        </is>
      </c>
      <c r="B19" s="1" t="inlineStr">
        <is>
          <t>Zephyr Air Cargo</t>
        </is>
      </c>
      <c r="C19" s="1" t="inlineStr">
        <is>
          <t>Zephyr Ramp 2</t>
        </is>
      </c>
      <c r="D19" s="1" t="inlineStr">
        <is>
          <t>M90</t>
        </is>
      </c>
      <c r="E19" s="1" t="inlineStr">
        <is>
          <t>Customer acceptance certificate countersigned</t>
        </is>
      </c>
      <c r="F19" s="2" t="n">
        <v>45987</v>
      </c>
      <c r="G19" s="2" t="n">
        <v>45992</v>
      </c>
      <c r="H19" s="1">
        <f>IF(G19="","",G19-F19)</f>
        <v/>
      </c>
      <c r="I19" s="1" t="inlineStr">
        <is>
          <t>Training attendance register</t>
        </is>
      </c>
      <c r="J19" s="1" t="inlineStr">
        <is>
          <t>20 percent on acceptance</t>
        </is>
      </c>
      <c r="K19" s="1" t="n">
        <v>329950.12</v>
      </c>
      <c r="L19" s="1" t="inlineStr">
        <is>
          <t>No</t>
        </is>
      </c>
      <c r="M19" s="1" t="inlineStr">
        <is>
          <t>Deferred at customer request</t>
        </is>
      </c>
      <c r="N19" s="1" t="inlineStr">
        <is>
          <t>B. Ng</t>
        </is>
      </c>
    </row>
    <row r="20">
      <c r="A20" s="1" t="inlineStr">
        <is>
          <t>EVW-SOW-2025-207</t>
        </is>
      </c>
      <c r="B20" s="1" t="inlineStr">
        <is>
          <t>Evergreen Warehousing</t>
        </is>
      </c>
      <c r="C20" s="1" t="inlineStr">
        <is>
          <t>Evergreen Bay 4</t>
        </is>
      </c>
      <c r="D20" s="1" t="inlineStr">
        <is>
          <t>M95</t>
        </is>
      </c>
      <c r="E20" s="1" t="inlineStr">
        <is>
          <t>Warranty commencement recorded</t>
        </is>
      </c>
      <c r="F20" s="2" t="n">
        <v>45737</v>
      </c>
      <c r="G20" s="1" t="inlineStr"/>
      <c r="H20" s="1">
        <f>IF(G20="","",G20-F20)</f>
        <v/>
      </c>
      <c r="I20" s="1" t="inlineStr">
        <is>
          <t>No evidence located; open request with the account team</t>
        </is>
      </c>
      <c r="J20" s="1" t="inlineStr">
        <is>
          <t>None</t>
        </is>
      </c>
      <c r="K20" s="1" t="n">
        <v>0</v>
      </c>
      <c r="L20" s="1" t="inlineStr">
        <is>
          <t>No</t>
        </is>
      </c>
      <c r="M20" s="1" t="inlineStr">
        <is>
          <t>Blocked on customer</t>
        </is>
      </c>
      <c r="N20" s="1" t="inlineStr">
        <is>
          <t>S. Vitale</t>
        </is>
      </c>
    </row>
    <row r="21">
      <c r="A21" s="1" t="inlineStr">
        <is>
          <t>WCD-SOW-2025-279</t>
        </is>
      </c>
      <c r="B21" s="1" t="inlineStr">
        <is>
          <t>Westlake Chemical Depot</t>
        </is>
      </c>
      <c r="C21" s="1" t="inlineStr">
        <is>
          <t>Westlake Tank 6</t>
        </is>
      </c>
      <c r="D21" s="1" t="inlineStr">
        <is>
          <t>M10</t>
        </is>
      </c>
      <c r="E21" s="1" t="inlineStr">
        <is>
          <t>Contract signature and order acknowledgement</t>
        </is>
      </c>
      <c r="F21" s="2" t="n">
        <v>45819</v>
      </c>
      <c r="G21" s="1" t="inlineStr"/>
      <c r="H21" s="1">
        <f>IF(G21="","",G21-F21)</f>
        <v/>
      </c>
      <c r="I21" s="1" t="inlineStr">
        <is>
          <t>No evidence located; open request with the account team</t>
        </is>
      </c>
      <c r="J21" s="1" t="inlineStr">
        <is>
          <t>20 percent on signature</t>
        </is>
      </c>
      <c r="K21" s="1" t="n">
        <v>333437.22</v>
      </c>
      <c r="L21" s="1" t="inlineStr">
        <is>
          <t>No</t>
        </is>
      </c>
      <c r="M21" s="1" t="inlineStr">
        <is>
          <t>Blocked on customer</t>
        </is>
      </c>
      <c r="N21" s="1" t="inlineStr">
        <is>
          <t>J. Alvarez</t>
        </is>
      </c>
    </row>
    <row r="22">
      <c r="A22" s="1" t="inlineStr">
        <is>
          <t>NFB-SOW-2025-116</t>
        </is>
      </c>
      <c r="B22" s="1" t="inlineStr">
        <is>
          <t>Northfield Beverage</t>
        </is>
      </c>
      <c r="C22" s="1" t="inlineStr">
        <is>
          <t>Northfield Line 5</t>
        </is>
      </c>
      <c r="D22" s="1" t="inlineStr">
        <is>
          <t>M20</t>
        </is>
      </c>
      <c r="E22" s="1" t="inlineStr">
        <is>
          <t>Site survey complete and layout approved</t>
        </is>
      </c>
      <c r="F22" s="2" t="n">
        <v>45784</v>
      </c>
      <c r="G22" s="2" t="n">
        <v>45818</v>
      </c>
      <c r="H22" s="1">
        <f>IF(G22="","",G22-F22)</f>
        <v/>
      </c>
      <c r="I22" s="1" t="inlineStr">
        <is>
          <t>Witnessed safety validation report</t>
        </is>
      </c>
      <c r="J22" s="1" t="inlineStr">
        <is>
          <t>None</t>
        </is>
      </c>
      <c r="K22" s="1" t="n">
        <v>0</v>
      </c>
      <c r="L22" s="1" t="inlineStr">
        <is>
          <t>No</t>
        </is>
      </c>
      <c r="M22" s="1" t="inlineStr">
        <is>
          <t>Complete</t>
        </is>
      </c>
      <c r="N22" s="1" t="inlineStr">
        <is>
          <t>H. Ferrand</t>
        </is>
      </c>
    </row>
    <row r="23">
      <c r="A23" s="1" t="inlineStr">
        <is>
          <t>ZAC-SOW-2026-921</t>
        </is>
      </c>
      <c r="B23" s="1" t="inlineStr">
        <is>
          <t>Zephyr Air Cargo</t>
        </is>
      </c>
      <c r="C23" s="1" t="inlineStr">
        <is>
          <t>Zephyr Ramp 2</t>
        </is>
      </c>
      <c r="D23" s="1" t="inlineStr">
        <is>
          <t>M30</t>
        </is>
      </c>
      <c r="E23" s="1" t="inlineStr">
        <is>
          <t>Hardware shipped to site</t>
        </is>
      </c>
      <c r="F23" s="2" t="n">
        <v>46022</v>
      </c>
      <c r="G23" s="1" t="inlineStr"/>
      <c r="H23" s="1">
        <f>IF(G23="","",G23-F23)</f>
        <v/>
      </c>
      <c r="I23" s="1" t="inlineStr">
        <is>
          <t>No evidence located; open request with the account team</t>
        </is>
      </c>
      <c r="J23" s="1" t="inlineStr">
        <is>
          <t>40 percent on shipment</t>
        </is>
      </c>
      <c r="K23" s="1" t="n">
        <v>175397.21</v>
      </c>
      <c r="L23" s="1" t="inlineStr">
        <is>
          <t>No</t>
        </is>
      </c>
      <c r="M23" s="1" t="inlineStr">
        <is>
          <t>Blocked on customer</t>
        </is>
      </c>
      <c r="N23" s="1" t="inlineStr">
        <is>
          <t>B. Ng</t>
        </is>
      </c>
    </row>
    <row r="24">
      <c r="A24" s="1" t="inlineStr">
        <is>
          <t>MDY-SOW-2025-324</t>
        </is>
      </c>
      <c r="B24" s="1" t="inlineStr">
        <is>
          <t>Meridian Dynamics</t>
        </is>
      </c>
      <c r="C24" s="1" t="inlineStr">
        <is>
          <t>Meridian Bay 7</t>
        </is>
      </c>
      <c r="D24" s="1" t="inlineStr">
        <is>
          <t>M40</t>
        </is>
      </c>
      <c r="E24" s="1" t="inlineStr">
        <is>
          <t>Mechanical installation complete</t>
        </is>
      </c>
      <c r="F24" s="2" t="n">
        <v>46009</v>
      </c>
      <c r="G24" s="2" t="n">
        <v>46009</v>
      </c>
      <c r="H24" s="1">
        <f>IF(G24="","",G24-F24)</f>
        <v/>
      </c>
      <c r="I24" s="1" t="inlineStr">
        <is>
          <t>Site sign-off form with throughput log attached</t>
        </is>
      </c>
      <c r="J24" s="1" t="inlineStr">
        <is>
          <t>None</t>
        </is>
      </c>
      <c r="K24" s="1" t="n">
        <v>0</v>
      </c>
      <c r="L24" s="1" t="inlineStr">
        <is>
          <t>No</t>
        </is>
      </c>
      <c r="M24" s="1" t="inlineStr">
        <is>
          <t>Complete</t>
        </is>
      </c>
      <c r="N24" s="1" t="inlineStr">
        <is>
          <t>S. Vitale</t>
        </is>
      </c>
    </row>
    <row r="25">
      <c r="A25" s="1" t="inlineStr">
        <is>
          <t>TCE-SOW-2024-718</t>
        </is>
      </c>
      <c r="B25" s="1" t="inlineStr">
        <is>
          <t>Tamarack Electronics</t>
        </is>
      </c>
      <c r="C25" s="1" t="inlineStr">
        <is>
          <t>Tamarack SMT 2</t>
        </is>
      </c>
      <c r="D25" s="1" t="inlineStr">
        <is>
          <t>M50</t>
        </is>
      </c>
      <c r="E25" s="1" t="inlineStr">
        <is>
          <t>Network and warehouse-system integration complete</t>
        </is>
      </c>
      <c r="F25" s="2" t="n">
        <v>45918</v>
      </c>
      <c r="G25" s="2" t="n">
        <v>45952</v>
      </c>
      <c r="H25" s="1">
        <f>IF(G25="","",G25-F25)</f>
        <v/>
      </c>
      <c r="I25" s="1" t="inlineStr">
        <is>
          <t>Conditional acceptance letter with open punch list</t>
        </is>
      </c>
      <c r="J25" s="1" t="inlineStr">
        <is>
          <t>None</t>
        </is>
      </c>
      <c r="K25" s="1" t="n">
        <v>0</v>
      </c>
      <c r="L25" s="1" t="inlineStr">
        <is>
          <t>No</t>
        </is>
      </c>
      <c r="M25" s="1" t="inlineStr">
        <is>
          <t>Complete</t>
        </is>
      </c>
      <c r="N25" s="1" t="inlineStr">
        <is>
          <t>S. Vitale</t>
        </is>
      </c>
    </row>
    <row r="26">
      <c r="A26" s="1" t="inlineStr">
        <is>
          <t>EWP-SOW-2025-508</t>
        </is>
      </c>
      <c r="B26" s="1" t="inlineStr">
        <is>
          <t>Elmsworth Publishing</t>
        </is>
      </c>
      <c r="C26" s="1" t="inlineStr">
        <is>
          <t>Elmsworth Bindery</t>
        </is>
      </c>
      <c r="D26" s="1" t="inlineStr">
        <is>
          <t>M60</t>
        </is>
      </c>
      <c r="E26" s="1" t="inlineStr">
        <is>
          <t>Safety validation witnessed by customer</t>
        </is>
      </c>
      <c r="F26" s="2" t="n">
        <v>46059</v>
      </c>
      <c r="G26" s="2" t="n">
        <v>46064</v>
      </c>
      <c r="H26" s="1">
        <f>IF(G26="","",G26-F26)</f>
        <v/>
      </c>
      <c r="I26" s="1" t="inlineStr">
        <is>
          <t>Conditional acceptance letter with open punch list</t>
        </is>
      </c>
      <c r="J26" s="1" t="inlineStr">
        <is>
          <t>None</t>
        </is>
      </c>
      <c r="K26" s="1" t="n">
        <v>0</v>
      </c>
      <c r="L26" s="1" t="inlineStr">
        <is>
          <t>No</t>
        </is>
      </c>
      <c r="M26" s="1" t="inlineStr">
        <is>
          <t>Complete</t>
        </is>
      </c>
      <c r="N26" s="1" t="inlineStr">
        <is>
          <t>S. Vitale</t>
        </is>
      </c>
    </row>
    <row r="27">
      <c r="A27" s="1" t="inlineStr">
        <is>
          <t>WCD-SOW-2025-351</t>
        </is>
      </c>
      <c r="B27" s="1" t="inlineStr">
        <is>
          <t>Westlake Chemical Depot</t>
        </is>
      </c>
      <c r="C27" s="1" t="inlineStr">
        <is>
          <t>Westlake Tank 6</t>
        </is>
      </c>
      <c r="D27" s="1" t="inlineStr">
        <is>
          <t>M70</t>
        </is>
      </c>
      <c r="E27" s="1" t="inlineStr">
        <is>
          <t>Pilot cell operating at contracted throughput</t>
        </is>
      </c>
      <c r="F27" s="2" t="n">
        <v>46037</v>
      </c>
      <c r="G27" s="2" t="n">
        <v>46037</v>
      </c>
      <c r="H27" s="1">
        <f>IF(G27="","",G27-F27)</f>
        <v/>
      </c>
      <c r="I27" s="1" t="inlineStr">
        <is>
          <t>Training attendance register</t>
        </is>
      </c>
      <c r="J27" s="1" t="inlineStr">
        <is>
          <t>20 percent on pilot</t>
        </is>
      </c>
      <c r="K27" s="1" t="n">
        <v>385400.07</v>
      </c>
      <c r="L27" s="1" t="inlineStr">
        <is>
          <t>Yes</t>
        </is>
      </c>
      <c r="M27" s="1" t="inlineStr">
        <is>
          <t>Complete</t>
        </is>
      </c>
      <c r="N27" s="1" t="inlineStr">
        <is>
          <t>J. Alvarez</t>
        </is>
      </c>
    </row>
    <row r="28">
      <c r="A28" s="1" t="inlineStr">
        <is>
          <t>SRR-SOW-2024-868</t>
        </is>
      </c>
      <c r="B28" s="1" t="inlineStr">
        <is>
          <t>Summit Ridge Retail</t>
        </is>
      </c>
      <c r="C28" s="1" t="inlineStr">
        <is>
          <t>Summit RDC</t>
        </is>
      </c>
      <c r="D28" s="1" t="inlineStr">
        <is>
          <t>M80</t>
        </is>
      </c>
      <c r="E28" s="1" t="inlineStr">
        <is>
          <t>Operator training delivered and signed off</t>
        </is>
      </c>
      <c r="F28" s="2" t="n">
        <v>45832</v>
      </c>
      <c r="G28" s="1" t="inlineStr"/>
      <c r="H28" s="1">
        <f>IF(G28="","",G28-F28)</f>
        <v/>
      </c>
      <c r="I28" s="1" t="inlineStr">
        <is>
          <t>No evidence located; open request with the account team</t>
        </is>
      </c>
      <c r="J28" s="1" t="inlineStr">
        <is>
          <t>None</t>
        </is>
      </c>
      <c r="K28" s="1" t="n">
        <v>0</v>
      </c>
      <c r="L28" s="1" t="inlineStr">
        <is>
          <t>No</t>
        </is>
      </c>
      <c r="M28" s="1" t="inlineStr">
        <is>
          <t>Planned</t>
        </is>
      </c>
      <c r="N28" s="1" t="inlineStr">
        <is>
          <t>F. Lindstrom</t>
        </is>
      </c>
    </row>
    <row r="29">
      <c r="A29" s="1" t="inlineStr">
        <is>
          <t>ABT-SOW-2024-344</t>
        </is>
      </c>
      <c r="B29" s="1" t="inlineStr">
        <is>
          <t>Alderbrook Textiles</t>
        </is>
      </c>
      <c r="C29" s="1" t="inlineStr">
        <is>
          <t>Alderbrook Loom 1</t>
        </is>
      </c>
      <c r="D29" s="1" t="inlineStr">
        <is>
          <t>M90</t>
        </is>
      </c>
      <c r="E29" s="1" t="inlineStr">
        <is>
          <t>Customer acceptance certificate countersigned</t>
        </is>
      </c>
      <c r="F29" s="2" t="n">
        <v>46094</v>
      </c>
      <c r="G29" s="1" t="inlineStr"/>
      <c r="H29" s="1">
        <f>IF(G29="","",G29-F29)</f>
        <v/>
      </c>
      <c r="I29" s="1" t="inlineStr">
        <is>
          <t>No evidence located; open request with the account team</t>
        </is>
      </c>
      <c r="J29" s="1" t="inlineStr">
        <is>
          <t>20 percent on acceptance</t>
        </is>
      </c>
      <c r="K29" s="1" t="n">
        <v>170871.78</v>
      </c>
      <c r="L29" s="1" t="inlineStr">
        <is>
          <t>No</t>
        </is>
      </c>
      <c r="M29" s="1" t="inlineStr">
        <is>
          <t>In progress</t>
        </is>
      </c>
      <c r="N29" s="1" t="inlineStr">
        <is>
          <t>H. Ferrand</t>
        </is>
      </c>
    </row>
    <row r="30">
      <c r="A30" s="1" t="inlineStr">
        <is>
          <t>TCE-SOW-2026-614</t>
        </is>
      </c>
      <c r="B30" s="1" t="inlineStr">
        <is>
          <t>Tamarack Electronics</t>
        </is>
      </c>
      <c r="C30" s="1" t="inlineStr">
        <is>
          <t>Tamarack SMT 2</t>
        </is>
      </c>
      <c r="D30" s="1" t="inlineStr">
        <is>
          <t>M95</t>
        </is>
      </c>
      <c r="E30" s="1" t="inlineStr">
        <is>
          <t>Warranty commencement recorded</t>
        </is>
      </c>
      <c r="F30" s="2" t="n">
        <v>46030</v>
      </c>
      <c r="G30" s="2" t="n">
        <v>46038</v>
      </c>
      <c r="H30" s="1">
        <f>IF(G30="","",G30-F30)</f>
        <v/>
      </c>
      <c r="I30" s="1" t="inlineStr">
        <is>
          <t>Conditional acceptance letter with open punch list</t>
        </is>
      </c>
      <c r="J30" s="1" t="inlineStr">
        <is>
          <t>None</t>
        </is>
      </c>
      <c r="K30" s="1" t="n">
        <v>0</v>
      </c>
      <c r="L30" s="1" t="inlineStr">
        <is>
          <t>No</t>
        </is>
      </c>
      <c r="M30" s="1" t="inlineStr">
        <is>
          <t>Conditionally accepted</t>
        </is>
      </c>
      <c r="N30" s="1" t="inlineStr">
        <is>
          <t>S. Vitale</t>
        </is>
      </c>
    </row>
    <row r="31">
      <c r="A31" s="1" t="inlineStr">
        <is>
          <t>HLS-SOW-2026-411</t>
        </is>
      </c>
      <c r="B31" s="1" t="inlineStr">
        <is>
          <t>Harborline Systems</t>
        </is>
      </c>
      <c r="C31" s="1" t="inlineStr">
        <is>
          <t>Harborline Pier 9</t>
        </is>
      </c>
      <c r="D31" s="1" t="inlineStr">
        <is>
          <t>M10</t>
        </is>
      </c>
      <c r="E31" s="1" t="inlineStr">
        <is>
          <t>Contract signature and order acknowledgement</t>
        </is>
      </c>
      <c r="F31" s="2" t="n">
        <v>45845</v>
      </c>
      <c r="G31" s="1" t="inlineStr"/>
      <c r="H31" s="1">
        <f>IF(G31="","",G31-F31)</f>
        <v/>
      </c>
      <c r="I31" s="1" t="inlineStr">
        <is>
          <t>No evidence located; open request with the account team</t>
        </is>
      </c>
      <c r="J31" s="1" t="inlineStr">
        <is>
          <t>20 percent on signature</t>
        </is>
      </c>
      <c r="K31" s="1" t="n">
        <v>476111.06</v>
      </c>
      <c r="L31" s="1" t="inlineStr">
        <is>
          <t>No</t>
        </is>
      </c>
      <c r="M31" s="1" t="inlineStr">
        <is>
          <t>In progress</t>
        </is>
      </c>
      <c r="N31" s="1" t="inlineStr">
        <is>
          <t>F. Lindstrom</t>
        </is>
      </c>
    </row>
    <row r="32">
      <c r="A32" s="1" t="inlineStr">
        <is>
          <t>RWO-SOW-2024-410</t>
        </is>
      </c>
      <c r="B32" s="1" t="inlineStr">
        <is>
          <t>Redwood Optics</t>
        </is>
      </c>
      <c r="C32" s="1" t="inlineStr">
        <is>
          <t>Redwood Clean 3</t>
        </is>
      </c>
      <c r="D32" s="1" t="inlineStr">
        <is>
          <t>M20</t>
        </is>
      </c>
      <c r="E32" s="1" t="inlineStr">
        <is>
          <t>Site survey complete and layout approved</t>
        </is>
      </c>
      <c r="F32" s="2" t="n">
        <v>45814</v>
      </c>
      <c r="G32" s="1" t="inlineStr"/>
      <c r="H32" s="1">
        <f>IF(G32="","",G32-F32)</f>
        <v/>
      </c>
      <c r="I32" s="1" t="inlineStr">
        <is>
          <t>No evidence located; open request with the account team</t>
        </is>
      </c>
      <c r="J32" s="1" t="inlineStr">
        <is>
          <t>None</t>
        </is>
      </c>
      <c r="K32" s="1" t="n">
        <v>0</v>
      </c>
      <c r="L32" s="1" t="inlineStr">
        <is>
          <t>No</t>
        </is>
      </c>
      <c r="M32" s="1" t="inlineStr">
        <is>
          <t>Blocked on customer</t>
        </is>
      </c>
      <c r="N32" s="1" t="inlineStr">
        <is>
          <t>B. Ng</t>
        </is>
      </c>
    </row>
    <row r="33">
      <c r="A33" s="1" t="inlineStr">
        <is>
          <t>ABT-SOW-2025-418</t>
        </is>
      </c>
      <c r="B33" s="1" t="inlineStr">
        <is>
          <t>Alderbrook Textiles</t>
        </is>
      </c>
      <c r="C33" s="1" t="inlineStr">
        <is>
          <t>Alderbrook Loom 1</t>
        </is>
      </c>
      <c r="D33" s="1" t="inlineStr">
        <is>
          <t>M30</t>
        </is>
      </c>
      <c r="E33" s="1" t="inlineStr">
        <is>
          <t>Hardware shipped to site</t>
        </is>
      </c>
      <c r="F33" s="2" t="n">
        <v>45898</v>
      </c>
      <c r="G33" s="2" t="n">
        <v>45916</v>
      </c>
      <c r="H33" s="1">
        <f>IF(G33="","",G33-F33)</f>
        <v/>
      </c>
      <c r="I33" s="1" t="inlineStr">
        <is>
          <t>Conditional acceptance letter with open punch list</t>
        </is>
      </c>
      <c r="J33" s="1" t="inlineStr">
        <is>
          <t>40 percent on shipment</t>
        </is>
      </c>
      <c r="K33" s="1" t="n">
        <v>74429.7</v>
      </c>
      <c r="L33" s="1" t="inlineStr">
        <is>
          <t>No</t>
        </is>
      </c>
      <c r="M33" s="1" t="inlineStr">
        <is>
          <t>Deferred at customer request</t>
        </is>
      </c>
      <c r="N33" s="1" t="inlineStr">
        <is>
          <t>J. Alvarez</t>
        </is>
      </c>
    </row>
    <row r="34">
      <c r="A34" s="1" t="inlineStr">
        <is>
          <t>KPP-SOW-2025-561</t>
        </is>
      </c>
      <c r="B34" s="1" t="inlineStr">
        <is>
          <t>Keystone Paper &amp; Pack</t>
        </is>
      </c>
      <c r="C34" s="1" t="inlineStr">
        <is>
          <t>Keystone Mill 3</t>
        </is>
      </c>
      <c r="D34" s="1" t="inlineStr">
        <is>
          <t>M40</t>
        </is>
      </c>
      <c r="E34" s="1" t="inlineStr">
        <is>
          <t>Mechanical installation complete</t>
        </is>
      </c>
      <c r="F34" s="2" t="n">
        <v>46115</v>
      </c>
      <c r="G34" s="2" t="n">
        <v>46133</v>
      </c>
      <c r="H34" s="1">
        <f>IF(G34="","",G34-F34)</f>
        <v/>
      </c>
      <c r="I34" s="1" t="inlineStr">
        <is>
          <t>Training attendance register</t>
        </is>
      </c>
      <c r="J34" s="1" t="inlineStr">
        <is>
          <t>None</t>
        </is>
      </c>
      <c r="K34" s="1" t="n">
        <v>0</v>
      </c>
      <c r="L34" s="1" t="inlineStr">
        <is>
          <t>No</t>
        </is>
      </c>
      <c r="M34" s="1" t="inlineStr">
        <is>
          <t>Complete</t>
        </is>
      </c>
      <c r="N34" s="1" t="inlineStr">
        <is>
          <t>H. Ferrand</t>
        </is>
      </c>
    </row>
    <row r="35">
      <c r="A35" s="1" t="inlineStr">
        <is>
          <t>FTM-SOW-2024-633</t>
        </is>
      </c>
      <c r="B35" s="1" t="inlineStr">
        <is>
          <t>Fathom Mobility</t>
        </is>
      </c>
      <c r="C35" s="1" t="inlineStr">
        <is>
          <t>Fathom Line A</t>
        </is>
      </c>
      <c r="D35" s="1" t="inlineStr">
        <is>
          <t>M50</t>
        </is>
      </c>
      <c r="E35" s="1" t="inlineStr">
        <is>
          <t>Network and warehouse-system integration complete</t>
        </is>
      </c>
      <c r="F35" s="2" t="n">
        <v>46087</v>
      </c>
      <c r="G35" s="1" t="inlineStr"/>
      <c r="H35" s="1">
        <f>IF(G35="","",G35-F35)</f>
        <v/>
      </c>
      <c r="I35" s="1" t="inlineStr">
        <is>
          <t>No evidence located; open request with the account team</t>
        </is>
      </c>
      <c r="J35" s="1" t="inlineStr">
        <is>
          <t>None</t>
        </is>
      </c>
      <c r="K35" s="1" t="n">
        <v>0</v>
      </c>
      <c r="L35" s="1" t="inlineStr">
        <is>
          <t>No</t>
        </is>
      </c>
      <c r="M35" s="1" t="inlineStr">
        <is>
          <t>Planned</t>
        </is>
      </c>
      <c r="N35" s="1" t="inlineStr">
        <is>
          <t>B. Ng</t>
        </is>
      </c>
    </row>
    <row r="36">
      <c r="A36" s="1" t="inlineStr">
        <is>
          <t>VRS-SOW-2026-589</t>
        </is>
      </c>
      <c r="B36" s="1" t="inlineStr">
        <is>
          <t>Vantage Robotics Supply</t>
        </is>
      </c>
      <c r="C36" s="1" t="inlineStr">
        <is>
          <t>Vantage Depot</t>
        </is>
      </c>
      <c r="D36" s="1" t="inlineStr">
        <is>
          <t>M60</t>
        </is>
      </c>
      <c r="E36" s="1" t="inlineStr">
        <is>
          <t>Safety validation witnessed by customer</t>
        </is>
      </c>
      <c r="F36" s="2" t="n">
        <v>46031</v>
      </c>
      <c r="G36" s="1" t="inlineStr"/>
      <c r="H36" s="1">
        <f>IF(G36="","",G36-F36)</f>
        <v/>
      </c>
      <c r="I36" s="1" t="inlineStr">
        <is>
          <t>No evidence located; open request with the account team</t>
        </is>
      </c>
      <c r="J36" s="1" t="inlineStr">
        <is>
          <t>None</t>
        </is>
      </c>
      <c r="K36" s="1" t="n">
        <v>0</v>
      </c>
      <c r="L36" s="1" t="inlineStr">
        <is>
          <t>No</t>
        </is>
      </c>
      <c r="M36" s="1" t="inlineStr">
        <is>
          <t>Blocked on customer</t>
        </is>
      </c>
      <c r="N36" s="1" t="inlineStr">
        <is>
          <t>B. Ng</t>
        </is>
      </c>
    </row>
    <row r="37">
      <c r="A37" s="1" t="inlineStr">
        <is>
          <t>IVG-SOW-2026-761</t>
        </is>
      </c>
      <c r="B37" s="1" t="inlineStr">
        <is>
          <t>Ironvale Grocery Group</t>
        </is>
      </c>
      <c r="C37" s="1" t="inlineStr">
        <is>
          <t>Ironvale RDC</t>
        </is>
      </c>
      <c r="D37" s="1" t="inlineStr">
        <is>
          <t>M70</t>
        </is>
      </c>
      <c r="E37" s="1" t="inlineStr">
        <is>
          <t>Pilot cell operating at contracted throughput</t>
        </is>
      </c>
      <c r="F37" s="2" t="n">
        <v>46126</v>
      </c>
      <c r="G37" s="2" t="n">
        <v>46135</v>
      </c>
      <c r="H37" s="1">
        <f>IF(G37="","",G37-F37)</f>
        <v/>
      </c>
      <c r="I37" s="1" t="inlineStr">
        <is>
          <t>Countersigned acceptance certificate</t>
        </is>
      </c>
      <c r="J37" s="1" t="inlineStr">
        <is>
          <t>20 percent on pilot</t>
        </is>
      </c>
      <c r="K37" s="1" t="n">
        <v>458480.93</v>
      </c>
      <c r="L37" s="1" t="inlineStr">
        <is>
          <t>No</t>
        </is>
      </c>
      <c r="M37" s="1" t="inlineStr">
        <is>
          <t>Conditionally accepted</t>
        </is>
      </c>
      <c r="N37" s="1" t="inlineStr">
        <is>
          <t>H. Ferrand</t>
        </is>
      </c>
    </row>
    <row r="38">
      <c r="A38" s="1" t="inlineStr">
        <is>
          <t>DGC-SOW-2025-699</t>
        </is>
      </c>
      <c r="B38" s="1" t="inlineStr">
        <is>
          <t>Dorsey Grain Cooperative</t>
        </is>
      </c>
      <c r="C38" s="1" t="inlineStr">
        <is>
          <t>Dorsey Elevator 2</t>
        </is>
      </c>
      <c r="D38" s="1" t="inlineStr">
        <is>
          <t>M80</t>
        </is>
      </c>
      <c r="E38" s="1" t="inlineStr">
        <is>
          <t>Operator training delivered and signed off</t>
        </is>
      </c>
      <c r="F38" s="2" t="n">
        <v>45924</v>
      </c>
      <c r="G38" s="1" t="inlineStr"/>
      <c r="H38" s="1">
        <f>IF(G38="","",G38-F38)</f>
        <v/>
      </c>
      <c r="I38" s="1" t="inlineStr">
        <is>
          <t>No evidence located; open request with the account team</t>
        </is>
      </c>
      <c r="J38" s="1" t="inlineStr">
        <is>
          <t>None</t>
        </is>
      </c>
      <c r="K38" s="1" t="n">
        <v>0</v>
      </c>
      <c r="L38" s="1" t="inlineStr">
        <is>
          <t>No</t>
        </is>
      </c>
      <c r="M38" s="1" t="inlineStr">
        <is>
          <t>Blocked on customer</t>
        </is>
      </c>
      <c r="N38" s="1" t="inlineStr">
        <is>
          <t>S. Vitale</t>
        </is>
      </c>
    </row>
    <row r="39">
      <c r="A39" s="1" t="inlineStr">
        <is>
          <t>LKA-SOW-2024-568</t>
        </is>
      </c>
      <c r="B39" s="1" t="inlineStr">
        <is>
          <t>Larkspur Apparel</t>
        </is>
      </c>
      <c r="C39" s="1" t="inlineStr">
        <is>
          <t>Larkspur FC2</t>
        </is>
      </c>
      <c r="D39" s="1" t="inlineStr">
        <is>
          <t>M90</t>
        </is>
      </c>
      <c r="E39" s="1" t="inlineStr">
        <is>
          <t>Customer acceptance certificate countersigned</t>
        </is>
      </c>
      <c r="F39" s="2" t="n">
        <v>46139</v>
      </c>
      <c r="G39" s="2" t="n">
        <v>46157</v>
      </c>
      <c r="H39" s="1">
        <f>IF(G39="","",G39-F39)</f>
        <v/>
      </c>
      <c r="I39" s="1" t="inlineStr">
        <is>
          <t>Site sign-off form with throughput log attached</t>
        </is>
      </c>
      <c r="J39" s="1" t="inlineStr">
        <is>
          <t>20 percent on acceptance</t>
        </is>
      </c>
      <c r="K39" s="1" t="n">
        <v>293101.96</v>
      </c>
      <c r="L39" s="1" t="inlineStr">
        <is>
          <t>Yes</t>
        </is>
      </c>
      <c r="M39" s="1" t="inlineStr">
        <is>
          <t>Complete</t>
        </is>
      </c>
      <c r="N39" s="1" t="inlineStr">
        <is>
          <t>F. Lindstrom</t>
        </is>
      </c>
    </row>
    <row r="40">
      <c r="A40" s="1" t="inlineStr">
        <is>
          <t>YHG-SOW-2025-347</t>
        </is>
      </c>
      <c r="B40" s="1" t="inlineStr">
        <is>
          <t>Yarrow Home Goods</t>
        </is>
      </c>
      <c r="C40" s="1" t="inlineStr">
        <is>
          <t>Yarrow FC3</t>
        </is>
      </c>
      <c r="D40" s="1" t="inlineStr">
        <is>
          <t>M95</t>
        </is>
      </c>
      <c r="E40" s="1" t="inlineStr">
        <is>
          <t>Warranty commencement recorded</t>
        </is>
      </c>
      <c r="F40" s="2" t="n">
        <v>45932</v>
      </c>
      <c r="G40" s="1" t="inlineStr"/>
      <c r="H40" s="1">
        <f>IF(G40="","",G40-F40)</f>
        <v/>
      </c>
      <c r="I40" s="1" t="inlineStr">
        <is>
          <t>No evidence located; open request with the account team</t>
        </is>
      </c>
      <c r="J40" s="1" t="inlineStr">
        <is>
          <t>None</t>
        </is>
      </c>
      <c r="K40" s="1" t="n">
        <v>0</v>
      </c>
      <c r="L40" s="1" t="inlineStr">
        <is>
          <t>No</t>
        </is>
      </c>
      <c r="M40" s="1" t="inlineStr">
        <is>
          <t>Blocked on customer</t>
        </is>
      </c>
      <c r="N40" s="1" t="inlineStr">
        <is>
          <t>J. Alvarez</t>
        </is>
      </c>
    </row>
    <row r="41">
      <c r="A41" s="1" t="inlineStr">
        <is>
          <t>YHG-SOW-2024-262</t>
        </is>
      </c>
      <c r="B41" s="1" t="inlineStr">
        <is>
          <t>Yarrow Home Goods</t>
        </is>
      </c>
      <c r="C41" s="1" t="inlineStr">
        <is>
          <t>Yarrow FC3</t>
        </is>
      </c>
      <c r="D41" s="1" t="inlineStr">
        <is>
          <t>M10</t>
        </is>
      </c>
      <c r="E41" s="1" t="inlineStr">
        <is>
          <t>Contract signature and order acknowledgement</t>
        </is>
      </c>
      <c r="F41" s="2" t="n">
        <v>45715</v>
      </c>
      <c r="G41" s="1" t="inlineStr"/>
      <c r="H41" s="1">
        <f>IF(G41="","",G41-F41)</f>
        <v/>
      </c>
      <c r="I41" s="1" t="inlineStr">
        <is>
          <t>No evidence located; open request with the account team</t>
        </is>
      </c>
      <c r="J41" s="1" t="inlineStr">
        <is>
          <t>20 percent on signature</t>
        </is>
      </c>
      <c r="K41" s="1" t="n">
        <v>103494.38</v>
      </c>
      <c r="L41" s="1" t="inlineStr">
        <is>
          <t>No</t>
        </is>
      </c>
      <c r="M41" s="1" t="inlineStr">
        <is>
          <t>In progress</t>
        </is>
      </c>
      <c r="N41" s="1" t="inlineStr">
        <is>
          <t>S. Vitale</t>
        </is>
      </c>
    </row>
    <row r="42">
      <c r="A42" s="1" t="inlineStr">
        <is>
          <t>BMC-SOW-2025-505</t>
        </is>
      </c>
      <c r="B42" s="1" t="inlineStr">
        <is>
          <t>Blue Mesa Components</t>
        </is>
      </c>
      <c r="C42" s="1" t="inlineStr">
        <is>
          <t>Mesa Plant 2</t>
        </is>
      </c>
      <c r="D42" s="1" t="inlineStr">
        <is>
          <t>M20</t>
        </is>
      </c>
      <c r="E42" s="1" t="inlineStr">
        <is>
          <t>Site survey complete and layout approved</t>
        </is>
      </c>
      <c r="F42" s="2" t="n">
        <v>46122</v>
      </c>
      <c r="G42" s="2" t="n">
        <v>46118</v>
      </c>
      <c r="H42" s="1">
        <f>IF(G42="","",G42-F42)</f>
        <v/>
      </c>
      <c r="I42" s="1" t="inlineStr">
        <is>
          <t>Customer email confirmation retained in the deployment file</t>
        </is>
      </c>
      <c r="J42" s="1" t="inlineStr">
        <is>
          <t>None</t>
        </is>
      </c>
      <c r="K42" s="1" t="n">
        <v>0</v>
      </c>
      <c r="L42" s="1" t="inlineStr">
        <is>
          <t>No</t>
        </is>
      </c>
      <c r="M42" s="1" t="inlineStr">
        <is>
          <t>Complete</t>
        </is>
      </c>
      <c r="N42" s="1" t="inlineStr">
        <is>
          <t>J. Alvarez</t>
        </is>
      </c>
    </row>
    <row r="43">
      <c r="A43" s="1" t="inlineStr">
        <is>
          <t>LKA-SOW-2024-917</t>
        </is>
      </c>
      <c r="B43" s="1" t="inlineStr">
        <is>
          <t>Larkspur Apparel</t>
        </is>
      </c>
      <c r="C43" s="1" t="inlineStr">
        <is>
          <t>Larkspur FC2</t>
        </is>
      </c>
      <c r="D43" s="1" t="inlineStr">
        <is>
          <t>M30</t>
        </is>
      </c>
      <c r="E43" s="1" t="inlineStr">
        <is>
          <t>Hardware shipped to site</t>
        </is>
      </c>
      <c r="F43" s="2" t="n">
        <v>46155</v>
      </c>
      <c r="G43" s="1" t="inlineStr"/>
      <c r="H43" s="1">
        <f>IF(G43="","",G43-F43)</f>
        <v/>
      </c>
      <c r="I43" s="1" t="inlineStr">
        <is>
          <t>No evidence located; open request with the account team</t>
        </is>
      </c>
      <c r="J43" s="1" t="inlineStr">
        <is>
          <t>40 percent on shipment</t>
        </is>
      </c>
      <c r="K43" s="1" t="n">
        <v>162054.76</v>
      </c>
      <c r="L43" s="1" t="inlineStr">
        <is>
          <t>No</t>
        </is>
      </c>
      <c r="M43" s="1" t="inlineStr">
        <is>
          <t>Planned</t>
        </is>
      </c>
      <c r="N43" s="1" t="inlineStr">
        <is>
          <t>B. Ng</t>
        </is>
      </c>
    </row>
    <row r="44">
      <c r="A44" s="1" t="inlineStr">
        <is>
          <t>JHS-SOW-2024-722</t>
        </is>
      </c>
      <c r="B44" s="1" t="inlineStr">
        <is>
          <t>Juniper Health Supply</t>
        </is>
      </c>
      <c r="C44" s="1" t="inlineStr">
        <is>
          <t>Juniper Sterile 1</t>
        </is>
      </c>
      <c r="D44" s="1" t="inlineStr">
        <is>
          <t>M40</t>
        </is>
      </c>
      <c r="E44" s="1" t="inlineStr">
        <is>
          <t>Mechanical installation complete</t>
        </is>
      </c>
      <c r="F44" s="2" t="n">
        <v>45749</v>
      </c>
      <c r="G44" s="2" t="n">
        <v>45744</v>
      </c>
      <c r="H44" s="1">
        <f>IF(G44="","",G44-F44)</f>
        <v/>
      </c>
      <c r="I44" s="1" t="inlineStr">
        <is>
          <t>Customer email confirmation retained in the deployment file</t>
        </is>
      </c>
      <c r="J44" s="1" t="inlineStr">
        <is>
          <t>None</t>
        </is>
      </c>
      <c r="K44" s="1" t="n">
        <v>0</v>
      </c>
      <c r="L44" s="1" t="inlineStr">
        <is>
          <t>No</t>
        </is>
      </c>
      <c r="M44" s="1" t="inlineStr">
        <is>
          <t>Complete</t>
        </is>
      </c>
      <c r="N44" s="1" t="inlineStr">
        <is>
          <t>J. Alvarez</t>
        </is>
      </c>
    </row>
    <row r="45">
      <c r="A45" s="1" t="inlineStr">
        <is>
          <t>GPD-SOW-2025-170</t>
        </is>
      </c>
      <c r="B45" s="1" t="inlineStr">
        <is>
          <t>Granite Peak Distribution</t>
        </is>
      </c>
      <c r="C45" s="1" t="inlineStr">
        <is>
          <t>Granite Yard</t>
        </is>
      </c>
      <c r="D45" s="1" t="inlineStr">
        <is>
          <t>M50</t>
        </is>
      </c>
      <c r="E45" s="1" t="inlineStr">
        <is>
          <t>Network and warehouse-system integration complete</t>
        </is>
      </c>
      <c r="F45" s="2" t="n">
        <v>45931</v>
      </c>
      <c r="G45" s="2" t="n">
        <v>45965</v>
      </c>
      <c r="H45" s="1">
        <f>IF(G45="","",G45-F45)</f>
        <v/>
      </c>
      <c r="I45" s="1" t="inlineStr">
        <is>
          <t>Witnessed safety validation report</t>
        </is>
      </c>
      <c r="J45" s="1" t="inlineStr">
        <is>
          <t>None</t>
        </is>
      </c>
      <c r="K45" s="1" t="n">
        <v>0</v>
      </c>
      <c r="L45" s="1" t="inlineStr">
        <is>
          <t>No</t>
        </is>
      </c>
      <c r="M45" s="1" t="inlineStr">
        <is>
          <t>Complete</t>
        </is>
      </c>
      <c r="N45" s="1" t="inlineStr">
        <is>
          <t>B. Ng</t>
        </is>
      </c>
    </row>
    <row r="46">
      <c r="A46" s="1" t="inlineStr">
        <is>
          <t>VRS-SOW-2026-867</t>
        </is>
      </c>
      <c r="B46" s="1" t="inlineStr">
        <is>
          <t>Vantage Robotics Supply</t>
        </is>
      </c>
      <c r="C46" s="1" t="inlineStr">
        <is>
          <t>Vantage Depot</t>
        </is>
      </c>
      <c r="D46" s="1" t="inlineStr">
        <is>
          <t>M60</t>
        </is>
      </c>
      <c r="E46" s="1" t="inlineStr">
        <is>
          <t>Safety validation witnessed by customer</t>
        </is>
      </c>
      <c r="F46" s="2" t="n">
        <v>45775</v>
      </c>
      <c r="G46" s="2" t="n">
        <v>45777</v>
      </c>
      <c r="H46" s="1">
        <f>IF(G46="","",G46-F46)</f>
        <v/>
      </c>
      <c r="I46" s="1" t="inlineStr">
        <is>
          <t>Conditional acceptance letter with open punch list</t>
        </is>
      </c>
      <c r="J46" s="1" t="inlineStr">
        <is>
          <t>None</t>
        </is>
      </c>
      <c r="K46" s="1" t="n">
        <v>0</v>
      </c>
      <c r="L46" s="1" t="inlineStr">
        <is>
          <t>No</t>
        </is>
      </c>
      <c r="M46" s="1" t="inlineStr">
        <is>
          <t>Complete</t>
        </is>
      </c>
      <c r="N46" s="1" t="inlineStr">
        <is>
          <t>S. Vitale</t>
        </is>
      </c>
    </row>
    <row r="47">
      <c r="A47" s="1" t="inlineStr">
        <is>
          <t>RWO-SOW-2025-102</t>
        </is>
      </c>
      <c r="B47" s="1" t="inlineStr">
        <is>
          <t>Redwood Optics</t>
        </is>
      </c>
      <c r="C47" s="1" t="inlineStr">
        <is>
          <t>Redwood Clean 3</t>
        </is>
      </c>
      <c r="D47" s="1" t="inlineStr">
        <is>
          <t>M70</t>
        </is>
      </c>
      <c r="E47" s="1" t="inlineStr">
        <is>
          <t>Pilot cell operating at contracted throughput</t>
        </is>
      </c>
      <c r="F47" s="2" t="n">
        <v>46175</v>
      </c>
      <c r="G47" s="2" t="n">
        <v>46175</v>
      </c>
      <c r="H47" s="1">
        <f>IF(G47="","",G47-F47)</f>
        <v/>
      </c>
      <c r="I47" s="1" t="inlineStr">
        <is>
          <t>Site sign-off form with throughput log attached</t>
        </is>
      </c>
      <c r="J47" s="1" t="inlineStr">
        <is>
          <t>20 percent on pilot</t>
        </is>
      </c>
      <c r="K47" s="1" t="n">
        <v>76413.81</v>
      </c>
      <c r="L47" s="1" t="inlineStr">
        <is>
          <t>No</t>
        </is>
      </c>
      <c r="M47" s="1" t="inlineStr">
        <is>
          <t>Conditionally accepted</t>
        </is>
      </c>
      <c r="N47" s="1" t="inlineStr">
        <is>
          <t>B. Ng</t>
        </is>
      </c>
    </row>
    <row r="48">
      <c r="A48" s="1" t="inlineStr">
        <is>
          <t>WCD-SOW-2024-235</t>
        </is>
      </c>
      <c r="B48" s="1" t="inlineStr">
        <is>
          <t>Westlake Chemical Depot</t>
        </is>
      </c>
      <c r="C48" s="1" t="inlineStr">
        <is>
          <t>Westlake Tank 6</t>
        </is>
      </c>
      <c r="D48" s="1" t="inlineStr">
        <is>
          <t>M80</t>
        </is>
      </c>
      <c r="E48" s="1" t="inlineStr">
        <is>
          <t>Operator training delivered and signed off</t>
        </is>
      </c>
      <c r="F48" s="2" t="n">
        <v>45908</v>
      </c>
      <c r="G48" s="2" t="n">
        <v>45908</v>
      </c>
      <c r="H48" s="1">
        <f>IF(G48="","",G48-F48)</f>
        <v/>
      </c>
      <c r="I48" s="1" t="inlineStr">
        <is>
          <t>Conditional acceptance letter with open punch list</t>
        </is>
      </c>
      <c r="J48" s="1" t="inlineStr">
        <is>
          <t>None</t>
        </is>
      </c>
      <c r="K48" s="1" t="n">
        <v>0</v>
      </c>
      <c r="L48" s="1" t="inlineStr">
        <is>
          <t>No</t>
        </is>
      </c>
      <c r="M48" s="1" t="inlineStr">
        <is>
          <t>Complete</t>
        </is>
      </c>
      <c r="N48" s="1" t="inlineStr">
        <is>
          <t>B. Ng</t>
        </is>
      </c>
    </row>
    <row r="49">
      <c r="A49" s="1" t="inlineStr">
        <is>
          <t>HLS-SOW-2025-629</t>
        </is>
      </c>
      <c r="B49" s="1" t="inlineStr">
        <is>
          <t>Harborline Systems</t>
        </is>
      </c>
      <c r="C49" s="1" t="inlineStr">
        <is>
          <t>Harborline Pier 9</t>
        </is>
      </c>
      <c r="D49" s="1" t="inlineStr">
        <is>
          <t>M90</t>
        </is>
      </c>
      <c r="E49" s="1" t="inlineStr">
        <is>
          <t>Customer acceptance certificate countersigned</t>
        </is>
      </c>
      <c r="F49" s="2" t="n">
        <v>46099</v>
      </c>
      <c r="G49" s="1" t="inlineStr"/>
      <c r="H49" s="1">
        <f>IF(G49="","",G49-F49)</f>
        <v/>
      </c>
      <c r="I49" s="1" t="inlineStr">
        <is>
          <t>No evidence located; open request with the account team</t>
        </is>
      </c>
      <c r="J49" s="1" t="inlineStr">
        <is>
          <t>20 percent on acceptance</t>
        </is>
      </c>
      <c r="K49" s="1" t="n">
        <v>157450.31</v>
      </c>
      <c r="L49" s="1" t="inlineStr">
        <is>
          <t>No</t>
        </is>
      </c>
      <c r="M49" s="1" t="inlineStr">
        <is>
          <t>Planned</t>
        </is>
      </c>
      <c r="N49" s="1" t="inlineStr">
        <is>
          <t>J. Alvarez</t>
        </is>
      </c>
    </row>
    <row r="50">
      <c r="A50" s="1" t="inlineStr">
        <is>
          <t>CMS-SOW-2025-164</t>
        </is>
      </c>
      <c r="B50" s="1" t="inlineStr">
        <is>
          <t>Calder Marine Supply</t>
        </is>
      </c>
      <c r="C50" s="1" t="inlineStr">
        <is>
          <t>Calder Dock 3</t>
        </is>
      </c>
      <c r="D50" s="1" t="inlineStr">
        <is>
          <t>M95</t>
        </is>
      </c>
      <c r="E50" s="1" t="inlineStr">
        <is>
          <t>Warranty commencement recorded</t>
        </is>
      </c>
      <c r="F50" s="2" t="n">
        <v>45695</v>
      </c>
      <c r="G50" s="1" t="inlineStr"/>
      <c r="H50" s="1">
        <f>IF(G50="","",G50-F50)</f>
        <v/>
      </c>
      <c r="I50" s="1" t="inlineStr">
        <is>
          <t>No evidence located; open request with the account team</t>
        </is>
      </c>
      <c r="J50" s="1" t="inlineStr">
        <is>
          <t>None</t>
        </is>
      </c>
      <c r="K50" s="1" t="n">
        <v>0</v>
      </c>
      <c r="L50" s="1" t="inlineStr">
        <is>
          <t>No</t>
        </is>
      </c>
      <c r="M50" s="1" t="inlineStr">
        <is>
          <t>In progress</t>
        </is>
      </c>
      <c r="N50" s="1" t="inlineStr">
        <is>
          <t>B. Ng</t>
        </is>
      </c>
    </row>
    <row r="51">
      <c r="A51" s="1" t="inlineStr">
        <is>
          <t>ZAC-SOW-2025-567</t>
        </is>
      </c>
      <c r="B51" s="1" t="inlineStr">
        <is>
          <t>Zephyr Air Cargo</t>
        </is>
      </c>
      <c r="C51" s="1" t="inlineStr">
        <is>
          <t>Zephyr Ramp 2</t>
        </is>
      </c>
      <c r="D51" s="1" t="inlineStr">
        <is>
          <t>M10</t>
        </is>
      </c>
      <c r="E51" s="1" t="inlineStr">
        <is>
          <t>Contract signature and order acknowledgement</t>
        </is>
      </c>
      <c r="F51" s="2" t="n">
        <v>45737</v>
      </c>
      <c r="G51" s="2" t="n">
        <v>45742</v>
      </c>
      <c r="H51" s="1">
        <f>IF(G51="","",G51-F51)</f>
        <v/>
      </c>
      <c r="I51" s="1" t="inlineStr">
        <is>
          <t>Integration test report countersigned by customer IT</t>
        </is>
      </c>
      <c r="J51" s="1" t="inlineStr">
        <is>
          <t>20 percent on signature</t>
        </is>
      </c>
      <c r="K51" s="1" t="n">
        <v>262913.9</v>
      </c>
      <c r="L51" s="1" t="inlineStr">
        <is>
          <t>No</t>
        </is>
      </c>
      <c r="M51" s="1" t="inlineStr">
        <is>
          <t>Deferred at customer request</t>
        </is>
      </c>
      <c r="N51" s="1" t="inlineStr">
        <is>
          <t>B. Ng</t>
        </is>
      </c>
    </row>
    <row r="52">
      <c r="A52" s="1" t="inlineStr">
        <is>
          <t>TCE-SOW-2025-769</t>
        </is>
      </c>
      <c r="B52" s="1" t="inlineStr">
        <is>
          <t>Tamarack Electronics</t>
        </is>
      </c>
      <c r="C52" s="1" t="inlineStr">
        <is>
          <t>Tamarack SMT 2</t>
        </is>
      </c>
      <c r="D52" s="1" t="inlineStr">
        <is>
          <t>M20</t>
        </is>
      </c>
      <c r="E52" s="1" t="inlineStr">
        <is>
          <t>Site survey complete and layout approved</t>
        </is>
      </c>
      <c r="F52" s="2" t="n">
        <v>45713</v>
      </c>
      <c r="G52" s="2" t="n">
        <v>45713</v>
      </c>
      <c r="H52" s="1">
        <f>IF(G52="","",G52-F52)</f>
        <v/>
      </c>
      <c r="I52" s="1" t="inlineStr">
        <is>
          <t>Site sign-off form with throughput log attached</t>
        </is>
      </c>
      <c r="J52" s="1" t="inlineStr">
        <is>
          <t>None</t>
        </is>
      </c>
      <c r="K52" s="1" t="n">
        <v>0</v>
      </c>
      <c r="L52" s="1" t="inlineStr">
        <is>
          <t>No</t>
        </is>
      </c>
      <c r="M52" s="1" t="inlineStr">
        <is>
          <t>Conditionally accepted</t>
        </is>
      </c>
      <c r="N52" s="1" t="inlineStr">
        <is>
          <t>B. Ng</t>
        </is>
      </c>
    </row>
    <row r="53">
      <c r="A53" s="1" t="inlineStr">
        <is>
          <t>UVP-SOW-2026-958</t>
        </is>
      </c>
      <c r="B53" s="1" t="inlineStr">
        <is>
          <t>Union Vale Pharma</t>
        </is>
      </c>
      <c r="C53" s="1" t="inlineStr">
        <is>
          <t>Union Vale Vault</t>
        </is>
      </c>
      <c r="D53" s="1" t="inlineStr">
        <is>
          <t>M30</t>
        </is>
      </c>
      <c r="E53" s="1" t="inlineStr">
        <is>
          <t>Hardware shipped to site</t>
        </is>
      </c>
      <c r="F53" s="2" t="n">
        <v>45912</v>
      </c>
      <c r="G53" s="2" t="n">
        <v>45946</v>
      </c>
      <c r="H53" s="1">
        <f>IF(G53="","",G53-F53)</f>
        <v/>
      </c>
      <c r="I53" s="1" t="inlineStr">
        <is>
          <t>Training attendance register</t>
        </is>
      </c>
      <c r="J53" s="1" t="inlineStr">
        <is>
          <t>40 percent on shipment</t>
        </is>
      </c>
      <c r="K53" s="1" t="n">
        <v>52588.38</v>
      </c>
      <c r="L53" s="1" t="inlineStr">
        <is>
          <t>No</t>
        </is>
      </c>
      <c r="M53" s="1" t="inlineStr">
        <is>
          <t>Deferred at customer request</t>
        </is>
      </c>
      <c r="N53" s="1" t="inlineStr">
        <is>
          <t>J. Alvarez</t>
        </is>
      </c>
    </row>
    <row r="54">
      <c r="A54" s="1" t="inlineStr">
        <is>
          <t>IVG-SOW-2024-374</t>
        </is>
      </c>
      <c r="B54" s="1" t="inlineStr">
        <is>
          <t>Ironvale Grocery Group</t>
        </is>
      </c>
      <c r="C54" s="1" t="inlineStr">
        <is>
          <t>Ironvale RDC</t>
        </is>
      </c>
      <c r="D54" s="1" t="inlineStr">
        <is>
          <t>M40</t>
        </is>
      </c>
      <c r="E54" s="1" t="inlineStr">
        <is>
          <t>Mechanical installation complete</t>
        </is>
      </c>
      <c r="F54" s="2" t="n">
        <v>45881</v>
      </c>
      <c r="G54" s="1" t="inlineStr"/>
      <c r="H54" s="1">
        <f>IF(G54="","",G54-F54)</f>
        <v/>
      </c>
      <c r="I54" s="1" t="inlineStr">
        <is>
          <t>No evidence located; open request with the account team</t>
        </is>
      </c>
      <c r="J54" s="1" t="inlineStr">
        <is>
          <t>None</t>
        </is>
      </c>
      <c r="K54" s="1" t="n">
        <v>0</v>
      </c>
      <c r="L54" s="1" t="inlineStr">
        <is>
          <t>No</t>
        </is>
      </c>
      <c r="M54" s="1" t="inlineStr">
        <is>
          <t>In progress</t>
        </is>
      </c>
      <c r="N54" s="1" t="inlineStr">
        <is>
          <t>J. Alvarez</t>
        </is>
      </c>
    </row>
    <row r="55">
      <c r="A55" s="1" t="inlineStr">
        <is>
          <t>JHS-SOW-2025-578</t>
        </is>
      </c>
      <c r="B55" s="1" t="inlineStr">
        <is>
          <t>Juniper Health Supply</t>
        </is>
      </c>
      <c r="C55" s="1" t="inlineStr">
        <is>
          <t>Juniper Sterile 1</t>
        </is>
      </c>
      <c r="D55" s="1" t="inlineStr">
        <is>
          <t>M50</t>
        </is>
      </c>
      <c r="E55" s="1" t="inlineStr">
        <is>
          <t>Network and warehouse-system integration complete</t>
        </is>
      </c>
      <c r="F55" s="2" t="n">
        <v>46122</v>
      </c>
      <c r="G55" s="2" t="n">
        <v>46122</v>
      </c>
      <c r="H55" s="1">
        <f>IF(G55="","",G55-F55)</f>
        <v/>
      </c>
      <c r="I55" s="1" t="inlineStr">
        <is>
          <t>Witnessed safety validation report</t>
        </is>
      </c>
      <c r="J55" s="1" t="inlineStr">
        <is>
          <t>None</t>
        </is>
      </c>
      <c r="K55" s="1" t="n">
        <v>0</v>
      </c>
      <c r="L55" s="1" t="inlineStr">
        <is>
          <t>No</t>
        </is>
      </c>
      <c r="M55" s="1" t="inlineStr">
        <is>
          <t>Complete</t>
        </is>
      </c>
      <c r="N55" s="1" t="inlineStr">
        <is>
          <t>S. Vitale</t>
        </is>
      </c>
    </row>
    <row r="56">
      <c r="A56" s="1" t="inlineStr">
        <is>
          <t>ABT-SOW-2025-423</t>
        </is>
      </c>
      <c r="B56" s="1" t="inlineStr">
        <is>
          <t>Alderbrook Textiles</t>
        </is>
      </c>
      <c r="C56" s="1" t="inlineStr">
        <is>
          <t>Alderbrook Loom 1</t>
        </is>
      </c>
      <c r="D56" s="1" t="inlineStr">
        <is>
          <t>M60</t>
        </is>
      </c>
      <c r="E56" s="1" t="inlineStr">
        <is>
          <t>Safety validation witnessed by customer</t>
        </is>
      </c>
      <c r="F56" s="2" t="n">
        <v>46094</v>
      </c>
      <c r="G56" s="1" t="inlineStr"/>
      <c r="H56" s="1">
        <f>IF(G56="","",G56-F56)</f>
        <v/>
      </c>
      <c r="I56" s="1" t="inlineStr">
        <is>
          <t>No evidence located; open request with the account team</t>
        </is>
      </c>
      <c r="J56" s="1" t="inlineStr">
        <is>
          <t>None</t>
        </is>
      </c>
      <c r="K56" s="1" t="n">
        <v>0</v>
      </c>
      <c r="L56" s="1" t="inlineStr">
        <is>
          <t>No</t>
        </is>
      </c>
      <c r="M56" s="1" t="inlineStr">
        <is>
          <t>Planned</t>
        </is>
      </c>
      <c r="N56" s="1" t="inlineStr">
        <is>
          <t>F. Lindstrom</t>
        </is>
      </c>
    </row>
    <row r="57">
      <c r="A57" s="1" t="inlineStr">
        <is>
          <t>BMC-SOW-2024-340</t>
        </is>
      </c>
      <c r="B57" s="1" t="inlineStr">
        <is>
          <t>Blue Mesa Components</t>
        </is>
      </c>
      <c r="C57" s="1" t="inlineStr">
        <is>
          <t>Mesa Plant 2</t>
        </is>
      </c>
      <c r="D57" s="1" t="inlineStr">
        <is>
          <t>M70</t>
        </is>
      </c>
      <c r="E57" s="1" t="inlineStr">
        <is>
          <t>Pilot cell operating at contracted throughput</t>
        </is>
      </c>
      <c r="F57" s="2" t="n">
        <v>46133</v>
      </c>
      <c r="G57" s="1" t="inlineStr"/>
      <c r="H57" s="1">
        <f>IF(G57="","",G57-F57)</f>
        <v/>
      </c>
      <c r="I57" s="1" t="inlineStr">
        <is>
          <t>No evidence located; open request with the account team</t>
        </is>
      </c>
      <c r="J57" s="1" t="inlineStr">
        <is>
          <t>20 percent on pilot</t>
        </is>
      </c>
      <c r="K57" s="1" t="n">
        <v>422060.16</v>
      </c>
      <c r="L57" s="1" t="inlineStr">
        <is>
          <t>No</t>
        </is>
      </c>
      <c r="M57" s="1" t="inlineStr">
        <is>
          <t>In progress</t>
        </is>
      </c>
      <c r="N57" s="1" t="inlineStr">
        <is>
          <t>F. Lindstrom</t>
        </is>
      </c>
    </row>
    <row r="58">
      <c r="A58" s="1" t="inlineStr">
        <is>
          <t>UVP-SOW-2024-455</t>
        </is>
      </c>
      <c r="B58" s="1" t="inlineStr">
        <is>
          <t>Union Vale Pharma</t>
        </is>
      </c>
      <c r="C58" s="1" t="inlineStr">
        <is>
          <t>Union Vale Vault</t>
        </is>
      </c>
      <c r="D58" s="1" t="inlineStr">
        <is>
          <t>M80</t>
        </is>
      </c>
      <c r="E58" s="1" t="inlineStr">
        <is>
          <t>Operator training delivered and signed off</t>
        </is>
      </c>
      <c r="F58" s="2" t="n">
        <v>45727</v>
      </c>
      <c r="G58" s="2" t="n">
        <v>45744</v>
      </c>
      <c r="H58" s="1">
        <f>IF(G58="","",G58-F58)</f>
        <v/>
      </c>
      <c r="I58" s="1" t="inlineStr">
        <is>
          <t>Customer email confirmation retained in the deployment file</t>
        </is>
      </c>
      <c r="J58" s="1" t="inlineStr">
        <is>
          <t>None</t>
        </is>
      </c>
      <c r="K58" s="1" t="n">
        <v>0</v>
      </c>
      <c r="L58" s="1" t="inlineStr">
        <is>
          <t>No</t>
        </is>
      </c>
      <c r="M58" s="1" t="inlineStr">
        <is>
          <t>Conditionally accepted</t>
        </is>
      </c>
      <c r="N58" s="1" t="inlineStr">
        <is>
          <t>H. Ferrand</t>
        </is>
      </c>
    </row>
    <row r="59">
      <c r="A59" s="1" t="inlineStr">
        <is>
          <t>ABT-SOW-2026-343</t>
        </is>
      </c>
      <c r="B59" s="1" t="inlineStr">
        <is>
          <t>Alderbrook Textiles</t>
        </is>
      </c>
      <c r="C59" s="1" t="inlineStr">
        <is>
          <t>Alderbrook Loom 1</t>
        </is>
      </c>
      <c r="D59" s="1" t="inlineStr">
        <is>
          <t>M90</t>
        </is>
      </c>
      <c r="E59" s="1" t="inlineStr">
        <is>
          <t>Customer acceptance certificate countersigned</t>
        </is>
      </c>
      <c r="F59" s="2" t="n">
        <v>46135</v>
      </c>
      <c r="G59" s="2" t="n">
        <v>46129</v>
      </c>
      <c r="H59" s="1">
        <f>IF(G59="","",G59-F59)</f>
        <v/>
      </c>
      <c r="I59" s="1" t="inlineStr">
        <is>
          <t>Integration test report countersigned by customer IT</t>
        </is>
      </c>
      <c r="J59" s="1" t="inlineStr">
        <is>
          <t>20 percent on acceptance</t>
        </is>
      </c>
      <c r="K59" s="1" t="n">
        <v>137447.23</v>
      </c>
      <c r="L59" s="1" t="inlineStr">
        <is>
          <t>Yes</t>
        </is>
      </c>
      <c r="M59" s="1" t="inlineStr">
        <is>
          <t>Complete</t>
        </is>
      </c>
      <c r="N59" s="1" t="inlineStr">
        <is>
          <t>H. Ferrand</t>
        </is>
      </c>
    </row>
    <row r="60">
      <c r="A60" s="1" t="inlineStr">
        <is>
          <t>NFB-SOW-2024-739</t>
        </is>
      </c>
      <c r="B60" s="1" t="inlineStr">
        <is>
          <t>Northfield Beverage</t>
        </is>
      </c>
      <c r="C60" s="1" t="inlineStr">
        <is>
          <t>Northfield Line 5</t>
        </is>
      </c>
      <c r="D60" s="1" t="inlineStr">
        <is>
          <t>M95</t>
        </is>
      </c>
      <c r="E60" s="1" t="inlineStr">
        <is>
          <t>Warranty commencement recorded</t>
        </is>
      </c>
      <c r="F60" s="2" t="n">
        <v>46078</v>
      </c>
      <c r="G60" s="2" t="n">
        <v>46112</v>
      </c>
      <c r="H60" s="1">
        <f>IF(G60="","",G60-F60)</f>
        <v/>
      </c>
      <c r="I60" s="1" t="inlineStr">
        <is>
          <t>Witnessed safety validation report</t>
        </is>
      </c>
      <c r="J60" s="1" t="inlineStr">
        <is>
          <t>None</t>
        </is>
      </c>
      <c r="K60" s="1" t="n">
        <v>0</v>
      </c>
      <c r="L60" s="1" t="inlineStr">
        <is>
          <t>No</t>
        </is>
      </c>
      <c r="M60" s="1" t="inlineStr">
        <is>
          <t>Complete</t>
        </is>
      </c>
      <c r="N60" s="1" t="inlineStr">
        <is>
          <t>H. Ferrand</t>
        </is>
      </c>
    </row>
    <row r="61">
      <c r="A61" s="1" t="inlineStr">
        <is>
          <t>GPD-SOW-2024-785</t>
        </is>
      </c>
      <c r="B61" s="1" t="inlineStr">
        <is>
          <t>Granite Peak Distribution</t>
        </is>
      </c>
      <c r="C61" s="1" t="inlineStr">
        <is>
          <t>Granite Yard</t>
        </is>
      </c>
      <c r="D61" s="1" t="inlineStr">
        <is>
          <t>M10</t>
        </is>
      </c>
      <c r="E61" s="1" t="inlineStr">
        <is>
          <t>Contract signature and order acknowledgement</t>
        </is>
      </c>
      <c r="F61" s="2" t="n">
        <v>45807</v>
      </c>
      <c r="G61" s="2" t="n">
        <v>45814</v>
      </c>
      <c r="H61" s="1">
        <f>IF(G61="","",G61-F61)</f>
        <v/>
      </c>
      <c r="I61" s="1" t="inlineStr">
        <is>
          <t>Countersigned acceptance certificate</t>
        </is>
      </c>
      <c r="J61" s="1" t="inlineStr">
        <is>
          <t>20 percent on signature</t>
        </is>
      </c>
      <c r="K61" s="1" t="n">
        <v>364742.61</v>
      </c>
      <c r="L61" s="1" t="inlineStr">
        <is>
          <t>Yes</t>
        </is>
      </c>
      <c r="M61" s="1" t="inlineStr">
        <is>
          <t>Complete</t>
        </is>
      </c>
      <c r="N61" s="1" t="inlineStr">
        <is>
          <t>S. Vitale</t>
        </is>
      </c>
    </row>
    <row r="62">
      <c r="A62" s="1" t="inlineStr">
        <is>
          <t>OGF-SOW-2026-125</t>
        </is>
      </c>
      <c r="B62" s="1" t="inlineStr">
        <is>
          <t>Orchard Grove Foods</t>
        </is>
      </c>
      <c r="C62" s="1" t="inlineStr">
        <is>
          <t>Orchard Cold 2</t>
        </is>
      </c>
      <c r="D62" s="1" t="inlineStr">
        <is>
          <t>M20</t>
        </is>
      </c>
      <c r="E62" s="1" t="inlineStr">
        <is>
          <t>Site survey complete and layout approved</t>
        </is>
      </c>
      <c r="F62" s="2" t="n">
        <v>46101</v>
      </c>
      <c r="G62" s="2" t="n">
        <v>46135</v>
      </c>
      <c r="H62" s="1">
        <f>IF(G62="","",G62-F62)</f>
        <v/>
      </c>
      <c r="I62" s="1" t="inlineStr">
        <is>
          <t>Witnessed safety validation report</t>
        </is>
      </c>
      <c r="J62" s="1" t="inlineStr">
        <is>
          <t>None</t>
        </is>
      </c>
      <c r="K62" s="1" t="n">
        <v>0</v>
      </c>
      <c r="L62" s="1" t="inlineStr">
        <is>
          <t>No</t>
        </is>
      </c>
      <c r="M62" s="1" t="inlineStr">
        <is>
          <t>Deferred at customer request</t>
        </is>
      </c>
      <c r="N62" s="1" t="inlineStr">
        <is>
          <t>S. Vitale</t>
        </is>
      </c>
    </row>
    <row r="63">
      <c r="A63" s="1" t="inlineStr">
        <is>
          <t>HLS-SOW-2024-526</t>
        </is>
      </c>
      <c r="B63" s="1" t="inlineStr">
        <is>
          <t>Harborline Systems</t>
        </is>
      </c>
      <c r="C63" s="1" t="inlineStr">
        <is>
          <t>Harborline Pier 9</t>
        </is>
      </c>
      <c r="D63" s="1" t="inlineStr">
        <is>
          <t>M30</t>
        </is>
      </c>
      <c r="E63" s="1" t="inlineStr">
        <is>
          <t>Hardware shipped to site</t>
        </is>
      </c>
      <c r="F63" s="2" t="n">
        <v>45824</v>
      </c>
      <c r="G63" s="1" t="inlineStr"/>
      <c r="H63" s="1">
        <f>IF(G63="","",G63-F63)</f>
        <v/>
      </c>
      <c r="I63" s="1" t="inlineStr">
        <is>
          <t>No evidence located; open request with the account team</t>
        </is>
      </c>
      <c r="J63" s="1" t="inlineStr">
        <is>
          <t>40 percent on shipment</t>
        </is>
      </c>
      <c r="K63" s="1" t="n">
        <v>314441.42</v>
      </c>
      <c r="L63" s="1" t="inlineStr">
        <is>
          <t>No</t>
        </is>
      </c>
      <c r="M63" s="1" t="inlineStr">
        <is>
          <t>Planned</t>
        </is>
      </c>
      <c r="N63" s="1" t="inlineStr">
        <is>
          <t>F. Lindstrom</t>
        </is>
      </c>
    </row>
    <row r="64">
      <c r="A64" s="1" t="inlineStr">
        <is>
          <t>LKA-SOW-2025-676</t>
        </is>
      </c>
      <c r="B64" s="1" t="inlineStr">
        <is>
          <t>Larkspur Apparel</t>
        </is>
      </c>
      <c r="C64" s="1" t="inlineStr">
        <is>
          <t>Larkspur FC2</t>
        </is>
      </c>
      <c r="D64" s="1" t="inlineStr">
        <is>
          <t>M40</t>
        </is>
      </c>
      <c r="E64" s="1" t="inlineStr">
        <is>
          <t>Mechanical installation complete</t>
        </is>
      </c>
      <c r="F64" s="2" t="n">
        <v>45779</v>
      </c>
      <c r="G64" s="2" t="n">
        <v>45779</v>
      </c>
      <c r="H64" s="1">
        <f>IF(G64="","",G64-F64)</f>
        <v/>
      </c>
      <c r="I64" s="1" t="inlineStr">
        <is>
          <t>Customer email confirmation retained in the deployment file</t>
        </is>
      </c>
      <c r="J64" s="1" t="inlineStr">
        <is>
          <t>None</t>
        </is>
      </c>
      <c r="K64" s="1" t="n">
        <v>0</v>
      </c>
      <c r="L64" s="1" t="inlineStr">
        <is>
          <t>No</t>
        </is>
      </c>
      <c r="M64" s="1" t="inlineStr">
        <is>
          <t>Complete</t>
        </is>
      </c>
      <c r="N64" s="1" t="inlineStr">
        <is>
          <t>B. Ng</t>
        </is>
      </c>
    </row>
    <row r="65">
      <c r="A65" s="1" t="inlineStr">
        <is>
          <t>OGF-SOW-2024-138</t>
        </is>
      </c>
      <c r="B65" s="1" t="inlineStr">
        <is>
          <t>Orchard Grove Foods</t>
        </is>
      </c>
      <c r="C65" s="1" t="inlineStr">
        <is>
          <t>Orchard Cold 2</t>
        </is>
      </c>
      <c r="D65" s="1" t="inlineStr">
        <is>
          <t>M50</t>
        </is>
      </c>
      <c r="E65" s="1" t="inlineStr">
        <is>
          <t>Network and warehouse-system integration complete</t>
        </is>
      </c>
      <c r="F65" s="2" t="n">
        <v>46059</v>
      </c>
      <c r="G65" s="2" t="n">
        <v>46064</v>
      </c>
      <c r="H65" s="1">
        <f>IF(G65="","",G65-F65)</f>
        <v/>
      </c>
      <c r="I65" s="1" t="inlineStr">
        <is>
          <t>Training attendance register</t>
        </is>
      </c>
      <c r="J65" s="1" t="inlineStr">
        <is>
          <t>None</t>
        </is>
      </c>
      <c r="K65" s="1" t="n">
        <v>0</v>
      </c>
      <c r="L65" s="1" t="inlineStr">
        <is>
          <t>No</t>
        </is>
      </c>
      <c r="M65" s="1" t="inlineStr">
        <is>
          <t>Conditionally accepted</t>
        </is>
      </c>
      <c r="N65" s="1" t="inlineStr">
        <is>
          <t>S. Vitale</t>
        </is>
      </c>
    </row>
    <row r="66">
      <c r="A66" s="1" t="inlineStr">
        <is>
          <t>NFB-SOW-2024-869</t>
        </is>
      </c>
      <c r="B66" s="1" t="inlineStr">
        <is>
          <t>Northfield Beverage</t>
        </is>
      </c>
      <c r="C66" s="1" t="inlineStr">
        <is>
          <t>Northfield Line 5</t>
        </is>
      </c>
      <c r="D66" s="1" t="inlineStr">
        <is>
          <t>M60</t>
        </is>
      </c>
      <c r="E66" s="1" t="inlineStr">
        <is>
          <t>Safety validation witnessed by customer</t>
        </is>
      </c>
      <c r="F66" s="2" t="n">
        <v>45952</v>
      </c>
      <c r="G66" s="2" t="n">
        <v>45954</v>
      </c>
      <c r="H66" s="1">
        <f>IF(G66="","",G66-F66)</f>
        <v/>
      </c>
      <c r="I66" s="1" t="inlineStr">
        <is>
          <t>Integration test report countersigned by customer IT</t>
        </is>
      </c>
      <c r="J66" s="1" t="inlineStr">
        <is>
          <t>None</t>
        </is>
      </c>
      <c r="K66" s="1" t="n">
        <v>0</v>
      </c>
      <c r="L66" s="1" t="inlineStr">
        <is>
          <t>No</t>
        </is>
      </c>
      <c r="M66" s="1" t="inlineStr">
        <is>
          <t>Deferred at customer request</t>
        </is>
      </c>
      <c r="N66" s="1" t="inlineStr">
        <is>
          <t>F. Lindstrom</t>
        </is>
      </c>
    </row>
    <row r="67">
      <c r="A67" s="1" t="inlineStr">
        <is>
          <t>EWP-SOW-2024-768</t>
        </is>
      </c>
      <c r="B67" s="1" t="inlineStr">
        <is>
          <t>Elmsworth Publishing</t>
        </is>
      </c>
      <c r="C67" s="1" t="inlineStr">
        <is>
          <t>Elmsworth Bindery</t>
        </is>
      </c>
      <c r="D67" s="1" t="inlineStr">
        <is>
          <t>M70</t>
        </is>
      </c>
      <c r="E67" s="1" t="inlineStr">
        <is>
          <t>Pilot cell operating at contracted throughput</t>
        </is>
      </c>
      <c r="F67" s="2" t="n">
        <v>45706</v>
      </c>
      <c r="G67" s="2" t="n">
        <v>45709</v>
      </c>
      <c r="H67" s="1">
        <f>IF(G67="","",G67-F67)</f>
        <v/>
      </c>
      <c r="I67" s="1" t="inlineStr">
        <is>
          <t>Conditional acceptance letter with open punch list</t>
        </is>
      </c>
      <c r="J67" s="1" t="inlineStr">
        <is>
          <t>20 percent on pilot</t>
        </is>
      </c>
      <c r="K67" s="1" t="n">
        <v>470442.15</v>
      </c>
      <c r="L67" s="1" t="inlineStr">
        <is>
          <t>Yes</t>
        </is>
      </c>
      <c r="M67" s="1" t="inlineStr">
        <is>
          <t>Complete</t>
        </is>
      </c>
      <c r="N67" s="1" t="inlineStr">
        <is>
          <t>H. Ferrand</t>
        </is>
      </c>
    </row>
    <row r="68">
      <c r="A68" s="1" t="inlineStr">
        <is>
          <t>BWA-SOW-2024-915</t>
        </is>
      </c>
      <c r="B68" s="1" t="inlineStr">
        <is>
          <t>Bellweather Auto Group</t>
        </is>
      </c>
      <c r="C68" s="1" t="inlineStr">
        <is>
          <t>Bellweather PDC</t>
        </is>
      </c>
      <c r="D68" s="1" t="inlineStr">
        <is>
          <t>M80</t>
        </is>
      </c>
      <c r="E68" s="1" t="inlineStr">
        <is>
          <t>Operator training delivered and signed off</t>
        </is>
      </c>
      <c r="F68" s="2" t="n">
        <v>46182</v>
      </c>
      <c r="G68" s="1" t="inlineStr"/>
      <c r="H68" s="1">
        <f>IF(G68="","",G68-F68)</f>
        <v/>
      </c>
      <c r="I68" s="1" t="inlineStr">
        <is>
          <t>No evidence located; open request with the account team</t>
        </is>
      </c>
      <c r="J68" s="1" t="inlineStr">
        <is>
          <t>None</t>
        </is>
      </c>
      <c r="K68" s="1" t="n">
        <v>0</v>
      </c>
      <c r="L68" s="1" t="inlineStr">
        <is>
          <t>No</t>
        </is>
      </c>
      <c r="M68" s="1" t="inlineStr">
        <is>
          <t>Blocked on customer</t>
        </is>
      </c>
      <c r="N68" s="1" t="inlineStr">
        <is>
          <t>J. Alvarez</t>
        </is>
      </c>
    </row>
    <row r="69">
      <c r="A69" s="1" t="inlineStr">
        <is>
          <t>OGF-SOW-2024-736</t>
        </is>
      </c>
      <c r="B69" s="1" t="inlineStr">
        <is>
          <t>Orchard Grove Foods</t>
        </is>
      </c>
      <c r="C69" s="1" t="inlineStr">
        <is>
          <t>Orchard Cold 2</t>
        </is>
      </c>
      <c r="D69" s="1" t="inlineStr">
        <is>
          <t>M90</t>
        </is>
      </c>
      <c r="E69" s="1" t="inlineStr">
        <is>
          <t>Customer acceptance certificate countersigned</t>
        </is>
      </c>
      <c r="F69" s="2" t="n">
        <v>46129</v>
      </c>
      <c r="G69" s="1" t="inlineStr"/>
      <c r="H69" s="1">
        <f>IF(G69="","",G69-F69)</f>
        <v/>
      </c>
      <c r="I69" s="1" t="inlineStr">
        <is>
          <t>No evidence located; open request with the account team</t>
        </is>
      </c>
      <c r="J69" s="1" t="inlineStr">
        <is>
          <t>20 percent on acceptance</t>
        </is>
      </c>
      <c r="K69" s="1" t="n">
        <v>146552.13</v>
      </c>
      <c r="L69" s="1" t="inlineStr">
        <is>
          <t>No</t>
        </is>
      </c>
      <c r="M69" s="1" t="inlineStr">
        <is>
          <t>Blocked on customer</t>
        </is>
      </c>
      <c r="N69" s="1" t="inlineStr">
        <is>
          <t>H. Ferrand</t>
        </is>
      </c>
    </row>
    <row r="70">
      <c r="A70" s="1" t="inlineStr">
        <is>
          <t>RWO-SOW-2026-498</t>
        </is>
      </c>
      <c r="B70" s="1" t="inlineStr">
        <is>
          <t>Redwood Optics</t>
        </is>
      </c>
      <c r="C70" s="1" t="inlineStr">
        <is>
          <t>Redwood Clean 3</t>
        </is>
      </c>
      <c r="D70" s="1" t="inlineStr">
        <is>
          <t>M95</t>
        </is>
      </c>
      <c r="E70" s="1" t="inlineStr">
        <is>
          <t>Warranty commencement recorded</t>
        </is>
      </c>
      <c r="F70" s="2" t="n">
        <v>45982</v>
      </c>
      <c r="G70" s="2" t="n">
        <v>46016</v>
      </c>
      <c r="H70" s="1">
        <f>IF(G70="","",G70-F70)</f>
        <v/>
      </c>
      <c r="I70" s="1" t="inlineStr">
        <is>
          <t>Customer email confirmation retained in the deployment file</t>
        </is>
      </c>
      <c r="J70" s="1" t="inlineStr">
        <is>
          <t>None</t>
        </is>
      </c>
      <c r="K70" s="1" t="n">
        <v>0</v>
      </c>
      <c r="L70" s="1" t="inlineStr">
        <is>
          <t>No</t>
        </is>
      </c>
      <c r="M70" s="1" t="inlineStr">
        <is>
          <t>Deferred at customer request</t>
        </is>
      </c>
      <c r="N70" s="1" t="inlineStr">
        <is>
          <t>B. Ng</t>
        </is>
      </c>
    </row>
    <row r="71">
      <c r="A71" s="1" t="inlineStr">
        <is>
          <t>PFU-SOW-2024-582</t>
        </is>
      </c>
      <c r="B71" s="1" t="inlineStr">
        <is>
          <t>Pioneer Freight Union</t>
        </is>
      </c>
      <c r="C71" s="1" t="inlineStr">
        <is>
          <t>Pioneer Hub</t>
        </is>
      </c>
      <c r="D71" s="1" t="inlineStr">
        <is>
          <t>M10</t>
        </is>
      </c>
      <c r="E71" s="1" t="inlineStr">
        <is>
          <t>Contract signature and order acknowledgement</t>
        </is>
      </c>
      <c r="F71" s="2" t="n">
        <v>46189</v>
      </c>
      <c r="G71" s="2" t="n">
        <v>46223</v>
      </c>
      <c r="H71" s="1">
        <f>IF(G71="","",G71-F71)</f>
        <v/>
      </c>
      <c r="I71" s="1" t="inlineStr">
        <is>
          <t>Conditional acceptance letter with open punch list</t>
        </is>
      </c>
      <c r="J71" s="1" t="inlineStr">
        <is>
          <t>20 percent on signature</t>
        </is>
      </c>
      <c r="K71" s="1" t="n">
        <v>424033.11</v>
      </c>
      <c r="L71" s="1" t="inlineStr">
        <is>
          <t>Yes</t>
        </is>
      </c>
      <c r="M71" s="1" t="inlineStr">
        <is>
          <t>Complete</t>
        </is>
      </c>
      <c r="N71" s="1" t="inlineStr">
        <is>
          <t>H. Ferrand</t>
        </is>
      </c>
    </row>
    <row r="72">
      <c r="A72" s="1" t="inlineStr">
        <is>
          <t>EWP-SOW-2026-568</t>
        </is>
      </c>
      <c r="B72" s="1" t="inlineStr">
        <is>
          <t>Elmsworth Publishing</t>
        </is>
      </c>
      <c r="C72" s="1" t="inlineStr">
        <is>
          <t>Elmsworth Bindery</t>
        </is>
      </c>
      <c r="D72" s="1" t="inlineStr">
        <is>
          <t>M20</t>
        </is>
      </c>
      <c r="E72" s="1" t="inlineStr">
        <is>
          <t>Site survey complete and layout approved</t>
        </is>
      </c>
      <c r="F72" s="2" t="n">
        <v>45918</v>
      </c>
      <c r="G72" s="1" t="inlineStr"/>
      <c r="H72" s="1">
        <f>IF(G72="","",G72-F72)</f>
        <v/>
      </c>
      <c r="I72" s="1" t="inlineStr">
        <is>
          <t>No evidence located; open request with the account team</t>
        </is>
      </c>
      <c r="J72" s="1" t="inlineStr">
        <is>
          <t>None</t>
        </is>
      </c>
      <c r="K72" s="1" t="n">
        <v>0</v>
      </c>
      <c r="L72" s="1" t="inlineStr">
        <is>
          <t>No</t>
        </is>
      </c>
      <c r="M72" s="1" t="inlineStr">
        <is>
          <t>Planned</t>
        </is>
      </c>
      <c r="N72" s="1" t="inlineStr">
        <is>
          <t>F. Lindstrom</t>
        </is>
      </c>
    </row>
    <row r="73">
      <c r="A73" s="1" t="inlineStr">
        <is>
          <t>DBI-SOW-2025-657</t>
        </is>
      </c>
      <c r="B73" s="1" t="inlineStr">
        <is>
          <t>Dunbar Industrial</t>
        </is>
      </c>
      <c r="C73" s="1" t="inlineStr">
        <is>
          <t>Dunbar Works</t>
        </is>
      </c>
      <c r="D73" s="1" t="inlineStr">
        <is>
          <t>M30</t>
        </is>
      </c>
      <c r="E73" s="1" t="inlineStr">
        <is>
          <t>Hardware shipped to site</t>
        </is>
      </c>
      <c r="F73" s="2" t="n">
        <v>46027</v>
      </c>
      <c r="G73" s="2" t="n">
        <v>46029</v>
      </c>
      <c r="H73" s="1">
        <f>IF(G73="","",G73-F73)</f>
        <v/>
      </c>
      <c r="I73" s="1" t="inlineStr">
        <is>
          <t>Site sign-off form with throughput log attached</t>
        </is>
      </c>
      <c r="J73" s="1" t="inlineStr">
        <is>
          <t>40 percent on shipment</t>
        </is>
      </c>
      <c r="K73" s="1" t="n">
        <v>319981.76</v>
      </c>
      <c r="L73" s="1" t="inlineStr">
        <is>
          <t>Yes</t>
        </is>
      </c>
      <c r="M73" s="1" t="inlineStr">
        <is>
          <t>Complete</t>
        </is>
      </c>
      <c r="N73" s="1" t="inlineStr">
        <is>
          <t>F. Lindstrom</t>
        </is>
      </c>
    </row>
    <row r="74">
      <c r="A74" s="1" t="inlineStr">
        <is>
          <t>KPP-SOW-2026-270</t>
        </is>
      </c>
      <c r="B74" s="1" t="inlineStr">
        <is>
          <t>Keystone Paper &amp; Pack</t>
        </is>
      </c>
      <c r="C74" s="1" t="inlineStr">
        <is>
          <t>Keystone Mill 3</t>
        </is>
      </c>
      <c r="D74" s="1" t="inlineStr">
        <is>
          <t>M40</t>
        </is>
      </c>
      <c r="E74" s="1" t="inlineStr">
        <is>
          <t>Mechanical installation complete</t>
        </is>
      </c>
      <c r="F74" s="2" t="n">
        <v>45863</v>
      </c>
      <c r="G74" s="2" t="n">
        <v>45881</v>
      </c>
      <c r="H74" s="1">
        <f>IF(G74="","",G74-F74)</f>
        <v/>
      </c>
      <c r="I74" s="1" t="inlineStr">
        <is>
          <t>Witnessed safety validation report</t>
        </is>
      </c>
      <c r="J74" s="1" t="inlineStr">
        <is>
          <t>None</t>
        </is>
      </c>
      <c r="K74" s="1" t="n">
        <v>0</v>
      </c>
      <c r="L74" s="1" t="inlineStr">
        <is>
          <t>No</t>
        </is>
      </c>
      <c r="M74" s="1" t="inlineStr">
        <is>
          <t>Complete</t>
        </is>
      </c>
      <c r="N74" s="1" t="inlineStr">
        <is>
          <t>S. Vitale</t>
        </is>
      </c>
    </row>
    <row r="75">
      <c r="A75" s="1" t="inlineStr">
        <is>
          <t>PFU-SOW-2026-730</t>
        </is>
      </c>
      <c r="B75" s="1" t="inlineStr">
        <is>
          <t>Pioneer Freight Union</t>
        </is>
      </c>
      <c r="C75" s="1" t="inlineStr">
        <is>
          <t>Pioneer Hub</t>
        </is>
      </c>
      <c r="D75" s="1" t="inlineStr">
        <is>
          <t>M50</t>
        </is>
      </c>
      <c r="E75" s="1" t="inlineStr">
        <is>
          <t>Network and warehouse-system integration complete</t>
        </is>
      </c>
      <c r="F75" s="2" t="n">
        <v>46079</v>
      </c>
      <c r="G75" s="2" t="n">
        <v>46079</v>
      </c>
      <c r="H75" s="1">
        <f>IF(G75="","",G75-F75)</f>
        <v/>
      </c>
      <c r="I75" s="1" t="inlineStr">
        <is>
          <t>Witnessed safety validation report</t>
        </is>
      </c>
      <c r="J75" s="1" t="inlineStr">
        <is>
          <t>None</t>
        </is>
      </c>
      <c r="K75" s="1" t="n">
        <v>0</v>
      </c>
      <c r="L75" s="1" t="inlineStr">
        <is>
          <t>No</t>
        </is>
      </c>
      <c r="M75" s="1" t="inlineStr">
        <is>
          <t>Deferred at customer request</t>
        </is>
      </c>
      <c r="N75" s="1" t="inlineStr">
        <is>
          <t>H. Ferrand</t>
        </is>
      </c>
    </row>
    <row r="76">
      <c r="A76" s="1" t="inlineStr">
        <is>
          <t>IVG-SOW-2026-368</t>
        </is>
      </c>
      <c r="B76" s="1" t="inlineStr">
        <is>
          <t>Ironvale Grocery Group</t>
        </is>
      </c>
      <c r="C76" s="1" t="inlineStr">
        <is>
          <t>Ironvale RDC</t>
        </is>
      </c>
      <c r="D76" s="1" t="inlineStr">
        <is>
          <t>M60</t>
        </is>
      </c>
      <c r="E76" s="1" t="inlineStr">
        <is>
          <t>Safety validation witnessed by customer</t>
        </is>
      </c>
      <c r="F76" s="2" t="n">
        <v>45863</v>
      </c>
      <c r="G76" s="1" t="inlineStr"/>
      <c r="H76" s="1">
        <f>IF(G76="","",G76-F76)</f>
        <v/>
      </c>
      <c r="I76" s="1" t="inlineStr">
        <is>
          <t>No evidence located; open request with the account team</t>
        </is>
      </c>
      <c r="J76" s="1" t="inlineStr">
        <is>
          <t>None</t>
        </is>
      </c>
      <c r="K76" s="1" t="n">
        <v>0</v>
      </c>
      <c r="L76" s="1" t="inlineStr">
        <is>
          <t>No</t>
        </is>
      </c>
      <c r="M76" s="1" t="inlineStr">
        <is>
          <t>In progress</t>
        </is>
      </c>
      <c r="N76" s="1" t="inlineStr">
        <is>
          <t>B. Ng</t>
        </is>
      </c>
    </row>
    <row r="77">
      <c r="A77" s="1" t="inlineStr">
        <is>
          <t>EVW-SOW-2025-767</t>
        </is>
      </c>
      <c r="B77" s="1" t="inlineStr">
        <is>
          <t>Evergreen Warehousing</t>
        </is>
      </c>
      <c r="C77" s="1" t="inlineStr">
        <is>
          <t>Evergreen Bay 4</t>
        </is>
      </c>
      <c r="D77" s="1" t="inlineStr">
        <is>
          <t>M70</t>
        </is>
      </c>
      <c r="E77" s="1" t="inlineStr">
        <is>
          <t>Pilot cell operating at contracted throughput</t>
        </is>
      </c>
      <c r="F77" s="2" t="n">
        <v>45770</v>
      </c>
      <c r="G77" s="2" t="n">
        <v>45765</v>
      </c>
      <c r="H77" s="1">
        <f>IF(G77="","",G77-F77)</f>
        <v/>
      </c>
      <c r="I77" s="1" t="inlineStr">
        <is>
          <t>Countersigned acceptance certificate</t>
        </is>
      </c>
      <c r="J77" s="1" t="inlineStr">
        <is>
          <t>20 percent on pilot</t>
        </is>
      </c>
      <c r="K77" s="1" t="n">
        <v>59443.08</v>
      </c>
      <c r="L77" s="1" t="inlineStr">
        <is>
          <t>No</t>
        </is>
      </c>
      <c r="M77" s="1" t="inlineStr">
        <is>
          <t>Deferred at customer request</t>
        </is>
      </c>
      <c r="N77" s="1" t="inlineStr">
        <is>
          <t>F. Lindstrom</t>
        </is>
      </c>
    </row>
    <row r="78">
      <c r="A78" s="1" t="inlineStr">
        <is>
          <t>UVP-SOW-2024-752</t>
        </is>
      </c>
      <c r="B78" s="1" t="inlineStr">
        <is>
          <t>Union Vale Pharma</t>
        </is>
      </c>
      <c r="C78" s="1" t="inlineStr">
        <is>
          <t>Union Vale Vault</t>
        </is>
      </c>
      <c r="D78" s="1" t="inlineStr">
        <is>
          <t>M80</t>
        </is>
      </c>
      <c r="E78" s="1" t="inlineStr">
        <is>
          <t>Operator training delivered and signed off</t>
        </is>
      </c>
      <c r="F78" s="2" t="n">
        <v>45811</v>
      </c>
      <c r="G78" s="2" t="n">
        <v>45807</v>
      </c>
      <c r="H78" s="1">
        <f>IF(G78="","",G78-F78)</f>
        <v/>
      </c>
      <c r="I78" s="1" t="inlineStr">
        <is>
          <t>Customer email confirmation retained in the deployment file</t>
        </is>
      </c>
      <c r="J78" s="1" t="inlineStr">
        <is>
          <t>None</t>
        </is>
      </c>
      <c r="K78" s="1" t="n">
        <v>0</v>
      </c>
      <c r="L78" s="1" t="inlineStr">
        <is>
          <t>No</t>
        </is>
      </c>
      <c r="M78" s="1" t="inlineStr">
        <is>
          <t>Conditionally accepted</t>
        </is>
      </c>
      <c r="N78" s="1" t="inlineStr">
        <is>
          <t>H. Ferrand</t>
        </is>
      </c>
    </row>
    <row r="79">
      <c r="A79" s="1" t="inlineStr">
        <is>
          <t>TCE-SOW-2026-869</t>
        </is>
      </c>
      <c r="B79" s="1" t="inlineStr">
        <is>
          <t>Tamarack Electronics</t>
        </is>
      </c>
      <c r="C79" s="1" t="inlineStr">
        <is>
          <t>Tamarack SMT 2</t>
        </is>
      </c>
      <c r="D79" s="1" t="inlineStr">
        <is>
          <t>M90</t>
        </is>
      </c>
      <c r="E79" s="1" t="inlineStr">
        <is>
          <t>Customer acceptance certificate countersigned</t>
        </is>
      </c>
      <c r="F79" s="2" t="n">
        <v>45926</v>
      </c>
      <c r="G79" s="2" t="n">
        <v>45922</v>
      </c>
      <c r="H79" s="1">
        <f>IF(G79="","",G79-F79)</f>
        <v/>
      </c>
      <c r="I79" s="1" t="inlineStr">
        <is>
          <t>Integration test report countersigned by customer IT</t>
        </is>
      </c>
      <c r="J79" s="1" t="inlineStr">
        <is>
          <t>20 percent on acceptance</t>
        </is>
      </c>
      <c r="K79" s="1" t="n">
        <v>178953.37</v>
      </c>
      <c r="L79" s="1" t="inlineStr">
        <is>
          <t>Yes</t>
        </is>
      </c>
      <c r="M79" s="1" t="inlineStr">
        <is>
          <t>Complete</t>
        </is>
      </c>
      <c r="N79" s="1" t="inlineStr">
        <is>
          <t>H. Ferrand</t>
        </is>
      </c>
    </row>
    <row r="80">
      <c r="A80" s="1" t="inlineStr">
        <is>
          <t>VRS-SOW-2025-699</t>
        </is>
      </c>
      <c r="B80" s="1" t="inlineStr">
        <is>
          <t>Vantage Robotics Supply</t>
        </is>
      </c>
      <c r="C80" s="1" t="inlineStr">
        <is>
          <t>Vantage Depot</t>
        </is>
      </c>
      <c r="D80" s="1" t="inlineStr">
        <is>
          <t>M95</t>
        </is>
      </c>
      <c r="E80" s="1" t="inlineStr">
        <is>
          <t>Warranty commencement recorded</t>
        </is>
      </c>
      <c r="F80" s="2" t="n">
        <v>45804</v>
      </c>
      <c r="G80" s="2" t="n">
        <v>45804</v>
      </c>
      <c r="H80" s="1">
        <f>IF(G80="","",G80-F80)</f>
        <v/>
      </c>
      <c r="I80" s="1" t="inlineStr">
        <is>
          <t>Customer email confirmation retained in the deployment file</t>
        </is>
      </c>
      <c r="J80" s="1" t="inlineStr">
        <is>
          <t>None</t>
        </is>
      </c>
      <c r="K80" s="1" t="n">
        <v>0</v>
      </c>
      <c r="L80" s="1" t="inlineStr">
        <is>
          <t>No</t>
        </is>
      </c>
      <c r="M80" s="1" t="inlineStr">
        <is>
          <t>Conditionally accepted</t>
        </is>
      </c>
      <c r="N80" s="1" t="inlineStr">
        <is>
          <t>B. Ng</t>
        </is>
      </c>
    </row>
    <row r="81">
      <c r="A81" s="1" t="inlineStr">
        <is>
          <t>RWO-SOW-2025-801</t>
        </is>
      </c>
      <c r="B81" s="1" t="inlineStr">
        <is>
          <t>Redwood Optics</t>
        </is>
      </c>
      <c r="C81" s="1" t="inlineStr">
        <is>
          <t>Redwood Clean 3</t>
        </is>
      </c>
      <c r="D81" s="1" t="inlineStr">
        <is>
          <t>M10</t>
        </is>
      </c>
      <c r="E81" s="1" t="inlineStr">
        <is>
          <t>Contract signature and order acknowledgement</t>
        </is>
      </c>
      <c r="F81" s="2" t="n">
        <v>46188</v>
      </c>
      <c r="G81" s="2" t="n">
        <v>46184</v>
      </c>
      <c r="H81" s="1">
        <f>IF(G81="","",G81-F81)</f>
        <v/>
      </c>
      <c r="I81" s="1" t="inlineStr">
        <is>
          <t>Countersigned acceptance certificate</t>
        </is>
      </c>
      <c r="J81" s="1" t="inlineStr">
        <is>
          <t>20 percent on signature</t>
        </is>
      </c>
      <c r="K81" s="1" t="n">
        <v>353591.74</v>
      </c>
      <c r="L81" s="1" t="inlineStr">
        <is>
          <t>Yes</t>
        </is>
      </c>
      <c r="M81" s="1" t="inlineStr">
        <is>
          <t>Complete</t>
        </is>
      </c>
      <c r="N81" s="1" t="inlineStr">
        <is>
          <t>J. Alvarez</t>
        </is>
      </c>
    </row>
    <row r="82">
      <c r="A82" s="1" t="inlineStr">
        <is>
          <t>YHG-SOW-2024-767</t>
        </is>
      </c>
      <c r="B82" s="1" t="inlineStr">
        <is>
          <t>Yarrow Home Goods</t>
        </is>
      </c>
      <c r="C82" s="1" t="inlineStr">
        <is>
          <t>Yarrow FC3</t>
        </is>
      </c>
      <c r="D82" s="1" t="inlineStr">
        <is>
          <t>M20</t>
        </is>
      </c>
      <c r="E82" s="1" t="inlineStr">
        <is>
          <t>Site survey complete and layout approved</t>
        </is>
      </c>
      <c r="F82" s="2" t="n">
        <v>45968</v>
      </c>
      <c r="G82" s="1" t="inlineStr"/>
      <c r="H82" s="1">
        <f>IF(G82="","",G82-F82)</f>
        <v/>
      </c>
      <c r="I82" s="1" t="inlineStr">
        <is>
          <t>No evidence located; open request with the account team</t>
        </is>
      </c>
      <c r="J82" s="1" t="inlineStr">
        <is>
          <t>None</t>
        </is>
      </c>
      <c r="K82" s="1" t="n">
        <v>0</v>
      </c>
      <c r="L82" s="1" t="inlineStr">
        <is>
          <t>No</t>
        </is>
      </c>
      <c r="M82" s="1" t="inlineStr">
        <is>
          <t>Blocked on customer</t>
        </is>
      </c>
      <c r="N82" s="1" t="inlineStr">
        <is>
          <t>F. Lindstrom</t>
        </is>
      </c>
    </row>
    <row r="83">
      <c r="A83" s="1" t="inlineStr">
        <is>
          <t>EVW-SOW-2025-116</t>
        </is>
      </c>
      <c r="B83" s="1" t="inlineStr">
        <is>
          <t>Evergreen Warehousing</t>
        </is>
      </c>
      <c r="C83" s="1" t="inlineStr">
        <is>
          <t>Evergreen Bay 4</t>
        </is>
      </c>
      <c r="D83" s="1" t="inlineStr">
        <is>
          <t>M30</t>
        </is>
      </c>
      <c r="E83" s="1" t="inlineStr">
        <is>
          <t>Hardware shipped to site</t>
        </is>
      </c>
      <c r="F83" s="2" t="n">
        <v>45812</v>
      </c>
      <c r="G83" s="1" t="inlineStr"/>
      <c r="H83" s="1">
        <f>IF(G83="","",G83-F83)</f>
        <v/>
      </c>
      <c r="I83" s="1" t="inlineStr">
        <is>
          <t>No evidence located; open request with the account team</t>
        </is>
      </c>
      <c r="J83" s="1" t="inlineStr">
        <is>
          <t>40 percent on shipment</t>
        </is>
      </c>
      <c r="K83" s="1" t="n">
        <v>481869.27</v>
      </c>
      <c r="L83" s="1" t="inlineStr">
        <is>
          <t>No</t>
        </is>
      </c>
      <c r="M83" s="1" t="inlineStr">
        <is>
          <t>In progress</t>
        </is>
      </c>
      <c r="N83" s="1" t="inlineStr">
        <is>
          <t>F. Lindstrom</t>
        </is>
      </c>
    </row>
    <row r="84">
      <c r="A84" s="1" t="inlineStr">
        <is>
          <t>RWO-SOW-2025-217</t>
        </is>
      </c>
      <c r="B84" s="1" t="inlineStr">
        <is>
          <t>Redwood Optics</t>
        </is>
      </c>
      <c r="C84" s="1" t="inlineStr">
        <is>
          <t>Redwood Clean 3</t>
        </is>
      </c>
      <c r="D84" s="1" t="inlineStr">
        <is>
          <t>M40</t>
        </is>
      </c>
      <c r="E84" s="1" t="inlineStr">
        <is>
          <t>Mechanical installation complete</t>
        </is>
      </c>
      <c r="F84" s="2" t="n">
        <v>46136</v>
      </c>
      <c r="G84" s="2" t="n">
        <v>46136</v>
      </c>
      <c r="H84" s="1">
        <f>IF(G84="","",G84-F84)</f>
        <v/>
      </c>
      <c r="I84" s="1" t="inlineStr">
        <is>
          <t>Countersigned acceptance certificate</t>
        </is>
      </c>
      <c r="J84" s="1" t="inlineStr">
        <is>
          <t>None</t>
        </is>
      </c>
      <c r="K84" s="1" t="n">
        <v>0</v>
      </c>
      <c r="L84" s="1" t="inlineStr">
        <is>
          <t>No</t>
        </is>
      </c>
      <c r="M84" s="1" t="inlineStr">
        <is>
          <t>Complete</t>
        </is>
      </c>
      <c r="N84" s="1" t="inlineStr">
        <is>
          <t>J. Alvarez</t>
        </is>
      </c>
    </row>
    <row r="85">
      <c r="A85" s="1" t="inlineStr">
        <is>
          <t>HLS-SOW-2025-650</t>
        </is>
      </c>
      <c r="B85" s="1" t="inlineStr">
        <is>
          <t>Harborline Systems</t>
        </is>
      </c>
      <c r="C85" s="1" t="inlineStr">
        <is>
          <t>Harborline Pier 9</t>
        </is>
      </c>
      <c r="D85" s="1" t="inlineStr">
        <is>
          <t>M50</t>
        </is>
      </c>
      <c r="E85" s="1" t="inlineStr">
        <is>
          <t>Network and warehouse-system integration complete</t>
        </is>
      </c>
      <c r="F85" s="2" t="n">
        <v>46027</v>
      </c>
      <c r="G85" s="2" t="n">
        <v>46045</v>
      </c>
      <c r="H85" s="1">
        <f>IF(G85="","",G85-F85)</f>
        <v/>
      </c>
      <c r="I85" s="1" t="inlineStr">
        <is>
          <t>Countersigned acceptance certificate</t>
        </is>
      </c>
      <c r="J85" s="1" t="inlineStr">
        <is>
          <t>None</t>
        </is>
      </c>
      <c r="K85" s="1" t="n">
        <v>0</v>
      </c>
      <c r="L85" s="1" t="inlineStr">
        <is>
          <t>No</t>
        </is>
      </c>
      <c r="M85" s="1" t="inlineStr">
        <is>
          <t>Complete</t>
        </is>
      </c>
      <c r="N85" s="1" t="inlineStr">
        <is>
          <t>H. Ferrand</t>
        </is>
      </c>
    </row>
    <row r="86">
      <c r="A86" s="1" t="inlineStr">
        <is>
          <t>VRS-SOW-2026-841</t>
        </is>
      </c>
      <c r="B86" s="1" t="inlineStr">
        <is>
          <t>Vantage Robotics Supply</t>
        </is>
      </c>
      <c r="C86" s="1" t="inlineStr">
        <is>
          <t>Vantage Depot</t>
        </is>
      </c>
      <c r="D86" s="1" t="inlineStr">
        <is>
          <t>M60</t>
        </is>
      </c>
      <c r="E86" s="1" t="inlineStr">
        <is>
          <t>Safety validation witnessed by customer</t>
        </is>
      </c>
      <c r="F86" s="2" t="n">
        <v>45723</v>
      </c>
      <c r="G86" s="2" t="n">
        <v>45719</v>
      </c>
      <c r="H86" s="1">
        <f>IF(G86="","",G86-F86)</f>
        <v/>
      </c>
      <c r="I86" s="1" t="inlineStr">
        <is>
          <t>Countersigned acceptance certificate</t>
        </is>
      </c>
      <c r="J86" s="1" t="inlineStr">
        <is>
          <t>None</t>
        </is>
      </c>
      <c r="K86" s="1" t="n">
        <v>0</v>
      </c>
      <c r="L86" s="1" t="inlineStr">
        <is>
          <t>No</t>
        </is>
      </c>
      <c r="M86" s="1" t="inlineStr">
        <is>
          <t>Complete</t>
        </is>
      </c>
      <c r="N86" s="1" t="inlineStr">
        <is>
          <t>B. Ng</t>
        </is>
      </c>
    </row>
    <row r="87">
      <c r="A87" s="1" t="inlineStr">
        <is>
          <t>UVP-SOW-2024-744</t>
        </is>
      </c>
      <c r="B87" s="1" t="inlineStr">
        <is>
          <t>Union Vale Pharma</t>
        </is>
      </c>
      <c r="C87" s="1" t="inlineStr">
        <is>
          <t>Union Vale Vault</t>
        </is>
      </c>
      <c r="D87" s="1" t="inlineStr">
        <is>
          <t>M70</t>
        </is>
      </c>
      <c r="E87" s="1" t="inlineStr">
        <is>
          <t>Pilot cell operating at contracted throughput</t>
        </is>
      </c>
      <c r="F87" s="2" t="n">
        <v>45945</v>
      </c>
      <c r="G87" s="1" t="inlineStr"/>
      <c r="H87" s="1">
        <f>IF(G87="","",G87-F87)</f>
        <v/>
      </c>
      <c r="I87" s="1" t="inlineStr">
        <is>
          <t>No evidence located; open request with the account team</t>
        </is>
      </c>
      <c r="J87" s="1" t="inlineStr">
        <is>
          <t>20 percent on pilot</t>
        </is>
      </c>
      <c r="K87" s="1" t="n">
        <v>135070.75</v>
      </c>
      <c r="L87" s="1" t="inlineStr">
        <is>
          <t>No</t>
        </is>
      </c>
      <c r="M87" s="1" t="inlineStr">
        <is>
          <t>In progress</t>
        </is>
      </c>
      <c r="N87" s="1" t="inlineStr">
        <is>
          <t>H. Ferrand</t>
        </is>
      </c>
    </row>
    <row r="88">
      <c r="A88" s="1" t="inlineStr">
        <is>
          <t>PFU-SOW-2025-440</t>
        </is>
      </c>
      <c r="B88" s="1" t="inlineStr">
        <is>
          <t>Pioneer Freight Union</t>
        </is>
      </c>
      <c r="C88" s="1" t="inlineStr">
        <is>
          <t>Pioneer Hub</t>
        </is>
      </c>
      <c r="D88" s="1" t="inlineStr">
        <is>
          <t>M80</t>
        </is>
      </c>
      <c r="E88" s="1" t="inlineStr">
        <is>
          <t>Operator training delivered and signed off</t>
        </is>
      </c>
      <c r="F88" s="2" t="n">
        <v>45996</v>
      </c>
      <c r="G88" s="2" t="n">
        <v>46003</v>
      </c>
      <c r="H88" s="1">
        <f>IF(G88="","",G88-F88)</f>
        <v/>
      </c>
      <c r="I88" s="1" t="inlineStr">
        <is>
          <t>Integration test report countersigned by customer IT</t>
        </is>
      </c>
      <c r="J88" s="1" t="inlineStr">
        <is>
          <t>None</t>
        </is>
      </c>
      <c r="K88" s="1" t="n">
        <v>0</v>
      </c>
      <c r="L88" s="1" t="inlineStr">
        <is>
          <t>No</t>
        </is>
      </c>
      <c r="M88" s="1" t="inlineStr">
        <is>
          <t>Complete</t>
        </is>
      </c>
      <c r="N88" s="1" t="inlineStr">
        <is>
          <t>H. Ferrand</t>
        </is>
      </c>
    </row>
    <row r="89">
      <c r="A89" s="1" t="inlineStr">
        <is>
          <t>RWO-SOW-2026-251</t>
        </is>
      </c>
      <c r="B89" s="1" t="inlineStr">
        <is>
          <t>Redwood Optics</t>
        </is>
      </c>
      <c r="C89" s="1" t="inlineStr">
        <is>
          <t>Redwood Clean 3</t>
        </is>
      </c>
      <c r="D89" s="1" t="inlineStr">
        <is>
          <t>M90</t>
        </is>
      </c>
      <c r="E89" s="1" t="inlineStr">
        <is>
          <t>Customer acceptance certificate countersigned</t>
        </is>
      </c>
      <c r="F89" s="2" t="n">
        <v>46035</v>
      </c>
      <c r="G89" s="1" t="inlineStr"/>
      <c r="H89" s="1">
        <f>IF(G89="","",G89-F89)</f>
        <v/>
      </c>
      <c r="I89" s="1" t="inlineStr">
        <is>
          <t>No evidence located; open request with the account team</t>
        </is>
      </c>
      <c r="J89" s="1" t="inlineStr">
        <is>
          <t>20 percent on acceptance</t>
        </is>
      </c>
      <c r="K89" s="1" t="n">
        <v>179309.36</v>
      </c>
      <c r="L89" s="1" t="inlineStr">
        <is>
          <t>No</t>
        </is>
      </c>
      <c r="M89" s="1" t="inlineStr">
        <is>
          <t>Planned</t>
        </is>
      </c>
      <c r="N89" s="1" t="inlineStr">
        <is>
          <t>F. Lindstrom</t>
        </is>
      </c>
    </row>
    <row r="90">
      <c r="A90" s="1" t="inlineStr">
        <is>
          <t>SRR-SOW-2025-537</t>
        </is>
      </c>
      <c r="B90" s="1" t="inlineStr">
        <is>
          <t>Summit Ridge Retail</t>
        </is>
      </c>
      <c r="C90" s="1" t="inlineStr">
        <is>
          <t>Summit RDC</t>
        </is>
      </c>
      <c r="D90" s="1" t="inlineStr">
        <is>
          <t>M95</t>
        </is>
      </c>
      <c r="E90" s="1" t="inlineStr">
        <is>
          <t>Warranty commencement recorded</t>
        </is>
      </c>
      <c r="F90" s="2" t="n">
        <v>45903</v>
      </c>
      <c r="G90" s="2" t="n">
        <v>45908</v>
      </c>
      <c r="H90" s="1">
        <f>IF(G90="","",G90-F90)</f>
        <v/>
      </c>
      <c r="I90" s="1" t="inlineStr">
        <is>
          <t>Conditional acceptance letter with open punch list</t>
        </is>
      </c>
      <c r="J90" s="1" t="inlineStr">
        <is>
          <t>None</t>
        </is>
      </c>
      <c r="K90" s="1" t="n">
        <v>0</v>
      </c>
      <c r="L90" s="1" t="inlineStr">
        <is>
          <t>No</t>
        </is>
      </c>
      <c r="M90" s="1" t="inlineStr">
        <is>
          <t>Deferred at customer request</t>
        </is>
      </c>
      <c r="N90" s="1" t="inlineStr">
        <is>
          <t>H. Ferrand</t>
        </is>
      </c>
    </row>
    <row r="91">
      <c r="A91" s="1" t="inlineStr">
        <is>
          <t>GPD-SOW-2024-702</t>
        </is>
      </c>
      <c r="B91" s="1" t="inlineStr">
        <is>
          <t>Granite Peak Distribution</t>
        </is>
      </c>
      <c r="C91" s="1" t="inlineStr">
        <is>
          <t>Granite Yard</t>
        </is>
      </c>
      <c r="D91" s="1" t="inlineStr">
        <is>
          <t>M10</t>
        </is>
      </c>
      <c r="E91" s="1" t="inlineStr">
        <is>
          <t>Contract signature and order acknowledgement</t>
        </is>
      </c>
      <c r="F91" s="2" t="n">
        <v>46090</v>
      </c>
      <c r="G91" s="2" t="n">
        <v>46099</v>
      </c>
      <c r="H91" s="1">
        <f>IF(G91="","",G91-F91)</f>
        <v/>
      </c>
      <c r="I91" s="1" t="inlineStr">
        <is>
          <t>Countersigned acceptance certificate</t>
        </is>
      </c>
      <c r="J91" s="1" t="inlineStr">
        <is>
          <t>20 percent on signature</t>
        </is>
      </c>
      <c r="K91" s="1" t="n">
        <v>153169.28</v>
      </c>
      <c r="L91" s="1" t="inlineStr">
        <is>
          <t>Yes</t>
        </is>
      </c>
      <c r="M91" s="1" t="inlineStr">
        <is>
          <t>Complete</t>
        </is>
      </c>
      <c r="N91" s="1" t="inlineStr">
        <is>
          <t>S. Vitale</t>
        </is>
      </c>
    </row>
    <row r="92">
      <c r="A92" s="1" t="inlineStr">
        <is>
          <t>ABT-SOW-2024-555</t>
        </is>
      </c>
      <c r="B92" s="1" t="inlineStr">
        <is>
          <t>Alderbrook Textiles</t>
        </is>
      </c>
      <c r="C92" s="1" t="inlineStr">
        <is>
          <t>Alderbrook Loom 1</t>
        </is>
      </c>
      <c r="D92" s="1" t="inlineStr">
        <is>
          <t>M20</t>
        </is>
      </c>
      <c r="E92" s="1" t="inlineStr">
        <is>
          <t>Site survey complete and layout approved</t>
        </is>
      </c>
      <c r="F92" s="2" t="n">
        <v>45912</v>
      </c>
      <c r="G92" s="2" t="n">
        <v>45912</v>
      </c>
      <c r="H92" s="1">
        <f>IF(G92="","",G92-F92)</f>
        <v/>
      </c>
      <c r="I92" s="1" t="inlineStr">
        <is>
          <t>Site sign-off form with throughput log attached</t>
        </is>
      </c>
      <c r="J92" s="1" t="inlineStr">
        <is>
          <t>None</t>
        </is>
      </c>
      <c r="K92" s="1" t="n">
        <v>0</v>
      </c>
      <c r="L92" s="1" t="inlineStr">
        <is>
          <t>No</t>
        </is>
      </c>
      <c r="M92" s="1" t="inlineStr">
        <is>
          <t>Deferred at customer request</t>
        </is>
      </c>
      <c r="N92" s="1" t="inlineStr">
        <is>
          <t>J. Alvarez</t>
        </is>
      </c>
    </row>
    <row r="93">
      <c r="A93" s="1" t="inlineStr">
        <is>
          <t>VRS-SOW-2025-926</t>
        </is>
      </c>
      <c r="B93" s="1" t="inlineStr">
        <is>
          <t>Vantage Robotics Supply</t>
        </is>
      </c>
      <c r="C93" s="1" t="inlineStr">
        <is>
          <t>Vantage Depot</t>
        </is>
      </c>
      <c r="D93" s="1" t="inlineStr">
        <is>
          <t>M30</t>
        </is>
      </c>
      <c r="E93" s="1" t="inlineStr">
        <is>
          <t>Hardware shipped to site</t>
        </is>
      </c>
      <c r="F93" s="2" t="n">
        <v>45980</v>
      </c>
      <c r="G93" s="1" t="inlineStr"/>
      <c r="H93" s="1">
        <f>IF(G93="","",G93-F93)</f>
        <v/>
      </c>
      <c r="I93" s="1" t="inlineStr">
        <is>
          <t>No evidence located; open request with the account team</t>
        </is>
      </c>
      <c r="J93" s="1" t="inlineStr">
        <is>
          <t>40 percent on shipment</t>
        </is>
      </c>
      <c r="K93" s="1" t="n">
        <v>378406.58</v>
      </c>
      <c r="L93" s="1" t="inlineStr">
        <is>
          <t>No</t>
        </is>
      </c>
      <c r="M93" s="1" t="inlineStr">
        <is>
          <t>In progress</t>
        </is>
      </c>
      <c r="N93" s="1" t="inlineStr">
        <is>
          <t>H. Ferrand</t>
        </is>
      </c>
    </row>
    <row r="94">
      <c r="A94" s="1" t="inlineStr">
        <is>
          <t>ABT-SOW-2024-265</t>
        </is>
      </c>
      <c r="B94" s="1" t="inlineStr">
        <is>
          <t>Alderbrook Textiles</t>
        </is>
      </c>
      <c r="C94" s="1" t="inlineStr">
        <is>
          <t>Alderbrook Loom 1</t>
        </is>
      </c>
      <c r="D94" s="1" t="inlineStr">
        <is>
          <t>M40</t>
        </is>
      </c>
      <c r="E94" s="1" t="inlineStr">
        <is>
          <t>Mechanical installation complete</t>
        </is>
      </c>
      <c r="F94" s="2" t="n">
        <v>46065</v>
      </c>
      <c r="G94" s="2" t="n">
        <v>46065</v>
      </c>
      <c r="H94" s="1">
        <f>IF(G94="","",G94-F94)</f>
        <v/>
      </c>
      <c r="I94" s="1" t="inlineStr">
        <is>
          <t>Site sign-off form with throughput log attached</t>
        </is>
      </c>
      <c r="J94" s="1" t="inlineStr">
        <is>
          <t>None</t>
        </is>
      </c>
      <c r="K94" s="1" t="n">
        <v>0</v>
      </c>
      <c r="L94" s="1" t="inlineStr">
        <is>
          <t>No</t>
        </is>
      </c>
      <c r="M94" s="1" t="inlineStr">
        <is>
          <t>Complete</t>
        </is>
      </c>
      <c r="N94" s="1" t="inlineStr">
        <is>
          <t>F. Lindstrom</t>
        </is>
      </c>
    </row>
    <row r="95">
      <c r="A95" s="1" t="inlineStr">
        <is>
          <t>GPD-SOW-2025-395</t>
        </is>
      </c>
      <c r="B95" s="1" t="inlineStr">
        <is>
          <t>Granite Peak Distribution</t>
        </is>
      </c>
      <c r="C95" s="1" t="inlineStr">
        <is>
          <t>Granite Yard</t>
        </is>
      </c>
      <c r="D95" s="1" t="inlineStr">
        <is>
          <t>M50</t>
        </is>
      </c>
      <c r="E95" s="1" t="inlineStr">
        <is>
          <t>Network and warehouse-system integration complete</t>
        </is>
      </c>
      <c r="F95" s="2" t="n">
        <v>45910</v>
      </c>
      <c r="G95" s="2" t="n">
        <v>45905</v>
      </c>
      <c r="H95" s="1">
        <f>IF(G95="","",G95-F95)</f>
        <v/>
      </c>
      <c r="I95" s="1" t="inlineStr">
        <is>
          <t>Witnessed safety validation report</t>
        </is>
      </c>
      <c r="J95" s="1" t="inlineStr">
        <is>
          <t>None</t>
        </is>
      </c>
      <c r="K95" s="1" t="n">
        <v>0</v>
      </c>
      <c r="L95" s="1" t="inlineStr">
        <is>
          <t>No</t>
        </is>
      </c>
      <c r="M95" s="1" t="inlineStr">
        <is>
          <t>Deferred at customer request</t>
        </is>
      </c>
      <c r="N95" s="1" t="inlineStr">
        <is>
          <t>J. Alvarez</t>
        </is>
      </c>
    </row>
    <row r="96">
      <c r="A96" s="1" t="inlineStr">
        <is>
          <t>PFU-SOW-2024-474</t>
        </is>
      </c>
      <c r="B96" s="1" t="inlineStr">
        <is>
          <t>Pioneer Freight Union</t>
        </is>
      </c>
      <c r="C96" s="1" t="inlineStr">
        <is>
          <t>Pioneer Hub</t>
        </is>
      </c>
      <c r="D96" s="1" t="inlineStr">
        <is>
          <t>M60</t>
        </is>
      </c>
      <c r="E96" s="1" t="inlineStr">
        <is>
          <t>Safety validation witnessed by customer</t>
        </is>
      </c>
      <c r="F96" s="2" t="n">
        <v>45877</v>
      </c>
      <c r="G96" s="1" t="inlineStr"/>
      <c r="H96" s="1">
        <f>IF(G96="","",G96-F96)</f>
        <v/>
      </c>
      <c r="I96" s="1" t="inlineStr">
        <is>
          <t>No evidence located; open request with the account team</t>
        </is>
      </c>
      <c r="J96" s="1" t="inlineStr">
        <is>
          <t>None</t>
        </is>
      </c>
      <c r="K96" s="1" t="n">
        <v>0</v>
      </c>
      <c r="L96" s="1" t="inlineStr">
        <is>
          <t>No</t>
        </is>
      </c>
      <c r="M96" s="1" t="inlineStr">
        <is>
          <t>Planned</t>
        </is>
      </c>
      <c r="N96" s="1" t="inlineStr">
        <is>
          <t>F. Lindstrom</t>
        </is>
      </c>
    </row>
    <row r="97">
      <c r="A97" s="1" t="inlineStr">
        <is>
          <t>RWO-SOW-2026-722</t>
        </is>
      </c>
      <c r="B97" s="1" t="inlineStr">
        <is>
          <t>Redwood Optics</t>
        </is>
      </c>
      <c r="C97" s="1" t="inlineStr">
        <is>
          <t>Redwood Clean 3</t>
        </is>
      </c>
      <c r="D97" s="1" t="inlineStr">
        <is>
          <t>M70</t>
        </is>
      </c>
      <c r="E97" s="1" t="inlineStr">
        <is>
          <t>Pilot cell operating at contracted throughput</t>
        </is>
      </c>
      <c r="F97" s="2" t="n">
        <v>46023</v>
      </c>
      <c r="G97" s="2" t="n">
        <v>46022</v>
      </c>
      <c r="H97" s="1">
        <f>IF(G97="","",G97-F97)</f>
        <v/>
      </c>
      <c r="I97" s="1" t="inlineStr">
        <is>
          <t>Site sign-off form with throughput log attached</t>
        </is>
      </c>
      <c r="J97" s="1" t="inlineStr">
        <is>
          <t>20 percent on pilot</t>
        </is>
      </c>
      <c r="K97" s="1" t="n">
        <v>57608.84</v>
      </c>
      <c r="L97" s="1" t="inlineStr">
        <is>
          <t>Yes</t>
        </is>
      </c>
      <c r="M97" s="1" t="inlineStr">
        <is>
          <t>Complete</t>
        </is>
      </c>
      <c r="N97" s="1" t="inlineStr">
        <is>
          <t>S. Vitale</t>
        </is>
      </c>
    </row>
    <row r="98">
      <c r="A98" s="1" t="inlineStr">
        <is>
          <t>LKA-SOW-2026-665</t>
        </is>
      </c>
      <c r="B98" s="1" t="inlineStr">
        <is>
          <t>Larkspur Apparel</t>
        </is>
      </c>
      <c r="C98" s="1" t="inlineStr">
        <is>
          <t>Larkspur FC2</t>
        </is>
      </c>
      <c r="D98" s="1" t="inlineStr">
        <is>
          <t>M80</t>
        </is>
      </c>
      <c r="E98" s="1" t="inlineStr">
        <is>
          <t>Operator training delivered and signed off</t>
        </is>
      </c>
      <c r="F98" s="2" t="n">
        <v>45849</v>
      </c>
      <c r="G98" s="1" t="inlineStr"/>
      <c r="H98" s="1">
        <f>IF(G98="","",G98-F98)</f>
        <v/>
      </c>
      <c r="I98" s="1" t="inlineStr">
        <is>
          <t>No evidence located; open request with the account team</t>
        </is>
      </c>
      <c r="J98" s="1" t="inlineStr">
        <is>
          <t>None</t>
        </is>
      </c>
      <c r="K98" s="1" t="n">
        <v>0</v>
      </c>
      <c r="L98" s="1" t="inlineStr">
        <is>
          <t>No</t>
        </is>
      </c>
      <c r="M98" s="1" t="inlineStr">
        <is>
          <t>Blocked on customer</t>
        </is>
      </c>
      <c r="N98" s="1" t="inlineStr">
        <is>
          <t>H. Ferrand</t>
        </is>
      </c>
    </row>
    <row r="99">
      <c r="A99" s="1" t="inlineStr">
        <is>
          <t>ABT-SOW-2026-613</t>
        </is>
      </c>
      <c r="B99" s="1" t="inlineStr">
        <is>
          <t>Alderbrook Textiles</t>
        </is>
      </c>
      <c r="C99" s="1" t="inlineStr">
        <is>
          <t>Alderbrook Loom 1</t>
        </is>
      </c>
      <c r="D99" s="1" t="inlineStr">
        <is>
          <t>M90</t>
        </is>
      </c>
      <c r="E99" s="1" t="inlineStr">
        <is>
          <t>Customer acceptance certificate countersigned</t>
        </is>
      </c>
      <c r="F99" s="2" t="n">
        <v>45894</v>
      </c>
      <c r="G99" s="2" t="n">
        <v>45926</v>
      </c>
      <c r="H99" s="1">
        <f>IF(G99="","",G99-F99)</f>
        <v/>
      </c>
      <c r="I99" s="1" t="inlineStr">
        <is>
          <t>Integration test report countersigned by customer IT</t>
        </is>
      </c>
      <c r="J99" s="1" t="inlineStr">
        <is>
          <t>20 percent on acceptance</t>
        </is>
      </c>
      <c r="K99" s="1" t="n">
        <v>234968.28</v>
      </c>
      <c r="L99" s="1" t="inlineStr">
        <is>
          <t>Yes</t>
        </is>
      </c>
      <c r="M99" s="1" t="inlineStr">
        <is>
          <t>Complete</t>
        </is>
      </c>
      <c r="N99" s="1" t="inlineStr">
        <is>
          <t>S. Vitale</t>
        </is>
      </c>
    </row>
    <row r="100">
      <c r="A100" s="1" t="inlineStr">
        <is>
          <t>MDY-SOW-2025-543</t>
        </is>
      </c>
      <c r="B100" s="1" t="inlineStr">
        <is>
          <t>Meridian Dynamics</t>
        </is>
      </c>
      <c r="C100" s="1" t="inlineStr">
        <is>
          <t>Meridian Bay 7</t>
        </is>
      </c>
      <c r="D100" s="1" t="inlineStr">
        <is>
          <t>M95</t>
        </is>
      </c>
      <c r="E100" s="1" t="inlineStr">
        <is>
          <t>Warranty commencement recorded</t>
        </is>
      </c>
      <c r="F100" s="2" t="n">
        <v>46003</v>
      </c>
      <c r="G100" s="2" t="n">
        <v>46021</v>
      </c>
      <c r="H100" s="1">
        <f>IF(G100="","",G100-F100)</f>
        <v/>
      </c>
      <c r="I100" s="1" t="inlineStr">
        <is>
          <t>Witnessed safety validation report</t>
        </is>
      </c>
      <c r="J100" s="1" t="inlineStr">
        <is>
          <t>None</t>
        </is>
      </c>
      <c r="K100" s="1" t="n">
        <v>0</v>
      </c>
      <c r="L100" s="1" t="inlineStr">
        <is>
          <t>No</t>
        </is>
      </c>
      <c r="M100" s="1" t="inlineStr">
        <is>
          <t>Deferred at customer request</t>
        </is>
      </c>
      <c r="N100" s="1" t="inlineStr">
        <is>
          <t>F. Lindstrom</t>
        </is>
      </c>
    </row>
    <row r="101">
      <c r="A101" s="1" t="inlineStr">
        <is>
          <t>CFF-SOW-2024-930</t>
        </is>
      </c>
      <c r="B101" s="1" t="inlineStr">
        <is>
          <t>Crestline Fulfillment</t>
        </is>
      </c>
      <c r="C101" s="1" t="inlineStr">
        <is>
          <t>Crestline FC1</t>
        </is>
      </c>
      <c r="D101" s="1" t="inlineStr">
        <is>
          <t>M10</t>
        </is>
      </c>
      <c r="E101" s="1" t="inlineStr">
        <is>
          <t>Contract signature and order acknowledgement</t>
        </is>
      </c>
      <c r="F101" s="2" t="n">
        <v>45876</v>
      </c>
      <c r="G101" s="1" t="inlineStr"/>
      <c r="H101" s="1">
        <f>IF(G101="","",G101-F101)</f>
        <v/>
      </c>
      <c r="I101" s="1" t="inlineStr">
        <is>
          <t>No evidence located; open request with the account team</t>
        </is>
      </c>
      <c r="J101" s="1" t="inlineStr">
        <is>
          <t>20 percent on signature</t>
        </is>
      </c>
      <c r="K101" s="1" t="n">
        <v>474513.44</v>
      </c>
      <c r="L101" s="1" t="inlineStr">
        <is>
          <t>No</t>
        </is>
      </c>
      <c r="M101" s="1" t="inlineStr">
        <is>
          <t>Blocked on customer</t>
        </is>
      </c>
      <c r="N101" s="1" t="inlineStr">
        <is>
          <t>F. Lindstrom</t>
        </is>
      </c>
    </row>
    <row r="102">
      <c r="A102" s="1" t="inlineStr">
        <is>
          <t>KPP-SOW-2025-477</t>
        </is>
      </c>
      <c r="B102" s="1" t="inlineStr">
        <is>
          <t>Keystone Paper &amp; Pack</t>
        </is>
      </c>
      <c r="C102" s="1" t="inlineStr">
        <is>
          <t>Keystone Mill 3</t>
        </is>
      </c>
      <c r="D102" s="1" t="inlineStr">
        <is>
          <t>M20</t>
        </is>
      </c>
      <c r="E102" s="1" t="inlineStr">
        <is>
          <t>Site survey complete and layout approved</t>
        </is>
      </c>
      <c r="F102" s="2" t="n">
        <v>45859</v>
      </c>
      <c r="G102" s="1" t="inlineStr"/>
      <c r="H102" s="1">
        <f>IF(G102="","",G102-F102)</f>
        <v/>
      </c>
      <c r="I102" s="1" t="inlineStr">
        <is>
          <t>No evidence located; open request with the account team</t>
        </is>
      </c>
      <c r="J102" s="1" t="inlineStr">
        <is>
          <t>None</t>
        </is>
      </c>
      <c r="K102" s="1" t="n">
        <v>0</v>
      </c>
      <c r="L102" s="1" t="inlineStr">
        <is>
          <t>No</t>
        </is>
      </c>
      <c r="M102" s="1" t="inlineStr">
        <is>
          <t>Blocked on customer</t>
        </is>
      </c>
      <c r="N102" s="1" t="inlineStr">
        <is>
          <t>F. Lindstrom</t>
        </is>
      </c>
    </row>
    <row r="103">
      <c r="A103" s="1" t="inlineStr">
        <is>
          <t>RWO-SOW-2026-559</t>
        </is>
      </c>
      <c r="B103" s="1" t="inlineStr">
        <is>
          <t>Redwood Optics</t>
        </is>
      </c>
      <c r="C103" s="1" t="inlineStr">
        <is>
          <t>Redwood Clean 3</t>
        </is>
      </c>
      <c r="D103" s="1" t="inlineStr">
        <is>
          <t>M30</t>
        </is>
      </c>
      <c r="E103" s="1" t="inlineStr">
        <is>
          <t>Hardware shipped to site</t>
        </is>
      </c>
      <c r="F103" s="2" t="n">
        <v>45884</v>
      </c>
      <c r="G103" s="2" t="n">
        <v>45889</v>
      </c>
      <c r="H103" s="1">
        <f>IF(G103="","",G103-F103)</f>
        <v/>
      </c>
      <c r="I103" s="1" t="inlineStr">
        <is>
          <t>Countersigned acceptance certificate</t>
        </is>
      </c>
      <c r="J103" s="1" t="inlineStr">
        <is>
          <t>40 percent on shipment</t>
        </is>
      </c>
      <c r="K103" s="1" t="n">
        <v>453994.18</v>
      </c>
      <c r="L103" s="1" t="inlineStr">
        <is>
          <t>Yes</t>
        </is>
      </c>
      <c r="M103" s="1" t="inlineStr">
        <is>
          <t>Complete</t>
        </is>
      </c>
      <c r="N103" s="1" t="inlineStr">
        <is>
          <t>J. Alvarez</t>
        </is>
      </c>
    </row>
    <row r="104">
      <c r="A104" s="1" t="inlineStr">
        <is>
          <t>AST-SOW-2025-659</t>
        </is>
      </c>
      <c r="B104" s="1" t="inlineStr">
        <is>
          <t>Asterion Logistics</t>
        </is>
      </c>
      <c r="C104" s="1" t="inlineStr">
        <is>
          <t>Tracy DC</t>
        </is>
      </c>
      <c r="D104" s="1" t="inlineStr">
        <is>
          <t>M40</t>
        </is>
      </c>
      <c r="E104" s="1" t="inlineStr">
        <is>
          <t>Mechanical installation complete</t>
        </is>
      </c>
      <c r="F104" s="2" t="n">
        <v>45862</v>
      </c>
      <c r="G104" s="2" t="n">
        <v>45870</v>
      </c>
      <c r="H104" s="1">
        <f>IF(G104="","",G104-F104)</f>
        <v/>
      </c>
      <c r="I104" s="1" t="inlineStr">
        <is>
          <t>Site sign-off form with throughput log attached</t>
        </is>
      </c>
      <c r="J104" s="1" t="inlineStr">
        <is>
          <t>None</t>
        </is>
      </c>
      <c r="K104" s="1" t="n">
        <v>0</v>
      </c>
      <c r="L104" s="1" t="inlineStr">
        <is>
          <t>No</t>
        </is>
      </c>
      <c r="M104" s="1" t="inlineStr">
        <is>
          <t>Complete</t>
        </is>
      </c>
      <c r="N104" s="1" t="inlineStr">
        <is>
          <t>F. Lindstrom</t>
        </is>
      </c>
    </row>
    <row r="105">
      <c r="A105" s="1" t="inlineStr">
        <is>
          <t>ABT-SOW-2025-322</t>
        </is>
      </c>
      <c r="B105" s="1" t="inlineStr">
        <is>
          <t>Alderbrook Textiles</t>
        </is>
      </c>
      <c r="C105" s="1" t="inlineStr">
        <is>
          <t>Alderbrook Loom 1</t>
        </is>
      </c>
      <c r="D105" s="1" t="inlineStr">
        <is>
          <t>M50</t>
        </is>
      </c>
      <c r="E105" s="1" t="inlineStr">
        <is>
          <t>Network and warehouse-system integration complete</t>
        </is>
      </c>
      <c r="F105" s="2" t="n">
        <v>46136</v>
      </c>
      <c r="G105" s="1" t="inlineStr"/>
      <c r="H105" s="1">
        <f>IF(G105="","",G105-F105)</f>
        <v/>
      </c>
      <c r="I105" s="1" t="inlineStr">
        <is>
          <t>No evidence located; open request with the account team</t>
        </is>
      </c>
      <c r="J105" s="1" t="inlineStr">
        <is>
          <t>None</t>
        </is>
      </c>
      <c r="K105" s="1" t="n">
        <v>0</v>
      </c>
      <c r="L105" s="1" t="inlineStr">
        <is>
          <t>No</t>
        </is>
      </c>
      <c r="M105" s="1" t="inlineStr">
        <is>
          <t>Blocked on customer</t>
        </is>
      </c>
      <c r="N105" s="1" t="inlineStr">
        <is>
          <t>J. Alvarez</t>
        </is>
      </c>
    </row>
    <row r="106">
      <c r="A106" s="1" t="inlineStr">
        <is>
          <t>JHS-SOW-2025-670</t>
        </is>
      </c>
      <c r="B106" s="1" t="inlineStr">
        <is>
          <t>Juniper Health Supply</t>
        </is>
      </c>
      <c r="C106" s="1" t="inlineStr">
        <is>
          <t>Juniper Sterile 1</t>
        </is>
      </c>
      <c r="D106" s="1" t="inlineStr">
        <is>
          <t>M60</t>
        </is>
      </c>
      <c r="E106" s="1" t="inlineStr">
        <is>
          <t>Safety validation witnessed by customer</t>
        </is>
      </c>
      <c r="F106" s="2" t="n">
        <v>45996</v>
      </c>
      <c r="G106" s="2" t="n">
        <v>45995</v>
      </c>
      <c r="H106" s="1">
        <f>IF(G106="","",G106-F106)</f>
        <v/>
      </c>
      <c r="I106" s="1" t="inlineStr">
        <is>
          <t>Customer email confirmation retained in the deployment file</t>
        </is>
      </c>
      <c r="J106" s="1" t="inlineStr">
        <is>
          <t>None</t>
        </is>
      </c>
      <c r="K106" s="1" t="n">
        <v>0</v>
      </c>
      <c r="L106" s="1" t="inlineStr">
        <is>
          <t>No</t>
        </is>
      </c>
      <c r="M106" s="1" t="inlineStr">
        <is>
          <t>Deferred at customer request</t>
        </is>
      </c>
      <c r="N106" s="1" t="inlineStr">
        <is>
          <t>B. Ng</t>
        </is>
      </c>
    </row>
    <row r="107">
      <c r="A107" s="1" t="inlineStr">
        <is>
          <t>QBM-SOW-2025-837</t>
        </is>
      </c>
      <c r="B107" s="1" t="inlineStr">
        <is>
          <t>Quarrybridge Materials</t>
        </is>
      </c>
      <c r="C107" s="1" t="inlineStr">
        <is>
          <t>Quarrybridge Site 1</t>
        </is>
      </c>
      <c r="D107" s="1" t="inlineStr">
        <is>
          <t>M70</t>
        </is>
      </c>
      <c r="E107" s="1" t="inlineStr">
        <is>
          <t>Pilot cell operating at contracted throughput</t>
        </is>
      </c>
      <c r="F107" s="2" t="n">
        <v>45702</v>
      </c>
      <c r="G107" s="1" t="inlineStr"/>
      <c r="H107" s="1">
        <f>IF(G107="","",G107-F107)</f>
        <v/>
      </c>
      <c r="I107" s="1" t="inlineStr">
        <is>
          <t>No evidence located; open request with the account team</t>
        </is>
      </c>
      <c r="J107" s="1" t="inlineStr">
        <is>
          <t>20 percent on pilot</t>
        </is>
      </c>
      <c r="K107" s="1" t="n">
        <v>60992.87</v>
      </c>
      <c r="L107" s="1" t="inlineStr">
        <is>
          <t>No</t>
        </is>
      </c>
      <c r="M107" s="1" t="inlineStr">
        <is>
          <t>In progress</t>
        </is>
      </c>
      <c r="N107" s="1" t="inlineStr">
        <is>
          <t>J. Alvarez</t>
        </is>
      </c>
    </row>
    <row r="108">
      <c r="A108" s="1" t="inlineStr">
        <is>
          <t>LKA-SOW-2024-412</t>
        </is>
      </c>
      <c r="B108" s="1" t="inlineStr">
        <is>
          <t>Larkspur Apparel</t>
        </is>
      </c>
      <c r="C108" s="1" t="inlineStr">
        <is>
          <t>Larkspur FC2</t>
        </is>
      </c>
      <c r="D108" s="1" t="inlineStr">
        <is>
          <t>M80</t>
        </is>
      </c>
      <c r="E108" s="1" t="inlineStr">
        <is>
          <t>Operator training delivered and signed off</t>
        </is>
      </c>
      <c r="F108" s="2" t="n">
        <v>45875</v>
      </c>
      <c r="G108" s="2" t="n">
        <v>45875</v>
      </c>
      <c r="H108" s="1">
        <f>IF(G108="","",G108-F108)</f>
        <v/>
      </c>
      <c r="I108" s="1" t="inlineStr">
        <is>
          <t>Countersigned acceptance certificate</t>
        </is>
      </c>
      <c r="J108" s="1" t="inlineStr">
        <is>
          <t>None</t>
        </is>
      </c>
      <c r="K108" s="1" t="n">
        <v>0</v>
      </c>
      <c r="L108" s="1" t="inlineStr">
        <is>
          <t>No</t>
        </is>
      </c>
      <c r="M108" s="1" t="inlineStr">
        <is>
          <t>Complete</t>
        </is>
      </c>
      <c r="N108" s="1" t="inlineStr">
        <is>
          <t>F. Lindstrom</t>
        </is>
      </c>
    </row>
    <row r="109">
      <c r="A109" s="1" t="inlineStr">
        <is>
          <t>PFU-SOW-2026-961</t>
        </is>
      </c>
      <c r="B109" s="1" t="inlineStr">
        <is>
          <t>Pioneer Freight Union</t>
        </is>
      </c>
      <c r="C109" s="1" t="inlineStr">
        <is>
          <t>Pioneer Hub</t>
        </is>
      </c>
      <c r="D109" s="1" t="inlineStr">
        <is>
          <t>M90</t>
        </is>
      </c>
      <c r="E109" s="1" t="inlineStr">
        <is>
          <t>Customer acceptance certificate countersigned</t>
        </is>
      </c>
      <c r="F109" s="2" t="n">
        <v>46058</v>
      </c>
      <c r="G109" s="2" t="n">
        <v>46092</v>
      </c>
      <c r="H109" s="1">
        <f>IF(G109="","",G109-F109)</f>
        <v/>
      </c>
      <c r="I109" s="1" t="inlineStr">
        <is>
          <t>Conditional acceptance letter with open punch list</t>
        </is>
      </c>
      <c r="J109" s="1" t="inlineStr">
        <is>
          <t>20 percent on acceptance</t>
        </is>
      </c>
      <c r="K109" s="1" t="n">
        <v>132856.66</v>
      </c>
      <c r="L109" s="1" t="inlineStr">
        <is>
          <t>No</t>
        </is>
      </c>
      <c r="M109" s="1" t="inlineStr">
        <is>
          <t>Deferred at customer request</t>
        </is>
      </c>
      <c r="N109" s="1" t="inlineStr">
        <is>
          <t>B. Ng</t>
        </is>
      </c>
    </row>
    <row r="110">
      <c r="A110" s="1" t="inlineStr">
        <is>
          <t>SRR-SOW-2024-754</t>
        </is>
      </c>
      <c r="B110" s="1" t="inlineStr">
        <is>
          <t>Summit Ridge Retail</t>
        </is>
      </c>
      <c r="C110" s="1" t="inlineStr">
        <is>
          <t>Summit RDC</t>
        </is>
      </c>
      <c r="D110" s="1" t="inlineStr">
        <is>
          <t>M95</t>
        </is>
      </c>
      <c r="E110" s="1" t="inlineStr">
        <is>
          <t>Warranty commencement recorded</t>
        </is>
      </c>
      <c r="F110" s="2" t="n">
        <v>45758</v>
      </c>
      <c r="G110" s="1" t="inlineStr"/>
      <c r="H110" s="1">
        <f>IF(G110="","",G110-F110)</f>
        <v/>
      </c>
      <c r="I110" s="1" t="inlineStr">
        <is>
          <t>No evidence located; open request with the account team</t>
        </is>
      </c>
      <c r="J110" s="1" t="inlineStr">
        <is>
          <t>None</t>
        </is>
      </c>
      <c r="K110" s="1" t="n">
        <v>0</v>
      </c>
      <c r="L110" s="1" t="inlineStr">
        <is>
          <t>No</t>
        </is>
      </c>
      <c r="M110" s="1" t="inlineStr">
        <is>
          <t>Blocked on customer</t>
        </is>
      </c>
      <c r="N110" s="1" t="inlineStr">
        <is>
          <t>F. Lindstrom</t>
        </is>
      </c>
    </row>
    <row r="111">
      <c r="A111" s="1" t="inlineStr">
        <is>
          <t>MDY-SOW-2026-478</t>
        </is>
      </c>
      <c r="B111" s="1" t="inlineStr">
        <is>
          <t>Meridian Dynamics</t>
        </is>
      </c>
      <c r="C111" s="1" t="inlineStr">
        <is>
          <t>Meridian Bay 7</t>
        </is>
      </c>
      <c r="D111" s="1" t="inlineStr">
        <is>
          <t>M10</t>
        </is>
      </c>
      <c r="E111" s="1" t="inlineStr">
        <is>
          <t>Contract signature and order acknowledgement</t>
        </is>
      </c>
      <c r="F111" s="2" t="n">
        <v>45964</v>
      </c>
      <c r="G111" s="2" t="n">
        <v>45964</v>
      </c>
      <c r="H111" s="1">
        <f>IF(G111="","",G111-F111)</f>
        <v/>
      </c>
      <c r="I111" s="1" t="inlineStr">
        <is>
          <t>Customer email confirmation retained in the deployment file</t>
        </is>
      </c>
      <c r="J111" s="1" t="inlineStr">
        <is>
          <t>20 percent on signature</t>
        </is>
      </c>
      <c r="K111" s="1" t="n">
        <v>191618.91</v>
      </c>
      <c r="L111" s="1" t="inlineStr">
        <is>
          <t>No</t>
        </is>
      </c>
      <c r="M111" s="1" t="inlineStr">
        <is>
          <t>Deferred at customer request</t>
        </is>
      </c>
      <c r="N111" s="1" t="inlineStr">
        <is>
          <t>H. Ferrand</t>
        </is>
      </c>
    </row>
    <row r="112">
      <c r="A112" s="1" t="inlineStr">
        <is>
          <t>YHG-SOW-2024-825</t>
        </is>
      </c>
      <c r="B112" s="1" t="inlineStr">
        <is>
          <t>Yarrow Home Goods</t>
        </is>
      </c>
      <c r="C112" s="1" t="inlineStr">
        <is>
          <t>Yarrow FC3</t>
        </is>
      </c>
      <c r="D112" s="1" t="inlineStr">
        <is>
          <t>M20</t>
        </is>
      </c>
      <c r="E112" s="1" t="inlineStr">
        <is>
          <t>Site survey complete and layout approved</t>
        </is>
      </c>
      <c r="F112" s="2" t="n">
        <v>45691</v>
      </c>
      <c r="G112" s="2" t="n">
        <v>45687</v>
      </c>
      <c r="H112" s="1">
        <f>IF(G112="","",G112-F112)</f>
        <v/>
      </c>
      <c r="I112" s="1" t="inlineStr">
        <is>
          <t>Customer email confirmation retained in the deployment file</t>
        </is>
      </c>
      <c r="J112" s="1" t="inlineStr">
        <is>
          <t>None</t>
        </is>
      </c>
      <c r="K112" s="1" t="n">
        <v>0</v>
      </c>
      <c r="L112" s="1" t="inlineStr">
        <is>
          <t>No</t>
        </is>
      </c>
      <c r="M112" s="1" t="inlineStr">
        <is>
          <t>Deferred at customer request</t>
        </is>
      </c>
      <c r="N112" s="1" t="inlineStr">
        <is>
          <t>J. Alvarez</t>
        </is>
      </c>
    </row>
    <row r="113">
      <c r="A113" s="1" t="inlineStr">
        <is>
          <t>ABT-SOW-2025-801</t>
        </is>
      </c>
      <c r="B113" s="1" t="inlineStr">
        <is>
          <t>Alderbrook Textiles</t>
        </is>
      </c>
      <c r="C113" s="1" t="inlineStr">
        <is>
          <t>Alderbrook Loom 1</t>
        </is>
      </c>
      <c r="D113" s="1" t="inlineStr">
        <is>
          <t>M30</t>
        </is>
      </c>
      <c r="E113" s="1" t="inlineStr">
        <is>
          <t>Hardware shipped to site</t>
        </is>
      </c>
      <c r="F113" s="2" t="n">
        <v>45831</v>
      </c>
      <c r="G113" s="2" t="n">
        <v>45827</v>
      </c>
      <c r="H113" s="1">
        <f>IF(G113="","",G113-F113)</f>
        <v/>
      </c>
      <c r="I113" s="1" t="inlineStr">
        <is>
          <t>Countersigned acceptance certificate</t>
        </is>
      </c>
      <c r="J113" s="1" t="inlineStr">
        <is>
          <t>40 percent on shipment</t>
        </is>
      </c>
      <c r="K113" s="1" t="n">
        <v>457398.26</v>
      </c>
      <c r="L113" s="1" t="inlineStr">
        <is>
          <t>Yes</t>
        </is>
      </c>
      <c r="M113" s="1" t="inlineStr">
        <is>
          <t>Complete</t>
        </is>
      </c>
      <c r="N113" s="1" t="inlineStr">
        <is>
          <t>F. Lindstrom</t>
        </is>
      </c>
    </row>
    <row r="114">
      <c r="A114" s="1" t="inlineStr">
        <is>
          <t>VRS-SOW-2024-843</t>
        </is>
      </c>
      <c r="B114" s="1" t="inlineStr">
        <is>
          <t>Vantage Robotics Supply</t>
        </is>
      </c>
      <c r="C114" s="1" t="inlineStr">
        <is>
          <t>Vantage Depot</t>
        </is>
      </c>
      <c r="D114" s="1" t="inlineStr">
        <is>
          <t>M40</t>
        </is>
      </c>
      <c r="E114" s="1" t="inlineStr">
        <is>
          <t>Mechanical installation complete</t>
        </is>
      </c>
      <c r="F114" s="2" t="n">
        <v>46204</v>
      </c>
      <c r="G114" s="2" t="n">
        <v>46209</v>
      </c>
      <c r="H114" s="1">
        <f>IF(G114="","",G114-F114)</f>
        <v/>
      </c>
      <c r="I114" s="1" t="inlineStr">
        <is>
          <t>Customer email confirmation retained in the deployment file</t>
        </is>
      </c>
      <c r="J114" s="1" t="inlineStr">
        <is>
          <t>None</t>
        </is>
      </c>
      <c r="K114" s="1" t="n">
        <v>0</v>
      </c>
      <c r="L114" s="1" t="inlineStr">
        <is>
          <t>No</t>
        </is>
      </c>
      <c r="M114" s="1" t="inlineStr">
        <is>
          <t>Complete</t>
        </is>
      </c>
      <c r="N114" s="1" t="inlineStr">
        <is>
          <t>F. Lindstrom</t>
        </is>
      </c>
    </row>
    <row r="115">
      <c r="A115" s="1" t="inlineStr">
        <is>
          <t>LKA-SOW-2024-698</t>
        </is>
      </c>
      <c r="B115" s="1" t="inlineStr">
        <is>
          <t>Larkspur Apparel</t>
        </is>
      </c>
      <c r="C115" s="1" t="inlineStr">
        <is>
          <t>Larkspur FC2</t>
        </is>
      </c>
      <c r="D115" s="1" t="inlineStr">
        <is>
          <t>M50</t>
        </is>
      </c>
      <c r="E115" s="1" t="inlineStr">
        <is>
          <t>Network and warehouse-system integration complete</t>
        </is>
      </c>
      <c r="F115" s="2" t="n">
        <v>45960</v>
      </c>
      <c r="G115" s="2" t="n">
        <v>45994</v>
      </c>
      <c r="H115" s="1">
        <f>IF(G115="","",G115-F115)</f>
        <v/>
      </c>
      <c r="I115" s="1" t="inlineStr">
        <is>
          <t>Training attendance register</t>
        </is>
      </c>
      <c r="J115" s="1" t="inlineStr">
        <is>
          <t>None</t>
        </is>
      </c>
      <c r="K115" s="1" t="n">
        <v>0</v>
      </c>
      <c r="L115" s="1" t="inlineStr">
        <is>
          <t>No</t>
        </is>
      </c>
      <c r="M115" s="1" t="inlineStr">
        <is>
          <t>Complete</t>
        </is>
      </c>
      <c r="N115" s="1" t="inlineStr">
        <is>
          <t>F. Lindstrom</t>
        </is>
      </c>
    </row>
    <row r="116">
      <c r="A116" s="1" t="inlineStr">
        <is>
          <t>QBM-SOW-2026-457</t>
        </is>
      </c>
      <c r="B116" s="1" t="inlineStr">
        <is>
          <t>Quarrybridge Materials</t>
        </is>
      </c>
      <c r="C116" s="1" t="inlineStr">
        <is>
          <t>Quarrybridge Site 1</t>
        </is>
      </c>
      <c r="D116" s="1" t="inlineStr">
        <is>
          <t>M60</t>
        </is>
      </c>
      <c r="E116" s="1" t="inlineStr">
        <is>
          <t>Safety validation witnessed by customer</t>
        </is>
      </c>
      <c r="F116" s="2" t="n">
        <v>45723</v>
      </c>
      <c r="G116" s="2" t="n">
        <v>45757</v>
      </c>
      <c r="H116" s="1">
        <f>IF(G116="","",G116-F116)</f>
        <v/>
      </c>
      <c r="I116" s="1" t="inlineStr">
        <is>
          <t>Customer email confirmation retained in the deployment file</t>
        </is>
      </c>
      <c r="J116" s="1" t="inlineStr">
        <is>
          <t>None</t>
        </is>
      </c>
      <c r="K116" s="1" t="n">
        <v>0</v>
      </c>
      <c r="L116" s="1" t="inlineStr">
        <is>
          <t>No</t>
        </is>
      </c>
      <c r="M116" s="1" t="inlineStr">
        <is>
          <t>Conditionally accepted</t>
        </is>
      </c>
      <c r="N116" s="1" t="inlineStr">
        <is>
          <t>H. Ferrand</t>
        </is>
      </c>
    </row>
    <row r="117">
      <c r="A117" s="1" t="inlineStr">
        <is>
          <t>VRS-SOW-2024-870</t>
        </is>
      </c>
      <c r="B117" s="1" t="inlineStr">
        <is>
          <t>Vantage Robotics Supply</t>
        </is>
      </c>
      <c r="C117" s="1" t="inlineStr">
        <is>
          <t>Vantage Depot</t>
        </is>
      </c>
      <c r="D117" s="1" t="inlineStr">
        <is>
          <t>M70</t>
        </is>
      </c>
      <c r="E117" s="1" t="inlineStr">
        <is>
          <t>Pilot cell operating at contracted throughput</t>
        </is>
      </c>
      <c r="F117" s="2" t="n">
        <v>46028</v>
      </c>
      <c r="G117" s="2" t="n">
        <v>46024</v>
      </c>
      <c r="H117" s="1">
        <f>IF(G117="","",G117-F117)</f>
        <v/>
      </c>
      <c r="I117" s="1" t="inlineStr">
        <is>
          <t>Training attendance register</t>
        </is>
      </c>
      <c r="J117" s="1" t="inlineStr">
        <is>
          <t>20 percent on pilot</t>
        </is>
      </c>
      <c r="K117" s="1" t="n">
        <v>55519.55</v>
      </c>
      <c r="L117" s="1" t="inlineStr">
        <is>
          <t>Yes</t>
        </is>
      </c>
      <c r="M117" s="1" t="inlineStr">
        <is>
          <t>Complete</t>
        </is>
      </c>
      <c r="N117" s="1" t="inlineStr">
        <is>
          <t>H. Ferrand</t>
        </is>
      </c>
    </row>
    <row r="118">
      <c r="A118" s="1" t="inlineStr">
        <is>
          <t>BMC-SOW-2024-678</t>
        </is>
      </c>
      <c r="B118" s="1" t="inlineStr">
        <is>
          <t>Blue Mesa Components</t>
        </is>
      </c>
      <c r="C118" s="1" t="inlineStr">
        <is>
          <t>Mesa Plant 2</t>
        </is>
      </c>
      <c r="D118" s="1" t="inlineStr">
        <is>
          <t>M80</t>
        </is>
      </c>
      <c r="E118" s="1" t="inlineStr">
        <is>
          <t>Operator training delivered and signed off</t>
        </is>
      </c>
      <c r="F118" s="2" t="n">
        <v>46010</v>
      </c>
      <c r="G118" s="2" t="n">
        <v>46009</v>
      </c>
      <c r="H118" s="1">
        <f>IF(G118="","",G118-F118)</f>
        <v/>
      </c>
      <c r="I118" s="1" t="inlineStr">
        <is>
          <t>Witnessed safety validation report</t>
        </is>
      </c>
      <c r="J118" s="1" t="inlineStr">
        <is>
          <t>None</t>
        </is>
      </c>
      <c r="K118" s="1" t="n">
        <v>0</v>
      </c>
      <c r="L118" s="1" t="inlineStr">
        <is>
          <t>No</t>
        </is>
      </c>
      <c r="M118" s="1" t="inlineStr">
        <is>
          <t>Conditionally accepted</t>
        </is>
      </c>
      <c r="N118" s="1" t="inlineStr">
        <is>
          <t>F. Lindstrom</t>
        </is>
      </c>
    </row>
    <row r="119">
      <c r="A119" s="1" t="inlineStr">
        <is>
          <t>QBM-SOW-2026-641</t>
        </is>
      </c>
      <c r="B119" s="1" t="inlineStr">
        <is>
          <t>Quarrybridge Materials</t>
        </is>
      </c>
      <c r="C119" s="1" t="inlineStr">
        <is>
          <t>Quarrybridge Site 1</t>
        </is>
      </c>
      <c r="D119" s="1" t="inlineStr">
        <is>
          <t>M90</t>
        </is>
      </c>
      <c r="E119" s="1" t="inlineStr">
        <is>
          <t>Customer acceptance certificate countersigned</t>
        </is>
      </c>
      <c r="F119" s="2" t="n">
        <v>45730</v>
      </c>
      <c r="G119" s="1" t="inlineStr"/>
      <c r="H119" s="1">
        <f>IF(G119="","",G119-F119)</f>
        <v/>
      </c>
      <c r="I119" s="1" t="inlineStr">
        <is>
          <t>No evidence located; open request with the account team</t>
        </is>
      </c>
      <c r="J119" s="1" t="inlineStr">
        <is>
          <t>20 percent on acceptance</t>
        </is>
      </c>
      <c r="K119" s="1" t="n">
        <v>329266.81</v>
      </c>
      <c r="L119" s="1" t="inlineStr">
        <is>
          <t>No</t>
        </is>
      </c>
      <c r="M119" s="1" t="inlineStr">
        <is>
          <t>In progress</t>
        </is>
      </c>
      <c r="N119" s="1" t="inlineStr">
        <is>
          <t>S. Vitale</t>
        </is>
      </c>
    </row>
    <row r="120">
      <c r="A120" s="1" t="inlineStr">
        <is>
          <t>LKA-SOW-2025-628</t>
        </is>
      </c>
      <c r="B120" s="1" t="inlineStr">
        <is>
          <t>Larkspur Apparel</t>
        </is>
      </c>
      <c r="C120" s="1" t="inlineStr">
        <is>
          <t>Larkspur FC2</t>
        </is>
      </c>
      <c r="D120" s="1" t="inlineStr">
        <is>
          <t>M95</t>
        </is>
      </c>
      <c r="E120" s="1" t="inlineStr">
        <is>
          <t>Warranty commencement recorded</t>
        </is>
      </c>
      <c r="F120" s="2" t="n">
        <v>46063</v>
      </c>
      <c r="G120" s="1" t="inlineStr"/>
      <c r="H120" s="1">
        <f>IF(G120="","",G120-F120)</f>
        <v/>
      </c>
      <c r="I120" s="1" t="inlineStr">
        <is>
          <t>No evidence located; open request with the account team</t>
        </is>
      </c>
      <c r="J120" s="1" t="inlineStr">
        <is>
          <t>None</t>
        </is>
      </c>
      <c r="K120" s="1" t="n">
        <v>0</v>
      </c>
      <c r="L120" s="1" t="inlineStr">
        <is>
          <t>No</t>
        </is>
      </c>
      <c r="M120" s="1" t="inlineStr">
        <is>
          <t>Planned</t>
        </is>
      </c>
      <c r="N120" s="1" t="inlineStr">
        <is>
          <t>B. Ng</t>
        </is>
      </c>
    </row>
    <row r="121">
      <c r="A121" s="1" t="inlineStr">
        <is>
          <t>VRS-SOW-2026-359</t>
        </is>
      </c>
      <c r="B121" s="1" t="inlineStr">
        <is>
          <t>Vantage Robotics Supply</t>
        </is>
      </c>
      <c r="C121" s="1" t="inlineStr">
        <is>
          <t>Vantage Depot</t>
        </is>
      </c>
      <c r="D121" s="1" t="inlineStr">
        <is>
          <t>M10</t>
        </is>
      </c>
      <c r="E121" s="1" t="inlineStr">
        <is>
          <t>Contract signature and order acknowledgement</t>
        </is>
      </c>
      <c r="F121" s="2" t="n">
        <v>45832</v>
      </c>
      <c r="G121" s="2" t="n">
        <v>45832</v>
      </c>
      <c r="H121" s="1">
        <f>IF(G121="","",G121-F121)</f>
        <v/>
      </c>
      <c r="I121" s="1" t="inlineStr">
        <is>
          <t>Conditional acceptance letter with open punch list</t>
        </is>
      </c>
      <c r="J121" s="1" t="inlineStr">
        <is>
          <t>20 percent on signature</t>
        </is>
      </c>
      <c r="K121" s="1" t="n">
        <v>212534.36</v>
      </c>
      <c r="L121" s="1" t="inlineStr">
        <is>
          <t>Yes</t>
        </is>
      </c>
      <c r="M121" s="1" t="inlineStr">
        <is>
          <t>Complete</t>
        </is>
      </c>
      <c r="N121" s="1" t="inlineStr">
        <is>
          <t>S. Vitale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contract_ref</t>
        </is>
      </c>
      <c r="B1" s="1" t="inlineStr">
        <is>
          <t>customer</t>
        </is>
      </c>
      <c r="C1" s="1" t="inlineStr">
        <is>
          <t>site</t>
        </is>
      </c>
      <c r="D1" s="1" t="inlineStr">
        <is>
          <t>milestone_code</t>
        </is>
      </c>
      <c r="E1" s="1" t="inlineStr">
        <is>
          <t>milestone_description</t>
        </is>
      </c>
      <c r="F1" s="1" t="inlineStr">
        <is>
          <t>planned_date</t>
        </is>
      </c>
      <c r="G1" s="1" t="inlineStr">
        <is>
          <t>actual_date</t>
        </is>
      </c>
      <c r="H1" s="1" t="inlineStr">
        <is>
          <t>days_variance</t>
        </is>
      </c>
      <c r="I1" s="1" t="inlineStr">
        <is>
          <t>acceptance_evidence</t>
        </is>
      </c>
      <c r="J1" s="1" t="inlineStr">
        <is>
          <t>invoice_trigger</t>
        </is>
      </c>
      <c r="K1" s="1" t="inlineStr">
        <is>
          <t>milestone_amount</t>
        </is>
      </c>
      <c r="L1" s="1" t="inlineStr">
        <is>
          <t>invoiced_flag</t>
        </is>
      </c>
      <c r="M1" s="1" t="inlineStr">
        <is>
          <t>status</t>
        </is>
      </c>
      <c r="N1" s="1" t="inlineStr">
        <is>
          <t>owner</t>
        </is>
      </c>
    </row>
    <row r="2">
      <c r="A2" s="1" t="inlineStr">
        <is>
          <t>NFB-SOW-2026-265</t>
        </is>
      </c>
      <c r="B2" s="1" t="inlineStr">
        <is>
          <t>Northfield Beverage</t>
        </is>
      </c>
      <c r="C2" s="1" t="inlineStr">
        <is>
          <t>Northfield Line 5</t>
        </is>
      </c>
      <c r="D2" s="1" t="inlineStr">
        <is>
          <t>M20</t>
        </is>
      </c>
      <c r="E2" s="1" t="inlineStr">
        <is>
          <t>Site survey complete and layout approved</t>
        </is>
      </c>
      <c r="F2" s="2" t="n">
        <v>45727</v>
      </c>
      <c r="G2" s="2" t="n">
        <v>45729</v>
      </c>
      <c r="H2" s="1">
        <f>IF(G2="","",G2-F2)</f>
        <v/>
      </c>
      <c r="I2" s="1" t="inlineStr">
        <is>
          <t>Training attendance register</t>
        </is>
      </c>
      <c r="J2" s="1" t="inlineStr">
        <is>
          <t>None</t>
        </is>
      </c>
      <c r="K2" s="1" t="n">
        <v>0</v>
      </c>
      <c r="L2" s="1" t="inlineStr">
        <is>
          <t>No</t>
        </is>
      </c>
      <c r="M2" s="1" t="inlineStr">
        <is>
          <t>Conditionally accepted</t>
        </is>
      </c>
      <c r="N2" s="1" t="inlineStr">
        <is>
          <t>F. Lindstrom</t>
        </is>
      </c>
    </row>
    <row r="3">
      <c r="A3" s="1" t="inlineStr">
        <is>
          <t>WCD-SOW-2024-318</t>
        </is>
      </c>
      <c r="B3" s="1" t="inlineStr">
        <is>
          <t>Westlake Chemical Depot</t>
        </is>
      </c>
      <c r="C3" s="1" t="inlineStr">
        <is>
          <t>Westlake Tank 6</t>
        </is>
      </c>
      <c r="D3" s="1" t="inlineStr">
        <is>
          <t>M30</t>
        </is>
      </c>
      <c r="E3" s="1" t="inlineStr">
        <is>
          <t>Hardware shipped to site</t>
        </is>
      </c>
      <c r="F3" s="2" t="n">
        <v>45918</v>
      </c>
      <c r="G3" s="1" t="inlineStr"/>
      <c r="H3" s="1">
        <f>IF(G3="","",G3-F3)</f>
        <v/>
      </c>
      <c r="I3" s="1" t="inlineStr">
        <is>
          <t>No evidence located; open request with the account team</t>
        </is>
      </c>
      <c r="J3" s="1" t="inlineStr">
        <is>
          <t>40 percent on shipment</t>
        </is>
      </c>
      <c r="K3" s="1" t="n">
        <v>279424.04</v>
      </c>
      <c r="L3" s="1" t="inlineStr">
        <is>
          <t>No</t>
        </is>
      </c>
      <c r="M3" s="1" t="inlineStr">
        <is>
          <t>Planned</t>
        </is>
      </c>
      <c r="N3" s="1" t="inlineStr">
        <is>
          <t>S. Vitale</t>
        </is>
      </c>
    </row>
    <row r="4">
      <c r="A4" s="1" t="inlineStr">
        <is>
          <t>JHS-SOW-2024-294</t>
        </is>
      </c>
      <c r="B4" s="1" t="inlineStr">
        <is>
          <t>Juniper Health Supply</t>
        </is>
      </c>
      <c r="C4" s="1" t="inlineStr">
        <is>
          <t>Juniper Sterile 1</t>
        </is>
      </c>
      <c r="D4" s="1" t="inlineStr">
        <is>
          <t>M40</t>
        </is>
      </c>
      <c r="E4" s="1" t="inlineStr">
        <is>
          <t>Mechanical installation complete</t>
        </is>
      </c>
      <c r="F4" s="2" t="n">
        <v>45763</v>
      </c>
      <c r="G4" s="1" t="inlineStr"/>
      <c r="H4" s="1">
        <f>IF(G4="","",G4-F4)</f>
        <v/>
      </c>
      <c r="I4" s="1" t="inlineStr">
        <is>
          <t>No evidence located; open request with the account team</t>
        </is>
      </c>
      <c r="J4" s="1" t="inlineStr">
        <is>
          <t>None</t>
        </is>
      </c>
      <c r="K4" s="1" t="n">
        <v>0</v>
      </c>
      <c r="L4" s="1" t="inlineStr">
        <is>
          <t>No</t>
        </is>
      </c>
      <c r="M4" s="1" t="inlineStr">
        <is>
          <t>In progress</t>
        </is>
      </c>
      <c r="N4" s="1" t="inlineStr">
        <is>
          <t>H. Ferrand</t>
        </is>
      </c>
    </row>
    <row r="5">
      <c r="A5" s="1" t="inlineStr">
        <is>
          <t>ABT-SOW-2025-132</t>
        </is>
      </c>
      <c r="B5" s="1" t="inlineStr">
        <is>
          <t>Alderbrook Textiles</t>
        </is>
      </c>
      <c r="C5" s="1" t="inlineStr">
        <is>
          <t>Alderbrook Loom 1</t>
        </is>
      </c>
      <c r="D5" s="1" t="inlineStr">
        <is>
          <t>M50</t>
        </is>
      </c>
      <c r="E5" s="1" t="inlineStr">
        <is>
          <t>Network and warehouse-system integration complete</t>
        </is>
      </c>
      <c r="F5" s="2" t="n">
        <v>45789</v>
      </c>
      <c r="G5" s="2" t="n">
        <v>45821</v>
      </c>
      <c r="H5" s="1">
        <f>IF(G5="","",G5-F5)</f>
        <v/>
      </c>
      <c r="I5" s="1" t="inlineStr">
        <is>
          <t>Site sign-off form with throughput log attached</t>
        </is>
      </c>
      <c r="J5" s="1" t="inlineStr">
        <is>
          <t>None</t>
        </is>
      </c>
      <c r="K5" s="1" t="n">
        <v>0</v>
      </c>
      <c r="L5" s="1" t="inlineStr">
        <is>
          <t>No</t>
        </is>
      </c>
      <c r="M5" s="1" t="inlineStr">
        <is>
          <t>Complete</t>
        </is>
      </c>
      <c r="N5" s="1" t="inlineStr">
        <is>
          <t>B. Ng</t>
        </is>
      </c>
    </row>
    <row r="6">
      <c r="A6" s="1" t="inlineStr">
        <is>
          <t>DBI-SOW-2024-423</t>
        </is>
      </c>
      <c r="B6" s="1" t="inlineStr">
        <is>
          <t>Dunbar Industrial</t>
        </is>
      </c>
      <c r="C6" s="1" t="inlineStr">
        <is>
          <t>Dunbar Works</t>
        </is>
      </c>
      <c r="D6" s="1" t="inlineStr">
        <is>
          <t>M60</t>
        </is>
      </c>
      <c r="E6" s="1" t="inlineStr">
        <is>
          <t>Safety validation witnessed by customer</t>
        </is>
      </c>
      <c r="F6" s="2" t="n">
        <v>46008</v>
      </c>
      <c r="G6" s="2" t="n">
        <v>46024</v>
      </c>
      <c r="H6" s="1">
        <f>IF(G6="","",G6-F6)</f>
        <v/>
      </c>
      <c r="I6" s="1" t="inlineStr">
        <is>
          <t>Conditional acceptance letter with open punch list</t>
        </is>
      </c>
      <c r="J6" s="1" t="inlineStr">
        <is>
          <t>None</t>
        </is>
      </c>
      <c r="K6" s="1" t="n">
        <v>0</v>
      </c>
      <c r="L6" s="1" t="inlineStr">
        <is>
          <t>No</t>
        </is>
      </c>
      <c r="M6" s="1" t="inlineStr">
        <is>
          <t>Conditionally accepted</t>
        </is>
      </c>
      <c r="N6" s="1" t="inlineStr">
        <is>
          <t>J. Alvarez</t>
        </is>
      </c>
    </row>
    <row r="7">
      <c r="A7" s="1" t="inlineStr">
        <is>
          <t>RWO-SOW-2026-148</t>
        </is>
      </c>
      <c r="B7" s="1" t="inlineStr">
        <is>
          <t>Redwood Optics</t>
        </is>
      </c>
      <c r="C7" s="1" t="inlineStr">
        <is>
          <t>Redwood Clean 3</t>
        </is>
      </c>
      <c r="D7" s="1" t="inlineStr">
        <is>
          <t>M70</t>
        </is>
      </c>
      <c r="E7" s="1" t="inlineStr">
        <is>
          <t>Pilot cell operating at contracted throughput</t>
        </is>
      </c>
      <c r="F7" s="2" t="n">
        <v>45919</v>
      </c>
      <c r="G7" s="1" t="inlineStr"/>
      <c r="H7" s="1">
        <f>IF(G7="","",G7-F7)</f>
        <v/>
      </c>
      <c r="I7" s="1" t="inlineStr">
        <is>
          <t>No evidence located; open request with the account team</t>
        </is>
      </c>
      <c r="J7" s="1" t="inlineStr">
        <is>
          <t>20 percent on pilot</t>
        </is>
      </c>
      <c r="K7" s="1" t="n">
        <v>175839.57</v>
      </c>
      <c r="L7" s="1" t="inlineStr">
        <is>
          <t>No</t>
        </is>
      </c>
      <c r="M7" s="1" t="inlineStr">
        <is>
          <t>Blocked on customer</t>
        </is>
      </c>
      <c r="N7" s="1" t="inlineStr">
        <is>
          <t>S. Vitale</t>
        </is>
      </c>
    </row>
    <row r="8">
      <c r="A8" s="1" t="inlineStr">
        <is>
          <t>PFU-SOW-2025-698</t>
        </is>
      </c>
      <c r="B8" s="1" t="inlineStr">
        <is>
          <t>Pioneer Freight Union</t>
        </is>
      </c>
      <c r="C8" s="1" t="inlineStr">
        <is>
          <t>Pioneer Hub</t>
        </is>
      </c>
      <c r="D8" s="1" t="inlineStr">
        <is>
          <t>M80</t>
        </is>
      </c>
      <c r="E8" s="1" t="inlineStr">
        <is>
          <t>Operator training delivered and signed off</t>
        </is>
      </c>
      <c r="F8" s="2" t="n">
        <v>45954</v>
      </c>
      <c r="G8" s="1" t="inlineStr"/>
      <c r="H8" s="1">
        <f>IF(G8="","",G8-F8)</f>
        <v/>
      </c>
      <c r="I8" s="1" t="inlineStr">
        <is>
          <t>No evidence located; open request with the account team</t>
        </is>
      </c>
      <c r="J8" s="1" t="inlineStr">
        <is>
          <t>None</t>
        </is>
      </c>
      <c r="K8" s="1" t="n">
        <v>0</v>
      </c>
      <c r="L8" s="1" t="inlineStr">
        <is>
          <t>No</t>
        </is>
      </c>
      <c r="M8" s="1" t="inlineStr">
        <is>
          <t>Blocked on customer</t>
        </is>
      </c>
      <c r="N8" s="1" t="inlineStr">
        <is>
          <t>F. Lindstrom</t>
        </is>
      </c>
    </row>
    <row r="9">
      <c r="A9" s="1" t="inlineStr">
        <is>
          <t>QBM-SOW-2026-538</t>
        </is>
      </c>
      <c r="B9" s="1" t="inlineStr">
        <is>
          <t>Quarrybridge Materials</t>
        </is>
      </c>
      <c r="C9" s="1" t="inlineStr">
        <is>
          <t>Quarrybridge Site 1</t>
        </is>
      </c>
      <c r="D9" s="1" t="inlineStr">
        <is>
          <t>M90</t>
        </is>
      </c>
      <c r="E9" s="1" t="inlineStr">
        <is>
          <t>Customer acceptance certificate countersigned</t>
        </is>
      </c>
      <c r="F9" s="2" t="n">
        <v>45960</v>
      </c>
      <c r="G9" s="2" t="n">
        <v>45994</v>
      </c>
      <c r="H9" s="1">
        <f>IF(G9="","",G9-F9)</f>
        <v/>
      </c>
      <c r="I9" s="1" t="inlineStr">
        <is>
          <t>Site sign-off form with throughput log attached</t>
        </is>
      </c>
      <c r="J9" s="1" t="inlineStr">
        <is>
          <t>20 percent on acceptance</t>
        </is>
      </c>
      <c r="K9" s="1" t="n">
        <v>396660.24</v>
      </c>
      <c r="L9" s="1" t="inlineStr">
        <is>
          <t>Yes</t>
        </is>
      </c>
      <c r="M9" s="1" t="inlineStr">
        <is>
          <t>Complete</t>
        </is>
      </c>
      <c r="N9" s="1" t="inlineStr">
        <is>
          <t>F. Lindstrom</t>
        </is>
      </c>
    </row>
    <row r="10">
      <c r="A10" s="1" t="inlineStr">
        <is>
          <t>HLS-SOW-2025-634</t>
        </is>
      </c>
      <c r="B10" s="1" t="inlineStr">
        <is>
          <t>Harborline Systems</t>
        </is>
      </c>
      <c r="C10" s="1" t="inlineStr">
        <is>
          <t>Harborline Pier 9</t>
        </is>
      </c>
      <c r="D10" s="1" t="inlineStr">
        <is>
          <t>M95</t>
        </is>
      </c>
      <c r="E10" s="1" t="inlineStr">
        <is>
          <t>Warranty commencement recorded</t>
        </is>
      </c>
      <c r="F10" s="2" t="n">
        <v>45978</v>
      </c>
      <c r="G10" s="1" t="inlineStr"/>
      <c r="H10" s="1">
        <f>IF(G10="","",G10-F10)</f>
        <v/>
      </c>
      <c r="I10" s="1" t="inlineStr">
        <is>
          <t>No evidence located; open request with the account team</t>
        </is>
      </c>
      <c r="J10" s="1" t="inlineStr">
        <is>
          <t>None</t>
        </is>
      </c>
      <c r="K10" s="1" t="n">
        <v>0</v>
      </c>
      <c r="L10" s="1" t="inlineStr">
        <is>
          <t>No</t>
        </is>
      </c>
      <c r="M10" s="1" t="inlineStr">
        <is>
          <t>Blocked on customer</t>
        </is>
      </c>
      <c r="N10" s="1" t="inlineStr">
        <is>
          <t>S. Vitale</t>
        </is>
      </c>
    </row>
    <row r="11">
      <c r="A11" s="1" t="inlineStr">
        <is>
          <t>GPD-SOW-2026-737</t>
        </is>
      </c>
      <c r="B11" s="1" t="inlineStr">
        <is>
          <t>Granite Peak Distribution</t>
        </is>
      </c>
      <c r="C11" s="1" t="inlineStr">
        <is>
          <t>Granite Yard</t>
        </is>
      </c>
      <c r="D11" s="1" t="inlineStr">
        <is>
          <t>M10</t>
        </is>
      </c>
      <c r="E11" s="1" t="inlineStr">
        <is>
          <t>Contract signature and order acknowledgement</t>
        </is>
      </c>
      <c r="F11" s="2" t="n">
        <v>46066</v>
      </c>
      <c r="G11" s="2" t="n">
        <v>46066</v>
      </c>
      <c r="H11" s="1">
        <f>IF(G11="","",G11-F11)</f>
        <v/>
      </c>
      <c r="I11" s="1" t="inlineStr">
        <is>
          <t>Witnessed safety validation report</t>
        </is>
      </c>
      <c r="J11" s="1" t="inlineStr">
        <is>
          <t>20 percent on signature</t>
        </is>
      </c>
      <c r="K11" s="1" t="n">
        <v>101205.68</v>
      </c>
      <c r="L11" s="1" t="inlineStr">
        <is>
          <t>No</t>
        </is>
      </c>
      <c r="M11" s="1" t="inlineStr">
        <is>
          <t>Deferred at customer request</t>
        </is>
      </c>
      <c r="N11" s="1" t="inlineStr">
        <is>
          <t>J. Alvarez</t>
        </is>
      </c>
    </row>
    <row r="12">
      <c r="A12" s="1" t="inlineStr">
        <is>
          <t>ZAC-SOW-2024-830</t>
        </is>
      </c>
      <c r="B12" s="1" t="inlineStr">
        <is>
          <t>Zephyr Air Cargo</t>
        </is>
      </c>
      <c r="C12" s="1" t="inlineStr">
        <is>
          <t>Zephyr Ramp 2</t>
        </is>
      </c>
      <c r="D12" s="1" t="inlineStr">
        <is>
          <t>M20</t>
        </is>
      </c>
      <c r="E12" s="1" t="inlineStr">
        <is>
          <t>Site survey complete and layout approved</t>
        </is>
      </c>
      <c r="F12" s="2" t="n">
        <v>45974</v>
      </c>
      <c r="G12" s="2" t="n">
        <v>45968</v>
      </c>
      <c r="H12" s="1">
        <f>IF(G12="","",G12-F12)</f>
        <v/>
      </c>
      <c r="I12" s="1" t="inlineStr">
        <is>
          <t>Conditional acceptance letter with open punch list</t>
        </is>
      </c>
      <c r="J12" s="1" t="inlineStr">
        <is>
          <t>None</t>
        </is>
      </c>
      <c r="K12" s="1" t="n">
        <v>0</v>
      </c>
      <c r="L12" s="1" t="inlineStr">
        <is>
          <t>No</t>
        </is>
      </c>
      <c r="M12" s="1" t="inlineStr">
        <is>
          <t>Complete</t>
        </is>
      </c>
      <c r="N12" s="1" t="inlineStr">
        <is>
          <t>B. Ng</t>
        </is>
      </c>
    </row>
    <row r="13">
      <c r="A13" s="1" t="inlineStr">
        <is>
          <t>LKA-SOW-2026-902</t>
        </is>
      </c>
      <c r="B13" s="1" t="inlineStr">
        <is>
          <t>Larkspur Apparel</t>
        </is>
      </c>
      <c r="C13" s="1" t="inlineStr">
        <is>
          <t>Larkspur FC2</t>
        </is>
      </c>
      <c r="D13" s="1" t="inlineStr">
        <is>
          <t>M30</t>
        </is>
      </c>
      <c r="E13" s="1" t="inlineStr">
        <is>
          <t>Hardware shipped to site</t>
        </is>
      </c>
      <c r="F13" s="2" t="n">
        <v>46121</v>
      </c>
      <c r="G13" s="2" t="n">
        <v>46122</v>
      </c>
      <c r="H13" s="1">
        <f>IF(G13="","",G13-F13)</f>
        <v/>
      </c>
      <c r="I13" s="1" t="inlineStr">
        <is>
          <t>Site sign-off form with throughput log attached</t>
        </is>
      </c>
      <c r="J13" s="1" t="inlineStr">
        <is>
          <t>40 percent on shipment</t>
        </is>
      </c>
      <c r="K13" s="1" t="n">
        <v>103895.74</v>
      </c>
      <c r="L13" s="1" t="inlineStr">
        <is>
          <t>Yes</t>
        </is>
      </c>
      <c r="M13" s="1" t="inlineStr">
        <is>
          <t>Complete</t>
        </is>
      </c>
      <c r="N13" s="1" t="inlineStr">
        <is>
          <t>B. Ng</t>
        </is>
      </c>
    </row>
    <row r="14">
      <c r="A14" s="1" t="inlineStr">
        <is>
          <t>DBI-SOW-2026-854</t>
        </is>
      </c>
      <c r="B14" s="1" t="inlineStr">
        <is>
          <t>Dunbar Industrial</t>
        </is>
      </c>
      <c r="C14" s="1" t="inlineStr">
        <is>
          <t>Dunbar Works</t>
        </is>
      </c>
      <c r="D14" s="1" t="inlineStr">
        <is>
          <t>M40</t>
        </is>
      </c>
      <c r="E14" s="1" t="inlineStr">
        <is>
          <t>Mechanical installation complete</t>
        </is>
      </c>
      <c r="F14" s="2" t="n">
        <v>46044</v>
      </c>
      <c r="G14" s="1" t="inlineStr"/>
      <c r="H14" s="1">
        <f>IF(G14="","",G14-F14)</f>
        <v/>
      </c>
      <c r="I14" s="1" t="inlineStr">
        <is>
          <t>No evidence located; open request with the account team</t>
        </is>
      </c>
      <c r="J14" s="1" t="inlineStr">
        <is>
          <t>None</t>
        </is>
      </c>
      <c r="K14" s="1" t="n">
        <v>0</v>
      </c>
      <c r="L14" s="1" t="inlineStr">
        <is>
          <t>No</t>
        </is>
      </c>
      <c r="M14" s="1" t="inlineStr">
        <is>
          <t>In progress</t>
        </is>
      </c>
      <c r="N14" s="1" t="inlineStr">
        <is>
          <t>B. Ng</t>
        </is>
      </c>
    </row>
    <row r="15">
      <c r="A15" s="1" t="inlineStr">
        <is>
          <t>HLS-SOW-2024-794</t>
        </is>
      </c>
      <c r="B15" s="1" t="inlineStr">
        <is>
          <t>Harborline Systems</t>
        </is>
      </c>
      <c r="C15" s="1" t="inlineStr">
        <is>
          <t>Harborline Pier 9</t>
        </is>
      </c>
      <c r="D15" s="1" t="inlineStr">
        <is>
          <t>M50</t>
        </is>
      </c>
      <c r="E15" s="1" t="inlineStr">
        <is>
          <t>Network and warehouse-system integration complete</t>
        </is>
      </c>
      <c r="F15" s="2" t="n">
        <v>46101</v>
      </c>
      <c r="G15" s="2" t="n">
        <v>46100</v>
      </c>
      <c r="H15" s="1">
        <f>IF(G15="","",G15-F15)</f>
        <v/>
      </c>
      <c r="I15" s="1" t="inlineStr">
        <is>
          <t>Training attendance register</t>
        </is>
      </c>
      <c r="J15" s="1" t="inlineStr">
        <is>
          <t>None</t>
        </is>
      </c>
      <c r="K15" s="1" t="n">
        <v>0</v>
      </c>
      <c r="L15" s="1" t="inlineStr">
        <is>
          <t>No</t>
        </is>
      </c>
      <c r="M15" s="1" t="inlineStr">
        <is>
          <t>Complete</t>
        </is>
      </c>
      <c r="N15" s="1" t="inlineStr">
        <is>
          <t>J. Alvarez</t>
        </is>
      </c>
    </row>
    <row r="16">
      <c r="A16" s="1" t="inlineStr">
        <is>
          <t>NFB-SOW-2024-553</t>
        </is>
      </c>
      <c r="B16" s="1" t="inlineStr">
        <is>
          <t>Northfield Beverage</t>
        </is>
      </c>
      <c r="C16" s="1" t="inlineStr">
        <is>
          <t>Northfield Line 5</t>
        </is>
      </c>
      <c r="D16" s="1" t="inlineStr">
        <is>
          <t>M60</t>
        </is>
      </c>
      <c r="E16" s="1" t="inlineStr">
        <is>
          <t>Safety validation witnessed by customer</t>
        </is>
      </c>
      <c r="F16" s="2" t="n">
        <v>46090</v>
      </c>
      <c r="G16" s="2" t="n">
        <v>46090</v>
      </c>
      <c r="H16" s="1">
        <f>IF(G16="","",G16-F16)</f>
        <v/>
      </c>
      <c r="I16" s="1" t="inlineStr">
        <is>
          <t>Customer email confirmation retained in the deployment file</t>
        </is>
      </c>
      <c r="J16" s="1" t="inlineStr">
        <is>
          <t>None</t>
        </is>
      </c>
      <c r="K16" s="1" t="n">
        <v>0</v>
      </c>
      <c r="L16" s="1" t="inlineStr">
        <is>
          <t>No</t>
        </is>
      </c>
      <c r="M16" s="1" t="inlineStr">
        <is>
          <t>Complete</t>
        </is>
      </c>
      <c r="N16" s="1" t="inlineStr">
        <is>
          <t>J. Alvarez</t>
        </is>
      </c>
    </row>
    <row r="17">
      <c r="A17" s="1" t="inlineStr">
        <is>
          <t>WCD-SOW-2024-642</t>
        </is>
      </c>
      <c r="B17" s="1" t="inlineStr">
        <is>
          <t>Westlake Chemical Depot</t>
        </is>
      </c>
      <c r="C17" s="1" t="inlineStr">
        <is>
          <t>Westlake Tank 6</t>
        </is>
      </c>
      <c r="D17" s="1" t="inlineStr">
        <is>
          <t>M70</t>
        </is>
      </c>
      <c r="E17" s="1" t="inlineStr">
        <is>
          <t>Pilot cell operating at contracted throughput</t>
        </is>
      </c>
      <c r="F17" s="2" t="n">
        <v>46073</v>
      </c>
      <c r="G17" s="1" t="inlineStr"/>
      <c r="H17" s="1">
        <f>IF(G17="","",G17-F17)</f>
        <v/>
      </c>
      <c r="I17" s="1" t="inlineStr">
        <is>
          <t>No evidence located; open request with the account team</t>
        </is>
      </c>
      <c r="J17" s="1" t="inlineStr">
        <is>
          <t>20 percent on pilot</t>
        </is>
      </c>
      <c r="K17" s="1" t="n">
        <v>187434.13</v>
      </c>
      <c r="L17" s="1" t="inlineStr">
        <is>
          <t>No</t>
        </is>
      </c>
      <c r="M17" s="1" t="inlineStr">
        <is>
          <t>In progress</t>
        </is>
      </c>
      <c r="N17" s="1" t="inlineStr">
        <is>
          <t>B. Ng</t>
        </is>
      </c>
    </row>
    <row r="18">
      <c r="A18" s="1" t="inlineStr">
        <is>
          <t>MDY-SOW-2026-427</t>
        </is>
      </c>
      <c r="B18" s="1" t="inlineStr">
        <is>
          <t>Meridian Dynamics</t>
        </is>
      </c>
      <c r="C18" s="1" t="inlineStr">
        <is>
          <t>Meridian Bay 7</t>
        </is>
      </c>
      <c r="D18" s="1" t="inlineStr">
        <is>
          <t>M80</t>
        </is>
      </c>
      <c r="E18" s="1" t="inlineStr">
        <is>
          <t>Operator training delivered and signed off</t>
        </is>
      </c>
      <c r="F18" s="2" t="n">
        <v>45803</v>
      </c>
      <c r="G18" s="2" t="n">
        <v>45803</v>
      </c>
      <c r="H18" s="1">
        <f>IF(G18="","",G18-F18)</f>
        <v/>
      </c>
      <c r="I18" s="1" t="inlineStr">
        <is>
          <t>Training attendance register</t>
        </is>
      </c>
      <c r="J18" s="1" t="inlineStr">
        <is>
          <t>None</t>
        </is>
      </c>
      <c r="K18" s="1" t="n">
        <v>0</v>
      </c>
      <c r="L18" s="1" t="inlineStr">
        <is>
          <t>No</t>
        </is>
      </c>
      <c r="M18" s="1" t="inlineStr">
        <is>
          <t>Complete</t>
        </is>
      </c>
      <c r="N18" s="1" t="inlineStr">
        <is>
          <t>B. Ng</t>
        </is>
      </c>
    </row>
    <row r="19">
      <c r="A19" s="1" t="inlineStr">
        <is>
          <t>BMC-SOW-2025-557</t>
        </is>
      </c>
      <c r="B19" s="1" t="inlineStr">
        <is>
          <t>Blue Mesa Components</t>
        </is>
      </c>
      <c r="C19" s="1" t="inlineStr">
        <is>
          <t>Mesa Plant 2</t>
        </is>
      </c>
      <c r="D19" s="1" t="inlineStr">
        <is>
          <t>M90</t>
        </is>
      </c>
      <c r="E19" s="1" t="inlineStr">
        <is>
          <t>Customer acceptance certificate countersigned</t>
        </is>
      </c>
      <c r="F19" s="2" t="n">
        <v>45856</v>
      </c>
      <c r="G19" s="2" t="n">
        <v>45852</v>
      </c>
      <c r="H19" s="1">
        <f>IF(G19="","",G19-F19)</f>
        <v/>
      </c>
      <c r="I19" s="1" t="inlineStr">
        <is>
          <t>Witnessed safety validation report</t>
        </is>
      </c>
      <c r="J19" s="1" t="inlineStr">
        <is>
          <t>20 percent on acceptance</t>
        </is>
      </c>
      <c r="K19" s="1" t="n">
        <v>101807.18</v>
      </c>
      <c r="L19" s="1" t="inlineStr">
        <is>
          <t>No</t>
        </is>
      </c>
      <c r="M19" s="1" t="inlineStr">
        <is>
          <t>Deferred at customer request</t>
        </is>
      </c>
      <c r="N19" s="1" t="inlineStr">
        <is>
          <t>S. Vitale</t>
        </is>
      </c>
    </row>
    <row r="20">
      <c r="A20" s="1" t="inlineStr">
        <is>
          <t>NFB-SOW-2025-176</t>
        </is>
      </c>
      <c r="B20" s="1" t="inlineStr">
        <is>
          <t>Northfield Beverage</t>
        </is>
      </c>
      <c r="C20" s="1" t="inlineStr">
        <is>
          <t>Northfield Line 5</t>
        </is>
      </c>
      <c r="D20" s="1" t="inlineStr">
        <is>
          <t>M95</t>
        </is>
      </c>
      <c r="E20" s="1" t="inlineStr">
        <is>
          <t>Warranty commencement recorded</t>
        </is>
      </c>
      <c r="F20" s="2" t="n">
        <v>45960</v>
      </c>
      <c r="G20" s="2" t="n">
        <v>45960</v>
      </c>
      <c r="H20" s="1">
        <f>IF(G20="","",G20-F20)</f>
        <v/>
      </c>
      <c r="I20" s="1" t="inlineStr">
        <is>
          <t>Integration test report countersigned by customer IT</t>
        </is>
      </c>
      <c r="J20" s="1" t="inlineStr">
        <is>
          <t>None</t>
        </is>
      </c>
      <c r="K20" s="1" t="n">
        <v>0</v>
      </c>
      <c r="L20" s="1" t="inlineStr">
        <is>
          <t>No</t>
        </is>
      </c>
      <c r="M20" s="1" t="inlineStr">
        <is>
          <t>Complete</t>
        </is>
      </c>
      <c r="N20" s="1" t="inlineStr">
        <is>
          <t>H. Ferrand</t>
        </is>
      </c>
    </row>
    <row r="21">
      <c r="A21" s="1" t="inlineStr">
        <is>
          <t>BMC-SOW-2024-371</t>
        </is>
      </c>
      <c r="B21" s="1" t="inlineStr">
        <is>
          <t>Blue Mesa Components</t>
        </is>
      </c>
      <c r="C21" s="1" t="inlineStr">
        <is>
          <t>Mesa Plant 2</t>
        </is>
      </c>
      <c r="D21" s="1" t="inlineStr">
        <is>
          <t>M10</t>
        </is>
      </c>
      <c r="E21" s="1" t="inlineStr">
        <is>
          <t>Contract signature and order acknowledgement</t>
        </is>
      </c>
      <c r="F21" s="2" t="n">
        <v>45842</v>
      </c>
      <c r="G21" s="2" t="n">
        <v>45876</v>
      </c>
      <c r="H21" s="1">
        <f>IF(G21="","",G21-F21)</f>
        <v/>
      </c>
      <c r="I21" s="1" t="inlineStr">
        <is>
          <t>Conditional acceptance letter with open punch list</t>
        </is>
      </c>
      <c r="J21" s="1" t="inlineStr">
        <is>
          <t>20 percent on signature</t>
        </is>
      </c>
      <c r="K21" s="1" t="n">
        <v>396788.48</v>
      </c>
      <c r="L21" s="1" t="inlineStr">
        <is>
          <t>Yes</t>
        </is>
      </c>
      <c r="M21" s="1" t="inlineStr">
        <is>
          <t>Complete</t>
        </is>
      </c>
      <c r="N21" s="1" t="inlineStr">
        <is>
          <t>F. Lindstrom</t>
        </is>
      </c>
    </row>
    <row r="22">
      <c r="A22" s="1" t="inlineStr">
        <is>
          <t>EWP-SOW-2024-276</t>
        </is>
      </c>
      <c r="B22" s="1" t="inlineStr">
        <is>
          <t>Elmsworth Publishing</t>
        </is>
      </c>
      <c r="C22" s="1" t="inlineStr">
        <is>
          <t>Elmsworth Bindery</t>
        </is>
      </c>
      <c r="D22" s="1" t="inlineStr">
        <is>
          <t>M20</t>
        </is>
      </c>
      <c r="E22" s="1" t="inlineStr">
        <is>
          <t>Site survey complete and layout approved</t>
        </is>
      </c>
      <c r="F22" s="2" t="n">
        <v>45896</v>
      </c>
      <c r="G22" s="1" t="inlineStr"/>
      <c r="H22" s="1">
        <f>IF(G22="","",G22-F22)</f>
        <v/>
      </c>
      <c r="I22" s="1" t="inlineStr">
        <is>
          <t>No evidence located; open request with the account team</t>
        </is>
      </c>
      <c r="J22" s="1" t="inlineStr">
        <is>
          <t>None</t>
        </is>
      </c>
      <c r="K22" s="1" t="n">
        <v>0</v>
      </c>
      <c r="L22" s="1" t="inlineStr">
        <is>
          <t>No</t>
        </is>
      </c>
      <c r="M22" s="1" t="inlineStr">
        <is>
          <t>Planned</t>
        </is>
      </c>
      <c r="N22" s="1" t="inlineStr">
        <is>
          <t>S. Vitale</t>
        </is>
      </c>
    </row>
    <row r="23">
      <c r="A23" s="1" t="inlineStr">
        <is>
          <t>CMS-SOW-2026-805</t>
        </is>
      </c>
      <c r="B23" s="1" t="inlineStr">
        <is>
          <t>Calder Marine Supply</t>
        </is>
      </c>
      <c r="C23" s="1" t="inlineStr">
        <is>
          <t>Calder Dock 3</t>
        </is>
      </c>
      <c r="D23" s="1" t="inlineStr">
        <is>
          <t>M30</t>
        </is>
      </c>
      <c r="E23" s="1" t="inlineStr">
        <is>
          <t>Hardware shipped to site</t>
        </is>
      </c>
      <c r="F23" s="2" t="n">
        <v>46206</v>
      </c>
      <c r="G23" s="2" t="n">
        <v>46213</v>
      </c>
      <c r="H23" s="1">
        <f>IF(G23="","",G23-F23)</f>
        <v/>
      </c>
      <c r="I23" s="1" t="inlineStr">
        <is>
          <t>Witnessed safety validation report</t>
        </is>
      </c>
      <c r="J23" s="1" t="inlineStr">
        <is>
          <t>40 percent on shipment</t>
        </is>
      </c>
      <c r="K23" s="1" t="n">
        <v>448198.14</v>
      </c>
      <c r="L23" s="1" t="inlineStr">
        <is>
          <t>No</t>
        </is>
      </c>
      <c r="M23" s="1" t="inlineStr">
        <is>
          <t>Conditionally accepted</t>
        </is>
      </c>
      <c r="N23" s="1" t="inlineStr">
        <is>
          <t>J. Alvarez</t>
        </is>
      </c>
    </row>
    <row r="24">
      <c r="A24" s="1" t="inlineStr">
        <is>
          <t>BWA-SOW-2025-145</t>
        </is>
      </c>
      <c r="B24" s="1" t="inlineStr">
        <is>
          <t>Bellweather Auto Group</t>
        </is>
      </c>
      <c r="C24" s="1" t="inlineStr">
        <is>
          <t>Bellweather PDC</t>
        </is>
      </c>
      <c r="D24" s="1" t="inlineStr">
        <is>
          <t>M40</t>
        </is>
      </c>
      <c r="E24" s="1" t="inlineStr">
        <is>
          <t>Mechanical installation complete</t>
        </is>
      </c>
      <c r="F24" s="2" t="n">
        <v>45841</v>
      </c>
      <c r="G24" s="2" t="n">
        <v>45859</v>
      </c>
      <c r="H24" s="1">
        <f>IF(G24="","",G24-F24)</f>
        <v/>
      </c>
      <c r="I24" s="1" t="inlineStr">
        <is>
          <t>Conditional acceptance letter with open punch list</t>
        </is>
      </c>
      <c r="J24" s="1" t="inlineStr">
        <is>
          <t>None</t>
        </is>
      </c>
      <c r="K24" s="1" t="n">
        <v>0</v>
      </c>
      <c r="L24" s="1" t="inlineStr">
        <is>
          <t>No</t>
        </is>
      </c>
      <c r="M24" s="1" t="inlineStr">
        <is>
          <t>Deferred at customer request</t>
        </is>
      </c>
      <c r="N24" s="1" t="inlineStr">
        <is>
          <t>F. Lindstrom</t>
        </is>
      </c>
    </row>
    <row r="25">
      <c r="A25" s="1" t="inlineStr">
        <is>
          <t>OGF-SOW-2026-923</t>
        </is>
      </c>
      <c r="B25" s="1" t="inlineStr">
        <is>
          <t>Orchard Grove Foods</t>
        </is>
      </c>
      <c r="C25" s="1" t="inlineStr">
        <is>
          <t>Orchard Cold 2</t>
        </is>
      </c>
      <c r="D25" s="1" t="inlineStr">
        <is>
          <t>M50</t>
        </is>
      </c>
      <c r="E25" s="1" t="inlineStr">
        <is>
          <t>Network and warehouse-system integration complete</t>
        </is>
      </c>
      <c r="F25" s="2" t="n">
        <v>45790</v>
      </c>
      <c r="G25" s="2" t="n">
        <v>45790</v>
      </c>
      <c r="H25" s="1">
        <f>IF(G25="","",G25-F25)</f>
        <v/>
      </c>
      <c r="I25" s="1" t="inlineStr">
        <is>
          <t>Customer email confirmation retained in the deployment file</t>
        </is>
      </c>
      <c r="J25" s="1" t="inlineStr">
        <is>
          <t>None</t>
        </is>
      </c>
      <c r="K25" s="1" t="n">
        <v>0</v>
      </c>
      <c r="L25" s="1" t="inlineStr">
        <is>
          <t>No</t>
        </is>
      </c>
      <c r="M25" s="1" t="inlineStr">
        <is>
          <t>Complete</t>
        </is>
      </c>
      <c r="N25" s="1" t="inlineStr">
        <is>
          <t>H. Ferrand</t>
        </is>
      </c>
    </row>
    <row r="26">
      <c r="A26" s="1" t="inlineStr">
        <is>
          <t>BWA-SOW-2024-135</t>
        </is>
      </c>
      <c r="B26" s="1" t="inlineStr">
        <is>
          <t>Bellweather Auto Group</t>
        </is>
      </c>
      <c r="C26" s="1" t="inlineStr">
        <is>
          <t>Bellweather PDC</t>
        </is>
      </c>
      <c r="D26" s="1" t="inlineStr">
        <is>
          <t>M60</t>
        </is>
      </c>
      <c r="E26" s="1" t="inlineStr">
        <is>
          <t>Safety validation witnessed by customer</t>
        </is>
      </c>
      <c r="F26" s="2" t="n">
        <v>46066</v>
      </c>
      <c r="G26" s="2" t="n">
        <v>46066</v>
      </c>
      <c r="H26" s="1">
        <f>IF(G26="","",G26-F26)</f>
        <v/>
      </c>
      <c r="I26" s="1" t="inlineStr">
        <is>
          <t>Conditional acceptance letter with open punch list</t>
        </is>
      </c>
      <c r="J26" s="1" t="inlineStr">
        <is>
          <t>None</t>
        </is>
      </c>
      <c r="K26" s="1" t="n">
        <v>0</v>
      </c>
      <c r="L26" s="1" t="inlineStr">
        <is>
          <t>No</t>
        </is>
      </c>
      <c r="M26" s="1" t="inlineStr">
        <is>
          <t>Complete</t>
        </is>
      </c>
      <c r="N26" s="1" t="inlineStr">
        <is>
          <t>B. Ng</t>
        </is>
      </c>
    </row>
    <row r="27">
      <c r="A27" s="1" t="inlineStr">
        <is>
          <t>DGC-SOW-2024-296</t>
        </is>
      </c>
      <c r="B27" s="1" t="inlineStr">
        <is>
          <t>Dorsey Grain Cooperative</t>
        </is>
      </c>
      <c r="C27" s="1" t="inlineStr">
        <is>
          <t>Dorsey Elevator 2</t>
        </is>
      </c>
      <c r="D27" s="1" t="inlineStr">
        <is>
          <t>M70</t>
        </is>
      </c>
      <c r="E27" s="1" t="inlineStr">
        <is>
          <t>Pilot cell operating at contracted throughput</t>
        </is>
      </c>
      <c r="F27" s="2" t="n">
        <v>45936</v>
      </c>
      <c r="G27" s="2" t="n">
        <v>45933</v>
      </c>
      <c r="H27" s="1">
        <f>IF(G27="","",G27-F27)</f>
        <v/>
      </c>
      <c r="I27" s="1" t="inlineStr">
        <is>
          <t>Integration test report countersigned by customer IT</t>
        </is>
      </c>
      <c r="J27" s="1" t="inlineStr">
        <is>
          <t>20 percent on pilot</t>
        </is>
      </c>
      <c r="K27" s="1" t="n">
        <v>484188.71</v>
      </c>
      <c r="L27" s="1" t="inlineStr">
        <is>
          <t>No</t>
        </is>
      </c>
      <c r="M27" s="1" t="inlineStr">
        <is>
          <t>Conditionally accepted</t>
        </is>
      </c>
      <c r="N27" s="1" t="inlineStr">
        <is>
          <t>B. Ng</t>
        </is>
      </c>
    </row>
    <row r="28">
      <c r="A28" s="1" t="inlineStr">
        <is>
          <t>CFF-SOW-2026-236</t>
        </is>
      </c>
      <c r="B28" s="1" t="inlineStr">
        <is>
          <t>Crestline Fulfillment</t>
        </is>
      </c>
      <c r="C28" s="1" t="inlineStr">
        <is>
          <t>Crestline FC1</t>
        </is>
      </c>
      <c r="D28" s="1" t="inlineStr">
        <is>
          <t>M80</t>
        </is>
      </c>
      <c r="E28" s="1" t="inlineStr">
        <is>
          <t>Operator training delivered and signed off</t>
        </is>
      </c>
      <c r="F28" s="2" t="n">
        <v>46164</v>
      </c>
      <c r="G28" s="2" t="n">
        <v>46163</v>
      </c>
      <c r="H28" s="1">
        <f>IF(G28="","",G28-F28)</f>
        <v/>
      </c>
      <c r="I28" s="1" t="inlineStr">
        <is>
          <t>Conditional acceptance letter with open punch list</t>
        </is>
      </c>
      <c r="J28" s="1" t="inlineStr">
        <is>
          <t>None</t>
        </is>
      </c>
      <c r="K28" s="1" t="n">
        <v>0</v>
      </c>
      <c r="L28" s="1" t="inlineStr">
        <is>
          <t>No</t>
        </is>
      </c>
      <c r="M28" s="1" t="inlineStr">
        <is>
          <t>Complete</t>
        </is>
      </c>
      <c r="N28" s="1" t="inlineStr">
        <is>
          <t>S. Vitale</t>
        </is>
      </c>
    </row>
    <row r="29">
      <c r="A29" s="1" t="inlineStr">
        <is>
          <t>FTM-SOW-2025-811</t>
        </is>
      </c>
      <c r="B29" s="1" t="inlineStr">
        <is>
          <t>Fathom Mobility</t>
        </is>
      </c>
      <c r="C29" s="1" t="inlineStr">
        <is>
          <t>Fathom Line A</t>
        </is>
      </c>
      <c r="D29" s="1" t="inlineStr">
        <is>
          <t>M90</t>
        </is>
      </c>
      <c r="E29" s="1" t="inlineStr">
        <is>
          <t>Customer acceptance certificate countersigned</t>
        </is>
      </c>
      <c r="F29" s="2" t="n">
        <v>46093</v>
      </c>
      <c r="G29" s="2" t="n">
        <v>46093</v>
      </c>
      <c r="H29" s="1">
        <f>IF(G29="","",G29-F29)</f>
        <v/>
      </c>
      <c r="I29" s="1" t="inlineStr">
        <is>
          <t>Witnessed safety validation report</t>
        </is>
      </c>
      <c r="J29" s="1" t="inlineStr">
        <is>
          <t>20 percent on acceptance</t>
        </is>
      </c>
      <c r="K29" s="1" t="n">
        <v>156424.57</v>
      </c>
      <c r="L29" s="1" t="inlineStr">
        <is>
          <t>Yes</t>
        </is>
      </c>
      <c r="M29" s="1" t="inlineStr">
        <is>
          <t>Complete</t>
        </is>
      </c>
      <c r="N29" s="1" t="inlineStr">
        <is>
          <t>B. Ng</t>
        </is>
      </c>
    </row>
    <row r="30">
      <c r="A30" s="1" t="inlineStr">
        <is>
          <t>ZAC-SOW-2025-293</t>
        </is>
      </c>
      <c r="B30" s="1" t="inlineStr">
        <is>
          <t>Zephyr Air Cargo</t>
        </is>
      </c>
      <c r="C30" s="1" t="inlineStr">
        <is>
          <t>Zephyr Ramp 2</t>
        </is>
      </c>
      <c r="D30" s="1" t="inlineStr">
        <is>
          <t>M95</t>
        </is>
      </c>
      <c r="E30" s="1" t="inlineStr">
        <is>
          <t>Warranty commencement recorded</t>
        </is>
      </c>
      <c r="F30" s="2" t="n">
        <v>46133</v>
      </c>
      <c r="G30" s="2" t="n">
        <v>46132</v>
      </c>
      <c r="H30" s="1">
        <f>IF(G30="","",G30-F30)</f>
        <v/>
      </c>
      <c r="I30" s="1" t="inlineStr">
        <is>
          <t>Customer email confirmation retained in the deployment file</t>
        </is>
      </c>
      <c r="J30" s="1" t="inlineStr">
        <is>
          <t>None</t>
        </is>
      </c>
      <c r="K30" s="1" t="n">
        <v>0</v>
      </c>
      <c r="L30" s="1" t="inlineStr">
        <is>
          <t>No</t>
        </is>
      </c>
      <c r="M30" s="1" t="inlineStr">
        <is>
          <t>Complete</t>
        </is>
      </c>
      <c r="N30" s="1" t="inlineStr">
        <is>
          <t>F. Lindstrom</t>
        </is>
      </c>
    </row>
    <row r="31">
      <c r="A31" s="1" t="inlineStr">
        <is>
          <t>BMC-SOW-2026-891</t>
        </is>
      </c>
      <c r="B31" s="1" t="inlineStr">
        <is>
          <t>Blue Mesa Components</t>
        </is>
      </c>
      <c r="C31" s="1" t="inlineStr">
        <is>
          <t>Mesa Plant 2</t>
        </is>
      </c>
      <c r="D31" s="1" t="inlineStr">
        <is>
          <t>M10</t>
        </is>
      </c>
      <c r="E31" s="1" t="inlineStr">
        <is>
          <t>Contract signature and order acknowledgement</t>
        </is>
      </c>
      <c r="F31" s="2" t="n">
        <v>45721</v>
      </c>
      <c r="G31" s="1" t="inlineStr"/>
      <c r="H31" s="1">
        <f>IF(G31="","",G31-F31)</f>
        <v/>
      </c>
      <c r="I31" s="1" t="inlineStr">
        <is>
          <t>No evidence located; open request with the account team</t>
        </is>
      </c>
      <c r="J31" s="1" t="inlineStr">
        <is>
          <t>20 percent on signature</t>
        </is>
      </c>
      <c r="K31" s="1" t="n">
        <v>335332.74</v>
      </c>
      <c r="L31" s="1" t="inlineStr">
        <is>
          <t>No</t>
        </is>
      </c>
      <c r="M31" s="1" t="inlineStr">
        <is>
          <t>Blocked on customer</t>
        </is>
      </c>
      <c r="N31" s="1" t="inlineStr">
        <is>
          <t>H. Ferrand</t>
        </is>
      </c>
    </row>
    <row r="32">
      <c r="A32" s="1" t="inlineStr">
        <is>
          <t>CMS-SOW-2025-801</t>
        </is>
      </c>
      <c r="B32" s="1" t="inlineStr">
        <is>
          <t>Calder Marine Supply</t>
        </is>
      </c>
      <c r="C32" s="1" t="inlineStr">
        <is>
          <t>Calder Dock 3</t>
        </is>
      </c>
      <c r="D32" s="1" t="inlineStr">
        <is>
          <t>M20</t>
        </is>
      </c>
      <c r="E32" s="1" t="inlineStr">
        <is>
          <t>Site survey complete and layout approved</t>
        </is>
      </c>
      <c r="F32" s="2" t="n">
        <v>46129</v>
      </c>
      <c r="G32" s="2" t="n">
        <v>46136</v>
      </c>
      <c r="H32" s="1">
        <f>IF(G32="","",G32-F32)</f>
        <v/>
      </c>
      <c r="I32" s="1" t="inlineStr">
        <is>
          <t>Witnessed safety validation report</t>
        </is>
      </c>
      <c r="J32" s="1" t="inlineStr">
        <is>
          <t>None</t>
        </is>
      </c>
      <c r="K32" s="1" t="n">
        <v>0</v>
      </c>
      <c r="L32" s="1" t="inlineStr">
        <is>
          <t>No</t>
        </is>
      </c>
      <c r="M32" s="1" t="inlineStr">
        <is>
          <t>Complete</t>
        </is>
      </c>
      <c r="N32" s="1" t="inlineStr">
        <is>
          <t>B. Ng</t>
        </is>
      </c>
    </row>
    <row r="33">
      <c r="A33" s="1" t="inlineStr">
        <is>
          <t>WCD-SOW-2025-169</t>
        </is>
      </c>
      <c r="B33" s="1" t="inlineStr">
        <is>
          <t>Westlake Chemical Depot</t>
        </is>
      </c>
      <c r="C33" s="1" t="inlineStr">
        <is>
          <t>Westlake Tank 6</t>
        </is>
      </c>
      <c r="D33" s="1" t="inlineStr">
        <is>
          <t>M30</t>
        </is>
      </c>
      <c r="E33" s="1" t="inlineStr">
        <is>
          <t>Hardware shipped to site</t>
        </is>
      </c>
      <c r="F33" s="2" t="n">
        <v>45967</v>
      </c>
      <c r="G33" s="1" t="inlineStr"/>
      <c r="H33" s="1">
        <f>IF(G33="","",G33-F33)</f>
        <v/>
      </c>
      <c r="I33" s="1" t="inlineStr">
        <is>
          <t>No evidence located; open request with the account team</t>
        </is>
      </c>
      <c r="J33" s="1" t="inlineStr">
        <is>
          <t>40 percent on shipment</t>
        </is>
      </c>
      <c r="K33" s="1" t="n">
        <v>335947.16</v>
      </c>
      <c r="L33" s="1" t="inlineStr">
        <is>
          <t>No</t>
        </is>
      </c>
      <c r="M33" s="1" t="inlineStr">
        <is>
          <t>In progress</t>
        </is>
      </c>
      <c r="N33" s="1" t="inlineStr">
        <is>
          <t>S. Vitale</t>
        </is>
      </c>
    </row>
    <row r="34">
      <c r="A34" s="1" t="inlineStr">
        <is>
          <t>BMC-SOW-2025-103</t>
        </is>
      </c>
      <c r="B34" s="1" t="inlineStr">
        <is>
          <t>Blue Mesa Components</t>
        </is>
      </c>
      <c r="C34" s="1" t="inlineStr">
        <is>
          <t>Mesa Plant 2</t>
        </is>
      </c>
      <c r="D34" s="1" t="inlineStr">
        <is>
          <t>M40</t>
        </is>
      </c>
      <c r="E34" s="1" t="inlineStr">
        <is>
          <t>Mechanical installation complete</t>
        </is>
      </c>
      <c r="F34" s="2" t="n">
        <v>46071</v>
      </c>
      <c r="G34" s="1" t="inlineStr"/>
      <c r="H34" s="1">
        <f>IF(G34="","",G34-F34)</f>
        <v/>
      </c>
      <c r="I34" s="1" t="inlineStr">
        <is>
          <t>No evidence located; open request with the account team</t>
        </is>
      </c>
      <c r="J34" s="1" t="inlineStr">
        <is>
          <t>None</t>
        </is>
      </c>
      <c r="K34" s="1" t="n">
        <v>0</v>
      </c>
      <c r="L34" s="1" t="inlineStr">
        <is>
          <t>No</t>
        </is>
      </c>
      <c r="M34" s="1" t="inlineStr">
        <is>
          <t>In progress</t>
        </is>
      </c>
      <c r="N34" s="1" t="inlineStr">
        <is>
          <t>J. Alvarez</t>
        </is>
      </c>
    </row>
    <row r="35">
      <c r="A35" s="1" t="inlineStr">
        <is>
          <t>TCE-SOW-2024-567</t>
        </is>
      </c>
      <c r="B35" s="1" t="inlineStr">
        <is>
          <t>Tamarack Electronics</t>
        </is>
      </c>
      <c r="C35" s="1" t="inlineStr">
        <is>
          <t>Tamarack SMT 2</t>
        </is>
      </c>
      <c r="D35" s="1" t="inlineStr">
        <is>
          <t>M50</t>
        </is>
      </c>
      <c r="E35" s="1" t="inlineStr">
        <is>
          <t>Network and warehouse-system integration complete</t>
        </is>
      </c>
      <c r="F35" s="2" t="n">
        <v>46056</v>
      </c>
      <c r="G35" s="1" t="inlineStr"/>
      <c r="H35" s="1">
        <f>IF(G35="","",G35-F35)</f>
        <v/>
      </c>
      <c r="I35" s="1" t="inlineStr">
        <is>
          <t>No evidence located; open request with the account team</t>
        </is>
      </c>
      <c r="J35" s="1" t="inlineStr">
        <is>
          <t>None</t>
        </is>
      </c>
      <c r="K35" s="1" t="n">
        <v>0</v>
      </c>
      <c r="L35" s="1" t="inlineStr">
        <is>
          <t>No</t>
        </is>
      </c>
      <c r="M35" s="1" t="inlineStr">
        <is>
          <t>Planned</t>
        </is>
      </c>
      <c r="N35" s="1" t="inlineStr">
        <is>
          <t>J. Alvarez</t>
        </is>
      </c>
    </row>
    <row r="36">
      <c r="A36" s="1" t="inlineStr">
        <is>
          <t>RWO-SOW-2026-501</t>
        </is>
      </c>
      <c r="B36" s="1" t="inlineStr">
        <is>
          <t>Redwood Optics</t>
        </is>
      </c>
      <c r="C36" s="1" t="inlineStr">
        <is>
          <t>Redwood Clean 3</t>
        </is>
      </c>
      <c r="D36" s="1" t="inlineStr">
        <is>
          <t>M60</t>
        </is>
      </c>
      <c r="E36" s="1" t="inlineStr">
        <is>
          <t>Safety validation witnessed by customer</t>
        </is>
      </c>
      <c r="F36" s="2" t="n">
        <v>45883</v>
      </c>
      <c r="G36" s="1" t="inlineStr"/>
      <c r="H36" s="1">
        <f>IF(G36="","",G36-F36)</f>
        <v/>
      </c>
      <c r="I36" s="1" t="inlineStr">
        <is>
          <t>No evidence located; open request with the account team</t>
        </is>
      </c>
      <c r="J36" s="1" t="inlineStr">
        <is>
          <t>None</t>
        </is>
      </c>
      <c r="K36" s="1" t="n">
        <v>0</v>
      </c>
      <c r="L36" s="1" t="inlineStr">
        <is>
          <t>No</t>
        </is>
      </c>
      <c r="M36" s="1" t="inlineStr">
        <is>
          <t>Planned</t>
        </is>
      </c>
      <c r="N36" s="1" t="inlineStr">
        <is>
          <t>B. Ng</t>
        </is>
      </c>
    </row>
    <row r="37">
      <c r="A37" s="1" t="inlineStr">
        <is>
          <t>RWO-SOW-2025-227</t>
        </is>
      </c>
      <c r="B37" s="1" t="inlineStr">
        <is>
          <t>Redwood Optics</t>
        </is>
      </c>
      <c r="C37" s="1" t="inlineStr">
        <is>
          <t>Redwood Clean 3</t>
        </is>
      </c>
      <c r="D37" s="1" t="inlineStr">
        <is>
          <t>M70</t>
        </is>
      </c>
      <c r="E37" s="1" t="inlineStr">
        <is>
          <t>Pilot cell operating at contracted throughput</t>
        </is>
      </c>
      <c r="F37" s="2" t="n">
        <v>46087</v>
      </c>
      <c r="G37" s="2" t="n">
        <v>46087</v>
      </c>
      <c r="H37" s="1">
        <f>IF(G37="","",G37-F37)</f>
        <v/>
      </c>
      <c r="I37" s="1" t="inlineStr">
        <is>
          <t>Site sign-off form with throughput log attached</t>
        </is>
      </c>
      <c r="J37" s="1" t="inlineStr">
        <is>
          <t>20 percent on pilot</t>
        </is>
      </c>
      <c r="K37" s="1" t="n">
        <v>92640.47</v>
      </c>
      <c r="L37" s="1" t="inlineStr">
        <is>
          <t>Yes</t>
        </is>
      </c>
      <c r="M37" s="1" t="inlineStr">
        <is>
          <t>Complete</t>
        </is>
      </c>
      <c r="N37" s="1" t="inlineStr">
        <is>
          <t>B. Ng</t>
        </is>
      </c>
    </row>
    <row r="38">
      <c r="A38" s="1" t="inlineStr">
        <is>
          <t>OGF-SOW-2026-523</t>
        </is>
      </c>
      <c r="B38" s="1" t="inlineStr">
        <is>
          <t>Orchard Grove Foods</t>
        </is>
      </c>
      <c r="C38" s="1" t="inlineStr">
        <is>
          <t>Orchard Cold 2</t>
        </is>
      </c>
      <c r="D38" s="1" t="inlineStr">
        <is>
          <t>M80</t>
        </is>
      </c>
      <c r="E38" s="1" t="inlineStr">
        <is>
          <t>Operator training delivered and signed off</t>
        </is>
      </c>
      <c r="F38" s="2" t="n">
        <v>45792</v>
      </c>
      <c r="G38" s="2" t="n">
        <v>45791</v>
      </c>
      <c r="H38" s="1">
        <f>IF(G38="","",G38-F38)</f>
        <v/>
      </c>
      <c r="I38" s="1" t="inlineStr">
        <is>
          <t>Conditional acceptance letter with open punch list</t>
        </is>
      </c>
      <c r="J38" s="1" t="inlineStr">
        <is>
          <t>None</t>
        </is>
      </c>
      <c r="K38" s="1" t="n">
        <v>0</v>
      </c>
      <c r="L38" s="1" t="inlineStr">
        <is>
          <t>No</t>
        </is>
      </c>
      <c r="M38" s="1" t="inlineStr">
        <is>
          <t>Conditionally accepted</t>
        </is>
      </c>
      <c r="N38" s="1" t="inlineStr">
        <is>
          <t>S. Vitale</t>
        </is>
      </c>
    </row>
    <row r="39">
      <c r="A39" s="1" t="inlineStr">
        <is>
          <t>JHS-SOW-2025-224</t>
        </is>
      </c>
      <c r="B39" s="1" t="inlineStr">
        <is>
          <t>Juniper Health Supply</t>
        </is>
      </c>
      <c r="C39" s="1" t="inlineStr">
        <is>
          <t>Juniper Sterile 1</t>
        </is>
      </c>
      <c r="D39" s="1" t="inlineStr">
        <is>
          <t>M90</t>
        </is>
      </c>
      <c r="E39" s="1" t="inlineStr">
        <is>
          <t>Customer acceptance certificate countersigned</t>
        </is>
      </c>
      <c r="F39" s="2" t="n">
        <v>45887</v>
      </c>
      <c r="G39" s="2" t="n">
        <v>45884</v>
      </c>
      <c r="H39" s="1">
        <f>IF(G39="","",G39-F39)</f>
        <v/>
      </c>
      <c r="I39" s="1" t="inlineStr">
        <is>
          <t>Integration test report countersigned by customer IT</t>
        </is>
      </c>
      <c r="J39" s="1" t="inlineStr">
        <is>
          <t>20 percent on acceptance</t>
        </is>
      </c>
      <c r="K39" s="1" t="n">
        <v>358148.21</v>
      </c>
      <c r="L39" s="1" t="inlineStr">
        <is>
          <t>No</t>
        </is>
      </c>
      <c r="M39" s="1" t="inlineStr">
        <is>
          <t>Conditionally accepted</t>
        </is>
      </c>
      <c r="N39" s="1" t="inlineStr">
        <is>
          <t>B. Ng</t>
        </is>
      </c>
    </row>
    <row r="40">
      <c r="A40" s="1" t="inlineStr">
        <is>
          <t>VRS-SOW-2024-528</t>
        </is>
      </c>
      <c r="B40" s="1" t="inlineStr">
        <is>
          <t>Vantage Robotics Supply</t>
        </is>
      </c>
      <c r="C40" s="1" t="inlineStr">
        <is>
          <t>Vantage Depot</t>
        </is>
      </c>
      <c r="D40" s="1" t="inlineStr">
        <is>
          <t>M95</t>
        </is>
      </c>
      <c r="E40" s="1" t="inlineStr">
        <is>
          <t>Warranty commencement recorded</t>
        </is>
      </c>
      <c r="F40" s="2" t="n">
        <v>45771</v>
      </c>
      <c r="G40" s="2" t="n">
        <v>45770</v>
      </c>
      <c r="H40" s="1">
        <f>IF(G40="","",G40-F40)</f>
        <v/>
      </c>
      <c r="I40" s="1" t="inlineStr">
        <is>
          <t>Countersigned acceptance certificate</t>
        </is>
      </c>
      <c r="J40" s="1" t="inlineStr">
        <is>
          <t>None</t>
        </is>
      </c>
      <c r="K40" s="1" t="n">
        <v>0</v>
      </c>
      <c r="L40" s="1" t="inlineStr">
        <is>
          <t>No</t>
        </is>
      </c>
      <c r="M40" s="1" t="inlineStr">
        <is>
          <t>Complete</t>
        </is>
      </c>
      <c r="N40" s="1" t="inlineStr">
        <is>
          <t>J. Alvarez</t>
        </is>
      </c>
    </row>
    <row r="41">
      <c r="A41" s="1" t="inlineStr">
        <is>
          <t>KPP-SOW-2026-160</t>
        </is>
      </c>
      <c r="B41" s="1" t="inlineStr">
        <is>
          <t>Keystone Paper &amp; Pack</t>
        </is>
      </c>
      <c r="C41" s="1" t="inlineStr">
        <is>
          <t>Keystone Mill 3</t>
        </is>
      </c>
      <c r="D41" s="1" t="inlineStr">
        <is>
          <t>M10</t>
        </is>
      </c>
      <c r="E41" s="1" t="inlineStr">
        <is>
          <t>Contract signature and order acknowledgement</t>
        </is>
      </c>
      <c r="F41" s="2" t="n">
        <v>46098</v>
      </c>
      <c r="G41" s="1" t="inlineStr"/>
      <c r="H41" s="1">
        <f>IF(G41="","",G41-F41)</f>
        <v/>
      </c>
      <c r="I41" s="1" t="inlineStr">
        <is>
          <t>No evidence located; open request with the account team</t>
        </is>
      </c>
      <c r="J41" s="1" t="inlineStr">
        <is>
          <t>20 percent on signature</t>
        </is>
      </c>
      <c r="K41" s="1" t="n">
        <v>439817.04</v>
      </c>
      <c r="L41" s="1" t="inlineStr">
        <is>
          <t>No</t>
        </is>
      </c>
      <c r="M41" s="1" t="inlineStr">
        <is>
          <t>Planned</t>
        </is>
      </c>
      <c r="N41" s="1" t="inlineStr">
        <is>
          <t>S. Vitale</t>
        </is>
      </c>
    </row>
    <row r="42">
      <c r="A42" s="1" t="inlineStr">
        <is>
          <t>GPD-SOW-2024-413</t>
        </is>
      </c>
      <c r="B42" s="1" t="inlineStr">
        <is>
          <t>Granite Peak Distribution</t>
        </is>
      </c>
      <c r="C42" s="1" t="inlineStr">
        <is>
          <t>Granite Yard</t>
        </is>
      </c>
      <c r="D42" s="1" t="inlineStr">
        <is>
          <t>M20</t>
        </is>
      </c>
      <c r="E42" s="1" t="inlineStr">
        <is>
          <t>Site survey complete and layout approved</t>
        </is>
      </c>
      <c r="F42" s="2" t="n">
        <v>46062</v>
      </c>
      <c r="G42" s="2" t="n">
        <v>46062</v>
      </c>
      <c r="H42" s="1">
        <f>IF(G42="","",G42-F42)</f>
        <v/>
      </c>
      <c r="I42" s="1" t="inlineStr">
        <is>
          <t>Integration test report countersigned by customer IT</t>
        </is>
      </c>
      <c r="J42" s="1" t="inlineStr">
        <is>
          <t>None</t>
        </is>
      </c>
      <c r="K42" s="1" t="n">
        <v>0</v>
      </c>
      <c r="L42" s="1" t="inlineStr">
        <is>
          <t>No</t>
        </is>
      </c>
      <c r="M42" s="1" t="inlineStr">
        <is>
          <t>Complete</t>
        </is>
      </c>
      <c r="N42" s="1" t="inlineStr">
        <is>
          <t>F. Lindstrom</t>
        </is>
      </c>
    </row>
    <row r="43">
      <c r="A43" s="1" t="inlineStr">
        <is>
          <t>EWP-SOW-2024-654</t>
        </is>
      </c>
      <c r="B43" s="1" t="inlineStr">
        <is>
          <t>Elmsworth Publishing</t>
        </is>
      </c>
      <c r="C43" s="1" t="inlineStr">
        <is>
          <t>Elmsworth Bindery</t>
        </is>
      </c>
      <c r="D43" s="1" t="inlineStr">
        <is>
          <t>M30</t>
        </is>
      </c>
      <c r="E43" s="1" t="inlineStr">
        <is>
          <t>Hardware shipped to site</t>
        </is>
      </c>
      <c r="F43" s="2" t="n">
        <v>45908</v>
      </c>
      <c r="G43" s="2" t="n">
        <v>45910</v>
      </c>
      <c r="H43" s="1">
        <f>IF(G43="","",G43-F43)</f>
        <v/>
      </c>
      <c r="I43" s="1" t="inlineStr">
        <is>
          <t>Conditional acceptance letter with open punch list</t>
        </is>
      </c>
      <c r="J43" s="1" t="inlineStr">
        <is>
          <t>40 percent on shipment</t>
        </is>
      </c>
      <c r="K43" s="1" t="n">
        <v>43539.23</v>
      </c>
      <c r="L43" s="1" t="inlineStr">
        <is>
          <t>Yes</t>
        </is>
      </c>
      <c r="M43" s="1" t="inlineStr">
        <is>
          <t>Complete</t>
        </is>
      </c>
      <c r="N43" s="1" t="inlineStr">
        <is>
          <t>F. Lindstrom</t>
        </is>
      </c>
    </row>
    <row r="44">
      <c r="A44" s="1" t="inlineStr">
        <is>
          <t>BMC-SOW-2025-599</t>
        </is>
      </c>
      <c r="B44" s="1" t="inlineStr">
        <is>
          <t>Blue Mesa Components</t>
        </is>
      </c>
      <c r="C44" s="1" t="inlineStr">
        <is>
          <t>Mesa Plant 2</t>
        </is>
      </c>
      <c r="D44" s="1" t="inlineStr">
        <is>
          <t>M40</t>
        </is>
      </c>
      <c r="E44" s="1" t="inlineStr">
        <is>
          <t>Mechanical installation complete</t>
        </is>
      </c>
      <c r="F44" s="2" t="n">
        <v>45734</v>
      </c>
      <c r="G44" s="2" t="n">
        <v>45737</v>
      </c>
      <c r="H44" s="1">
        <f>IF(G44="","",G44-F44)</f>
        <v/>
      </c>
      <c r="I44" s="1" t="inlineStr">
        <is>
          <t>Site sign-off form with throughput log attached</t>
        </is>
      </c>
      <c r="J44" s="1" t="inlineStr">
        <is>
          <t>None</t>
        </is>
      </c>
      <c r="K44" s="1" t="n">
        <v>0</v>
      </c>
      <c r="L44" s="1" t="inlineStr">
        <is>
          <t>No</t>
        </is>
      </c>
      <c r="M44" s="1" t="inlineStr">
        <is>
          <t>Complete</t>
        </is>
      </c>
      <c r="N44" s="1" t="inlineStr">
        <is>
          <t>F. Lindstrom</t>
        </is>
      </c>
    </row>
    <row r="45">
      <c r="A45" s="1" t="inlineStr">
        <is>
          <t>BMC-SOW-2025-846</t>
        </is>
      </c>
      <c r="B45" s="1" t="inlineStr">
        <is>
          <t>Blue Mesa Components</t>
        </is>
      </c>
      <c r="C45" s="1" t="inlineStr">
        <is>
          <t>Mesa Plant 2</t>
        </is>
      </c>
      <c r="D45" s="1" t="inlineStr">
        <is>
          <t>M50</t>
        </is>
      </c>
      <c r="E45" s="1" t="inlineStr">
        <is>
          <t>Network and warehouse-system integration complete</t>
        </is>
      </c>
      <c r="F45" s="2" t="n">
        <v>45744</v>
      </c>
      <c r="G45" s="1" t="inlineStr"/>
      <c r="H45" s="1">
        <f>IF(G45="","",G45-F45)</f>
        <v/>
      </c>
      <c r="I45" s="1" t="inlineStr">
        <is>
          <t>No evidence located; open request with the account team</t>
        </is>
      </c>
      <c r="J45" s="1" t="inlineStr">
        <is>
          <t>None</t>
        </is>
      </c>
      <c r="K45" s="1" t="n">
        <v>0</v>
      </c>
      <c r="L45" s="1" t="inlineStr">
        <is>
          <t>No</t>
        </is>
      </c>
      <c r="M45" s="1" t="inlineStr">
        <is>
          <t>In progress</t>
        </is>
      </c>
      <c r="N45" s="1" t="inlineStr">
        <is>
          <t>S. Vitale</t>
        </is>
      </c>
    </row>
    <row r="46">
      <c r="A46" s="1" t="inlineStr">
        <is>
          <t>QBM-SOW-2026-154</t>
        </is>
      </c>
      <c r="B46" s="1" t="inlineStr">
        <is>
          <t>Quarrybridge Materials</t>
        </is>
      </c>
      <c r="C46" s="1" t="inlineStr">
        <is>
          <t>Quarrybridge Site 1</t>
        </is>
      </c>
      <c r="D46" s="1" t="inlineStr">
        <is>
          <t>M60</t>
        </is>
      </c>
      <c r="E46" s="1" t="inlineStr">
        <is>
          <t>Safety validation witnessed by customer</t>
        </is>
      </c>
      <c r="F46" s="2" t="n">
        <v>45754</v>
      </c>
      <c r="G46" s="1" t="inlineStr"/>
      <c r="H46" s="1">
        <f>IF(G46="","",G46-F46)</f>
        <v/>
      </c>
      <c r="I46" s="1" t="inlineStr">
        <is>
          <t>No evidence located; open request with the account team</t>
        </is>
      </c>
      <c r="J46" s="1" t="inlineStr">
        <is>
          <t>None</t>
        </is>
      </c>
      <c r="K46" s="1" t="n">
        <v>0</v>
      </c>
      <c r="L46" s="1" t="inlineStr">
        <is>
          <t>No</t>
        </is>
      </c>
      <c r="M46" s="1" t="inlineStr">
        <is>
          <t>In progress</t>
        </is>
      </c>
      <c r="N46" s="1" t="inlineStr">
        <is>
          <t>H. Ferrand</t>
        </is>
      </c>
    </row>
    <row r="47">
      <c r="A47" s="1" t="inlineStr">
        <is>
          <t>WCD-SOW-2024-109</t>
        </is>
      </c>
      <c r="B47" s="1" t="inlineStr">
        <is>
          <t>Westlake Chemical Depot</t>
        </is>
      </c>
      <c r="C47" s="1" t="inlineStr">
        <is>
          <t>Westlake Tank 6</t>
        </is>
      </c>
      <c r="D47" s="1" t="inlineStr">
        <is>
          <t>M70</t>
        </is>
      </c>
      <c r="E47" s="1" t="inlineStr">
        <is>
          <t>Pilot cell operating at contracted throughput</t>
        </is>
      </c>
      <c r="F47" s="2" t="n">
        <v>45883</v>
      </c>
      <c r="G47" s="2" t="n">
        <v>45882</v>
      </c>
      <c r="H47" s="1">
        <f>IF(G47="","",G47-F47)</f>
        <v/>
      </c>
      <c r="I47" s="1" t="inlineStr">
        <is>
          <t>Training attendance register</t>
        </is>
      </c>
      <c r="J47" s="1" t="inlineStr">
        <is>
          <t>20 percent on pilot</t>
        </is>
      </c>
      <c r="K47" s="1" t="n">
        <v>114276.82</v>
      </c>
      <c r="L47" s="1" t="inlineStr">
        <is>
          <t>No</t>
        </is>
      </c>
      <c r="M47" s="1" t="inlineStr">
        <is>
          <t>Conditionally accepted</t>
        </is>
      </c>
      <c r="N47" s="1" t="inlineStr">
        <is>
          <t>H. Ferrand</t>
        </is>
      </c>
    </row>
    <row r="48">
      <c r="A48" s="1" t="inlineStr">
        <is>
          <t>YHG-SOW-2026-946</t>
        </is>
      </c>
      <c r="B48" s="1" t="inlineStr">
        <is>
          <t>Yarrow Home Goods</t>
        </is>
      </c>
      <c r="C48" s="1" t="inlineStr">
        <is>
          <t>Yarrow FC3</t>
        </is>
      </c>
      <c r="D48" s="1" t="inlineStr">
        <is>
          <t>M80</t>
        </is>
      </c>
      <c r="E48" s="1" t="inlineStr">
        <is>
          <t>Operator training delivered and signed off</t>
        </is>
      </c>
      <c r="F48" s="2" t="n">
        <v>45733</v>
      </c>
      <c r="G48" s="1" t="inlineStr"/>
      <c r="H48" s="1">
        <f>IF(G48="","",G48-F48)</f>
        <v/>
      </c>
      <c r="I48" s="1" t="inlineStr">
        <is>
          <t>No evidence located; open request with the account team</t>
        </is>
      </c>
      <c r="J48" s="1" t="inlineStr">
        <is>
          <t>None</t>
        </is>
      </c>
      <c r="K48" s="1" t="n">
        <v>0</v>
      </c>
      <c r="L48" s="1" t="inlineStr">
        <is>
          <t>No</t>
        </is>
      </c>
      <c r="M48" s="1" t="inlineStr">
        <is>
          <t>Planned</t>
        </is>
      </c>
      <c r="N48" s="1" t="inlineStr">
        <is>
          <t>B. Ng</t>
        </is>
      </c>
    </row>
    <row r="49">
      <c r="A49" s="1" t="inlineStr">
        <is>
          <t>TCE-SOW-2025-146</t>
        </is>
      </c>
      <c r="B49" s="1" t="inlineStr">
        <is>
          <t>Tamarack Electronics</t>
        </is>
      </c>
      <c r="C49" s="1" t="inlineStr">
        <is>
          <t>Tamarack SMT 2</t>
        </is>
      </c>
      <c r="D49" s="1" t="inlineStr">
        <is>
          <t>M90</t>
        </is>
      </c>
      <c r="E49" s="1" t="inlineStr">
        <is>
          <t>Customer acceptance certificate countersigned</t>
        </is>
      </c>
      <c r="F49" s="2" t="n">
        <v>45903</v>
      </c>
      <c r="G49" s="2" t="n">
        <v>45902</v>
      </c>
      <c r="H49" s="1">
        <f>IF(G49="","",G49-F49)</f>
        <v/>
      </c>
      <c r="I49" s="1" t="inlineStr">
        <is>
          <t>Training attendance register</t>
        </is>
      </c>
      <c r="J49" s="1" t="inlineStr">
        <is>
          <t>20 percent on acceptance</t>
        </is>
      </c>
      <c r="K49" s="1" t="n">
        <v>253361.39</v>
      </c>
      <c r="L49" s="1" t="inlineStr">
        <is>
          <t>Yes</t>
        </is>
      </c>
      <c r="M49" s="1" t="inlineStr">
        <is>
          <t>Complete</t>
        </is>
      </c>
      <c r="N49" s="1" t="inlineStr">
        <is>
          <t>H. Ferrand</t>
        </is>
      </c>
    </row>
    <row r="50">
      <c r="A50" s="1" t="inlineStr">
        <is>
          <t>BWA-SOW-2026-428</t>
        </is>
      </c>
      <c r="B50" s="1" t="inlineStr">
        <is>
          <t>Bellweather Auto Group</t>
        </is>
      </c>
      <c r="C50" s="1" t="inlineStr">
        <is>
          <t>Bellweather PDC</t>
        </is>
      </c>
      <c r="D50" s="1" t="inlineStr">
        <is>
          <t>M95</t>
        </is>
      </c>
      <c r="E50" s="1" t="inlineStr">
        <is>
          <t>Warranty commencement recorded</t>
        </is>
      </c>
      <c r="F50" s="2" t="n">
        <v>45751</v>
      </c>
      <c r="G50" s="1" t="inlineStr"/>
      <c r="H50" s="1">
        <f>IF(G50="","",G50-F50)</f>
        <v/>
      </c>
      <c r="I50" s="1" t="inlineStr">
        <is>
          <t>No evidence located; open request with the account team</t>
        </is>
      </c>
      <c r="J50" s="1" t="inlineStr">
        <is>
          <t>None</t>
        </is>
      </c>
      <c r="K50" s="1" t="n">
        <v>0</v>
      </c>
      <c r="L50" s="1" t="inlineStr">
        <is>
          <t>No</t>
        </is>
      </c>
      <c r="M50" s="1" t="inlineStr">
        <is>
          <t>Planned</t>
        </is>
      </c>
      <c r="N50" s="1" t="inlineStr">
        <is>
          <t>F. Lindstrom</t>
        </is>
      </c>
    </row>
    <row r="51">
      <c r="A51" s="1" t="inlineStr">
        <is>
          <t>ABT-SOW-2026-232</t>
        </is>
      </c>
      <c r="B51" s="1" t="inlineStr">
        <is>
          <t>Alderbrook Textiles</t>
        </is>
      </c>
      <c r="C51" s="1" t="inlineStr">
        <is>
          <t>Alderbrook Loom 1</t>
        </is>
      </c>
      <c r="D51" s="1" t="inlineStr">
        <is>
          <t>M10</t>
        </is>
      </c>
      <c r="E51" s="1" t="inlineStr">
        <is>
          <t>Contract signature and order acknowledgement</t>
        </is>
      </c>
      <c r="F51" s="2" t="n">
        <v>45947</v>
      </c>
      <c r="G51" s="1" t="inlineStr"/>
      <c r="H51" s="1">
        <f>IF(G51="","",G51-F51)</f>
        <v/>
      </c>
      <c r="I51" s="1" t="inlineStr">
        <is>
          <t>No evidence located; open request with the account team</t>
        </is>
      </c>
      <c r="J51" s="1" t="inlineStr">
        <is>
          <t>20 percent on signature</t>
        </is>
      </c>
      <c r="K51" s="1" t="n">
        <v>485302.56</v>
      </c>
      <c r="L51" s="1" t="inlineStr">
        <is>
          <t>No</t>
        </is>
      </c>
      <c r="M51" s="1" t="inlineStr">
        <is>
          <t>In progress</t>
        </is>
      </c>
      <c r="N51" s="1" t="inlineStr">
        <is>
          <t>S. Vitale</t>
        </is>
      </c>
    </row>
    <row r="52">
      <c r="A52" s="1" t="inlineStr">
        <is>
          <t>HLS-SOW-2026-977</t>
        </is>
      </c>
      <c r="B52" s="1" t="inlineStr">
        <is>
          <t>Harborline Systems</t>
        </is>
      </c>
      <c r="C52" s="1" t="inlineStr">
        <is>
          <t>Harborline Pier 9</t>
        </is>
      </c>
      <c r="D52" s="1" t="inlineStr">
        <is>
          <t>M20</t>
        </is>
      </c>
      <c r="E52" s="1" t="inlineStr">
        <is>
          <t>Site survey complete and layout approved</t>
        </is>
      </c>
      <c r="F52" s="2" t="n">
        <v>46055</v>
      </c>
      <c r="G52" s="1" t="inlineStr"/>
      <c r="H52" s="1">
        <f>IF(G52="","",G52-F52)</f>
        <v/>
      </c>
      <c r="I52" s="1" t="inlineStr">
        <is>
          <t>No evidence located; open request with the account team</t>
        </is>
      </c>
      <c r="J52" s="1" t="inlineStr">
        <is>
          <t>None</t>
        </is>
      </c>
      <c r="K52" s="1" t="n">
        <v>0</v>
      </c>
      <c r="L52" s="1" t="inlineStr">
        <is>
          <t>No</t>
        </is>
      </c>
      <c r="M52" s="1" t="inlineStr">
        <is>
          <t>Blocked on customer</t>
        </is>
      </c>
      <c r="N52" s="1" t="inlineStr">
        <is>
          <t>S. Vitale</t>
        </is>
      </c>
    </row>
    <row r="53">
      <c r="A53" s="1" t="inlineStr">
        <is>
          <t>LKA-SOW-2024-389</t>
        </is>
      </c>
      <c r="B53" s="1" t="inlineStr">
        <is>
          <t>Larkspur Apparel</t>
        </is>
      </c>
      <c r="C53" s="1" t="inlineStr">
        <is>
          <t>Larkspur FC2</t>
        </is>
      </c>
      <c r="D53" s="1" t="inlineStr">
        <is>
          <t>M30</t>
        </is>
      </c>
      <c r="E53" s="1" t="inlineStr">
        <is>
          <t>Hardware shipped to site</t>
        </is>
      </c>
      <c r="F53" s="2" t="n">
        <v>46127</v>
      </c>
      <c r="G53" s="1" t="inlineStr"/>
      <c r="H53" s="1">
        <f>IF(G53="","",G53-F53)</f>
        <v/>
      </c>
      <c r="I53" s="1" t="inlineStr">
        <is>
          <t>No evidence located; open request with the account team</t>
        </is>
      </c>
      <c r="J53" s="1" t="inlineStr">
        <is>
          <t>40 percent on shipment</t>
        </is>
      </c>
      <c r="K53" s="1" t="n">
        <v>451606.92</v>
      </c>
      <c r="L53" s="1" t="inlineStr">
        <is>
          <t>No</t>
        </is>
      </c>
      <c r="M53" s="1" t="inlineStr">
        <is>
          <t>Planned</t>
        </is>
      </c>
      <c r="N53" s="1" t="inlineStr">
        <is>
          <t>B. Ng</t>
        </is>
      </c>
    </row>
    <row r="54">
      <c r="A54" s="1" t="inlineStr">
        <is>
          <t>MDY-SOW-2025-855</t>
        </is>
      </c>
      <c r="B54" s="1" t="inlineStr">
        <is>
          <t>Meridian Dynamics</t>
        </is>
      </c>
      <c r="C54" s="1" t="inlineStr">
        <is>
          <t>Meridian Bay 7</t>
        </is>
      </c>
      <c r="D54" s="1" t="inlineStr">
        <is>
          <t>M40</t>
        </is>
      </c>
      <c r="E54" s="1" t="inlineStr">
        <is>
          <t>Mechanical installation complete</t>
        </is>
      </c>
      <c r="F54" s="2" t="n">
        <v>46028</v>
      </c>
      <c r="G54" s="2" t="n">
        <v>46031</v>
      </c>
      <c r="H54" s="1">
        <f>IF(G54="","",G54-F54)</f>
        <v/>
      </c>
      <c r="I54" s="1" t="inlineStr">
        <is>
          <t>Conditional acceptance letter with open punch list</t>
        </is>
      </c>
      <c r="J54" s="1" t="inlineStr">
        <is>
          <t>None</t>
        </is>
      </c>
      <c r="K54" s="1" t="n">
        <v>0</v>
      </c>
      <c r="L54" s="1" t="inlineStr">
        <is>
          <t>No</t>
        </is>
      </c>
      <c r="M54" s="1" t="inlineStr">
        <is>
          <t>Complete</t>
        </is>
      </c>
      <c r="N54" s="1" t="inlineStr">
        <is>
          <t>S. Vitale</t>
        </is>
      </c>
    </row>
    <row r="55">
      <c r="A55" s="1" t="inlineStr">
        <is>
          <t>SRR-SOW-2024-495</t>
        </is>
      </c>
      <c r="B55" s="1" t="inlineStr">
        <is>
          <t>Summit Ridge Retail</t>
        </is>
      </c>
      <c r="C55" s="1" t="inlineStr">
        <is>
          <t>Summit RDC</t>
        </is>
      </c>
      <c r="D55" s="1" t="inlineStr">
        <is>
          <t>M50</t>
        </is>
      </c>
      <c r="E55" s="1" t="inlineStr">
        <is>
          <t>Network and warehouse-system integration complete</t>
        </is>
      </c>
      <c r="F55" s="2" t="n">
        <v>46087</v>
      </c>
      <c r="G55" s="2" t="n">
        <v>46083</v>
      </c>
      <c r="H55" s="1">
        <f>IF(G55="","",G55-F55)</f>
        <v/>
      </c>
      <c r="I55" s="1" t="inlineStr">
        <is>
          <t>Conditional acceptance letter with open punch list</t>
        </is>
      </c>
      <c r="J55" s="1" t="inlineStr">
        <is>
          <t>None</t>
        </is>
      </c>
      <c r="K55" s="1" t="n">
        <v>0</v>
      </c>
      <c r="L55" s="1" t="inlineStr">
        <is>
          <t>No</t>
        </is>
      </c>
      <c r="M55" s="1" t="inlineStr">
        <is>
          <t>Complete</t>
        </is>
      </c>
      <c r="N55" s="1" t="inlineStr">
        <is>
          <t>H. Ferrand</t>
        </is>
      </c>
    </row>
    <row r="56">
      <c r="A56" s="1" t="inlineStr">
        <is>
          <t>FTM-SOW-2026-646</t>
        </is>
      </c>
      <c r="B56" s="1" t="inlineStr">
        <is>
          <t>Fathom Mobility</t>
        </is>
      </c>
      <c r="C56" s="1" t="inlineStr">
        <is>
          <t>Fathom Line A</t>
        </is>
      </c>
      <c r="D56" s="1" t="inlineStr">
        <is>
          <t>M60</t>
        </is>
      </c>
      <c r="E56" s="1" t="inlineStr">
        <is>
          <t>Safety validation witnessed by customer</t>
        </is>
      </c>
      <c r="F56" s="2" t="n">
        <v>45910</v>
      </c>
      <c r="G56" s="2" t="n">
        <v>45912</v>
      </c>
      <c r="H56" s="1">
        <f>IF(G56="","",G56-F56)</f>
        <v/>
      </c>
      <c r="I56" s="1" t="inlineStr">
        <is>
          <t>Countersigned acceptance certificate</t>
        </is>
      </c>
      <c r="J56" s="1" t="inlineStr">
        <is>
          <t>None</t>
        </is>
      </c>
      <c r="K56" s="1" t="n">
        <v>0</v>
      </c>
      <c r="L56" s="1" t="inlineStr">
        <is>
          <t>No</t>
        </is>
      </c>
      <c r="M56" s="1" t="inlineStr">
        <is>
          <t>Complete</t>
        </is>
      </c>
      <c r="N56" s="1" t="inlineStr">
        <is>
          <t>F. Lindstrom</t>
        </is>
      </c>
    </row>
    <row r="57">
      <c r="A57" s="1" t="inlineStr">
        <is>
          <t>DBI-SOW-2025-297</t>
        </is>
      </c>
      <c r="B57" s="1" t="inlineStr">
        <is>
          <t>Dunbar Industrial</t>
        </is>
      </c>
      <c r="C57" s="1" t="inlineStr">
        <is>
          <t>Dunbar Works</t>
        </is>
      </c>
      <c r="D57" s="1" t="inlineStr">
        <is>
          <t>M70</t>
        </is>
      </c>
      <c r="E57" s="1" t="inlineStr">
        <is>
          <t>Pilot cell operating at contracted throughput</t>
        </is>
      </c>
      <c r="F57" s="2" t="n">
        <v>45702</v>
      </c>
      <c r="G57" s="2" t="n">
        <v>45707</v>
      </c>
      <c r="H57" s="1">
        <f>IF(G57="","",G57-F57)</f>
        <v/>
      </c>
      <c r="I57" s="1" t="inlineStr">
        <is>
          <t>Site sign-off form with throughput log attached</t>
        </is>
      </c>
      <c r="J57" s="1" t="inlineStr">
        <is>
          <t>20 percent on pilot</t>
        </is>
      </c>
      <c r="K57" s="1" t="n">
        <v>361495.14</v>
      </c>
      <c r="L57" s="1" t="inlineStr">
        <is>
          <t>No</t>
        </is>
      </c>
      <c r="M57" s="1" t="inlineStr">
        <is>
          <t>Conditionally accepted</t>
        </is>
      </c>
      <c r="N57" s="1" t="inlineStr">
        <is>
          <t>B. Ng</t>
        </is>
      </c>
    </row>
    <row r="58">
      <c r="A58" s="1" t="inlineStr">
        <is>
          <t>VRS-SOW-2026-655</t>
        </is>
      </c>
      <c r="B58" s="1" t="inlineStr">
        <is>
          <t>Vantage Robotics Supply</t>
        </is>
      </c>
      <c r="C58" s="1" t="inlineStr">
        <is>
          <t>Vantage Depot</t>
        </is>
      </c>
      <c r="D58" s="1" t="inlineStr">
        <is>
          <t>M80</t>
        </is>
      </c>
      <c r="E58" s="1" t="inlineStr">
        <is>
          <t>Operator training delivered and signed off</t>
        </is>
      </c>
      <c r="F58" s="2" t="n">
        <v>45782</v>
      </c>
      <c r="G58" s="2" t="n">
        <v>45782</v>
      </c>
      <c r="H58" s="1">
        <f>IF(G58="","",G58-F58)</f>
        <v/>
      </c>
      <c r="I58" s="1" t="inlineStr">
        <is>
          <t>Integration test report countersigned by customer IT</t>
        </is>
      </c>
      <c r="J58" s="1" t="inlineStr">
        <is>
          <t>None</t>
        </is>
      </c>
      <c r="K58" s="1" t="n">
        <v>0</v>
      </c>
      <c r="L58" s="1" t="inlineStr">
        <is>
          <t>No</t>
        </is>
      </c>
      <c r="M58" s="1" t="inlineStr">
        <is>
          <t>Complete</t>
        </is>
      </c>
      <c r="N58" s="1" t="inlineStr">
        <is>
          <t>B. Ng</t>
        </is>
      </c>
    </row>
    <row r="59">
      <c r="A59" s="1" t="inlineStr">
        <is>
          <t>JHS-SOW-2025-449</t>
        </is>
      </c>
      <c r="B59" s="1" t="inlineStr">
        <is>
          <t>Juniper Health Supply</t>
        </is>
      </c>
      <c r="C59" s="1" t="inlineStr">
        <is>
          <t>Juniper Sterile 1</t>
        </is>
      </c>
      <c r="D59" s="1" t="inlineStr">
        <is>
          <t>M90</t>
        </is>
      </c>
      <c r="E59" s="1" t="inlineStr">
        <is>
          <t>Customer acceptance certificate countersigned</t>
        </is>
      </c>
      <c r="F59" s="2" t="n">
        <v>45789</v>
      </c>
      <c r="G59" s="2" t="n">
        <v>45785</v>
      </c>
      <c r="H59" s="1">
        <f>IF(G59="","",G59-F59)</f>
        <v/>
      </c>
      <c r="I59" s="1" t="inlineStr">
        <is>
          <t>Integration test report countersigned by customer IT</t>
        </is>
      </c>
      <c r="J59" s="1" t="inlineStr">
        <is>
          <t>20 percent on acceptance</t>
        </is>
      </c>
      <c r="K59" s="1" t="n">
        <v>466543.92</v>
      </c>
      <c r="L59" s="1" t="inlineStr">
        <is>
          <t>Yes</t>
        </is>
      </c>
      <c r="M59" s="1" t="inlineStr">
        <is>
          <t>Complete</t>
        </is>
      </c>
      <c r="N59" s="1" t="inlineStr">
        <is>
          <t>B. Ng</t>
        </is>
      </c>
    </row>
    <row r="60">
      <c r="A60" s="1" t="inlineStr">
        <is>
          <t>DBI-SOW-2025-773</t>
        </is>
      </c>
      <c r="B60" s="1" t="inlineStr">
        <is>
          <t>Dunbar Industrial</t>
        </is>
      </c>
      <c r="C60" s="1" t="inlineStr">
        <is>
          <t>Dunbar Works</t>
        </is>
      </c>
      <c r="D60" s="1" t="inlineStr">
        <is>
          <t>M95</t>
        </is>
      </c>
      <c r="E60" s="1" t="inlineStr">
        <is>
          <t>Warranty commencement recorded</t>
        </is>
      </c>
      <c r="F60" s="2" t="n">
        <v>46062</v>
      </c>
      <c r="G60" s="1" t="inlineStr"/>
      <c r="H60" s="1">
        <f>IF(G60="","",G60-F60)</f>
        <v/>
      </c>
      <c r="I60" s="1" t="inlineStr">
        <is>
          <t>No evidence located; open request with the account team</t>
        </is>
      </c>
      <c r="J60" s="1" t="inlineStr">
        <is>
          <t>None</t>
        </is>
      </c>
      <c r="K60" s="1" t="n">
        <v>0</v>
      </c>
      <c r="L60" s="1" t="inlineStr">
        <is>
          <t>No</t>
        </is>
      </c>
      <c r="M60" s="1" t="inlineStr">
        <is>
          <t>Planned</t>
        </is>
      </c>
      <c r="N60" s="1" t="inlineStr">
        <is>
          <t>B. Ng</t>
        </is>
      </c>
    </row>
    <row r="61">
      <c r="A61" s="1" t="inlineStr">
        <is>
          <t>UVP-SOW-2026-230</t>
        </is>
      </c>
      <c r="B61" s="1" t="inlineStr">
        <is>
          <t>Union Vale Pharma</t>
        </is>
      </c>
      <c r="C61" s="1" t="inlineStr">
        <is>
          <t>Union Vale Vault</t>
        </is>
      </c>
      <c r="D61" s="1" t="inlineStr">
        <is>
          <t>M10</t>
        </is>
      </c>
      <c r="E61" s="1" t="inlineStr">
        <is>
          <t>Contract signature and order acknowledgement</t>
        </is>
      </c>
      <c r="F61" s="2" t="n">
        <v>45835</v>
      </c>
      <c r="G61" s="1" t="inlineStr"/>
      <c r="H61" s="1">
        <f>IF(G61="","",G61-F61)</f>
        <v/>
      </c>
      <c r="I61" s="1" t="inlineStr">
        <is>
          <t>No evidence located; open request with the account team</t>
        </is>
      </c>
      <c r="J61" s="1" t="inlineStr">
        <is>
          <t>20 percent on signature</t>
        </is>
      </c>
      <c r="K61" s="1" t="n">
        <v>402230.36</v>
      </c>
      <c r="L61" s="1" t="inlineStr">
        <is>
          <t>No</t>
        </is>
      </c>
      <c r="M61" s="1" t="inlineStr">
        <is>
          <t>In progress</t>
        </is>
      </c>
      <c r="N61" s="1" t="inlineStr">
        <is>
          <t>B. Ng</t>
        </is>
      </c>
    </row>
    <row r="62">
      <c r="A62" s="1" t="inlineStr">
        <is>
          <t>LKA-SOW-2025-977</t>
        </is>
      </c>
      <c r="B62" s="1" t="inlineStr">
        <is>
          <t>Larkspur Apparel</t>
        </is>
      </c>
      <c r="C62" s="1" t="inlineStr">
        <is>
          <t>Larkspur FC2</t>
        </is>
      </c>
      <c r="D62" s="1" t="inlineStr">
        <is>
          <t>M20</t>
        </is>
      </c>
      <c r="E62" s="1" t="inlineStr">
        <is>
          <t>Site survey complete and layout approved</t>
        </is>
      </c>
      <c r="F62" s="2" t="n">
        <v>45964</v>
      </c>
      <c r="G62" s="1" t="inlineStr"/>
      <c r="H62" s="1">
        <f>IF(G62="","",G62-F62)</f>
        <v/>
      </c>
      <c r="I62" s="1" t="inlineStr">
        <is>
          <t>No evidence located; open request with the account team</t>
        </is>
      </c>
      <c r="J62" s="1" t="inlineStr">
        <is>
          <t>None</t>
        </is>
      </c>
      <c r="K62" s="1" t="n">
        <v>0</v>
      </c>
      <c r="L62" s="1" t="inlineStr">
        <is>
          <t>No</t>
        </is>
      </c>
      <c r="M62" s="1" t="inlineStr">
        <is>
          <t>In progress</t>
        </is>
      </c>
      <c r="N62" s="1" t="inlineStr">
        <is>
          <t>H. Ferrand</t>
        </is>
      </c>
    </row>
    <row r="63">
      <c r="A63" s="1" t="inlineStr">
        <is>
          <t>MDY-SOW-2025-379</t>
        </is>
      </c>
      <c r="B63" s="1" t="inlineStr">
        <is>
          <t>Meridian Dynamics</t>
        </is>
      </c>
      <c r="C63" s="1" t="inlineStr">
        <is>
          <t>Meridian Bay 7</t>
        </is>
      </c>
      <c r="D63" s="1" t="inlineStr">
        <is>
          <t>M30</t>
        </is>
      </c>
      <c r="E63" s="1" t="inlineStr">
        <is>
          <t>Hardware shipped to site</t>
        </is>
      </c>
      <c r="F63" s="2" t="n">
        <v>46149</v>
      </c>
      <c r="G63" s="1" t="inlineStr"/>
      <c r="H63" s="1">
        <f>IF(G63="","",G63-F63)</f>
        <v/>
      </c>
      <c r="I63" s="1" t="inlineStr">
        <is>
          <t>No evidence located; open request with the account team</t>
        </is>
      </c>
      <c r="J63" s="1" t="inlineStr">
        <is>
          <t>40 percent on shipment</t>
        </is>
      </c>
      <c r="K63" s="1" t="n">
        <v>422752.17</v>
      </c>
      <c r="L63" s="1" t="inlineStr">
        <is>
          <t>No</t>
        </is>
      </c>
      <c r="M63" s="1" t="inlineStr">
        <is>
          <t>Blocked on customer</t>
        </is>
      </c>
      <c r="N63" s="1" t="inlineStr">
        <is>
          <t>B. Ng</t>
        </is>
      </c>
    </row>
    <row r="64">
      <c r="A64" s="1" t="inlineStr">
        <is>
          <t>TCE-SOW-2024-214</t>
        </is>
      </c>
      <c r="B64" s="1" t="inlineStr">
        <is>
          <t>Tamarack Electronics</t>
        </is>
      </c>
      <c r="C64" s="1" t="inlineStr">
        <is>
          <t>Tamarack SMT 2</t>
        </is>
      </c>
      <c r="D64" s="1" t="inlineStr">
        <is>
          <t>M40</t>
        </is>
      </c>
      <c r="E64" s="1" t="inlineStr">
        <is>
          <t>Mechanical installation complete</t>
        </is>
      </c>
      <c r="F64" s="2" t="n">
        <v>46010</v>
      </c>
      <c r="G64" s="2" t="n">
        <v>46006</v>
      </c>
      <c r="H64" s="1">
        <f>IF(G64="","",G64-F64)</f>
        <v/>
      </c>
      <c r="I64" s="1" t="inlineStr">
        <is>
          <t>Conditional acceptance letter with open punch list</t>
        </is>
      </c>
      <c r="J64" s="1" t="inlineStr">
        <is>
          <t>None</t>
        </is>
      </c>
      <c r="K64" s="1" t="n">
        <v>0</v>
      </c>
      <c r="L64" s="1" t="inlineStr">
        <is>
          <t>No</t>
        </is>
      </c>
      <c r="M64" s="1" t="inlineStr">
        <is>
          <t>Complete</t>
        </is>
      </c>
      <c r="N64" s="1" t="inlineStr">
        <is>
          <t>S. Vitale</t>
        </is>
      </c>
    </row>
    <row r="65">
      <c r="A65" s="1" t="inlineStr">
        <is>
          <t>LKA-SOW-2024-394</t>
        </is>
      </c>
      <c r="B65" s="1" t="inlineStr">
        <is>
          <t>Larkspur Apparel</t>
        </is>
      </c>
      <c r="C65" s="1" t="inlineStr">
        <is>
          <t>Larkspur FC2</t>
        </is>
      </c>
      <c r="D65" s="1" t="inlineStr">
        <is>
          <t>M50</t>
        </is>
      </c>
      <c r="E65" s="1" t="inlineStr">
        <is>
          <t>Network and warehouse-system integration complete</t>
        </is>
      </c>
      <c r="F65" s="2" t="n">
        <v>45786</v>
      </c>
      <c r="G65" s="2" t="n">
        <v>45786</v>
      </c>
      <c r="H65" s="1">
        <f>IF(G65="","",G65-F65)</f>
        <v/>
      </c>
      <c r="I65" s="1" t="inlineStr">
        <is>
          <t>Countersigned acceptance certificate</t>
        </is>
      </c>
      <c r="J65" s="1" t="inlineStr">
        <is>
          <t>None</t>
        </is>
      </c>
      <c r="K65" s="1" t="n">
        <v>0</v>
      </c>
      <c r="L65" s="1" t="inlineStr">
        <is>
          <t>No</t>
        </is>
      </c>
      <c r="M65" s="1" t="inlineStr">
        <is>
          <t>Complete</t>
        </is>
      </c>
      <c r="N65" s="1" t="inlineStr">
        <is>
          <t>J. Alvarez</t>
        </is>
      </c>
    </row>
    <row r="66">
      <c r="A66" s="1" t="inlineStr">
        <is>
          <t>YHG-SOW-2026-825</t>
        </is>
      </c>
      <c r="B66" s="1" t="inlineStr">
        <is>
          <t>Yarrow Home Goods</t>
        </is>
      </c>
      <c r="C66" s="1" t="inlineStr">
        <is>
          <t>Yarrow FC3</t>
        </is>
      </c>
      <c r="D66" s="1" t="inlineStr">
        <is>
          <t>M60</t>
        </is>
      </c>
      <c r="E66" s="1" t="inlineStr">
        <is>
          <t>Safety validation witnessed by customer</t>
        </is>
      </c>
      <c r="F66" s="2" t="n">
        <v>45989</v>
      </c>
      <c r="G66" s="1" t="inlineStr"/>
      <c r="H66" s="1">
        <f>IF(G66="","",G66-F66)</f>
        <v/>
      </c>
      <c r="I66" s="1" t="inlineStr">
        <is>
          <t>No evidence located; open request with the account team</t>
        </is>
      </c>
      <c r="J66" s="1" t="inlineStr">
        <is>
          <t>None</t>
        </is>
      </c>
      <c r="K66" s="1" t="n">
        <v>0</v>
      </c>
      <c r="L66" s="1" t="inlineStr">
        <is>
          <t>No</t>
        </is>
      </c>
      <c r="M66" s="1" t="inlineStr">
        <is>
          <t>Planned</t>
        </is>
      </c>
      <c r="N66" s="1" t="inlineStr">
        <is>
          <t>J. Alvarez</t>
        </is>
      </c>
    </row>
    <row r="67">
      <c r="A67" s="1" t="inlineStr">
        <is>
          <t>EVW-SOW-2025-737</t>
        </is>
      </c>
      <c r="B67" s="1" t="inlineStr">
        <is>
          <t>Evergreen Warehousing</t>
        </is>
      </c>
      <c r="C67" s="1" t="inlineStr">
        <is>
          <t>Evergreen Bay 4</t>
        </is>
      </c>
      <c r="D67" s="1" t="inlineStr">
        <is>
          <t>M70</t>
        </is>
      </c>
      <c r="E67" s="1" t="inlineStr">
        <is>
          <t>Pilot cell operating at contracted throughput</t>
        </is>
      </c>
      <c r="F67" s="2" t="n">
        <v>46059</v>
      </c>
      <c r="G67" s="2" t="n">
        <v>46059</v>
      </c>
      <c r="H67" s="1">
        <f>IF(G67="","",G67-F67)</f>
        <v/>
      </c>
      <c r="I67" s="1" t="inlineStr">
        <is>
          <t>Site sign-off form with throughput log attached</t>
        </is>
      </c>
      <c r="J67" s="1" t="inlineStr">
        <is>
          <t>20 percent on pilot</t>
        </is>
      </c>
      <c r="K67" s="1" t="n">
        <v>303899.81</v>
      </c>
      <c r="L67" s="1" t="inlineStr">
        <is>
          <t>No</t>
        </is>
      </c>
      <c r="M67" s="1" t="inlineStr">
        <is>
          <t>Deferred at customer request</t>
        </is>
      </c>
      <c r="N67" s="1" t="inlineStr">
        <is>
          <t>B. Ng</t>
        </is>
      </c>
    </row>
    <row r="68">
      <c r="A68" s="1" t="inlineStr">
        <is>
          <t>FTM-SOW-2026-611</t>
        </is>
      </c>
      <c r="B68" s="1" t="inlineStr">
        <is>
          <t>Fathom Mobility</t>
        </is>
      </c>
      <c r="C68" s="1" t="inlineStr">
        <is>
          <t>Fathom Line A</t>
        </is>
      </c>
      <c r="D68" s="1" t="inlineStr">
        <is>
          <t>M80</t>
        </is>
      </c>
      <c r="E68" s="1" t="inlineStr">
        <is>
          <t>Operator training delivered and signed off</t>
        </is>
      </c>
      <c r="F68" s="2" t="n">
        <v>45889</v>
      </c>
      <c r="G68" s="1" t="inlineStr"/>
      <c r="H68" s="1">
        <f>IF(G68="","",G68-F68)</f>
        <v/>
      </c>
      <c r="I68" s="1" t="inlineStr">
        <is>
          <t>No evidence located; open request with the account team</t>
        </is>
      </c>
      <c r="J68" s="1" t="inlineStr">
        <is>
          <t>None</t>
        </is>
      </c>
      <c r="K68" s="1" t="n">
        <v>0</v>
      </c>
      <c r="L68" s="1" t="inlineStr">
        <is>
          <t>No</t>
        </is>
      </c>
      <c r="M68" s="1" t="inlineStr">
        <is>
          <t>Blocked on customer</t>
        </is>
      </c>
      <c r="N68" s="1" t="inlineStr">
        <is>
          <t>F. Lindstrom</t>
        </is>
      </c>
    </row>
    <row r="69">
      <c r="A69" s="1" t="inlineStr">
        <is>
          <t>OGF-SOW-2026-622</t>
        </is>
      </c>
      <c r="B69" s="1" t="inlineStr">
        <is>
          <t>Orchard Grove Foods</t>
        </is>
      </c>
      <c r="C69" s="1" t="inlineStr">
        <is>
          <t>Orchard Cold 2</t>
        </is>
      </c>
      <c r="D69" s="1" t="inlineStr">
        <is>
          <t>M90</t>
        </is>
      </c>
      <c r="E69" s="1" t="inlineStr">
        <is>
          <t>Customer acceptance certificate countersigned</t>
        </is>
      </c>
      <c r="F69" s="2" t="n">
        <v>45737</v>
      </c>
      <c r="G69" s="2" t="n">
        <v>45742</v>
      </c>
      <c r="H69" s="1">
        <f>IF(G69="","",G69-F69)</f>
        <v/>
      </c>
      <c r="I69" s="1" t="inlineStr">
        <is>
          <t>Conditional acceptance letter with open punch list</t>
        </is>
      </c>
      <c r="J69" s="1" t="inlineStr">
        <is>
          <t>20 percent on acceptance</t>
        </is>
      </c>
      <c r="K69" s="1" t="n">
        <v>252391.75</v>
      </c>
      <c r="L69" s="1" t="inlineStr">
        <is>
          <t>No</t>
        </is>
      </c>
      <c r="M69" s="1" t="inlineStr">
        <is>
          <t>Deferred at customer request</t>
        </is>
      </c>
      <c r="N69" s="1" t="inlineStr">
        <is>
          <t>F. Lindstrom</t>
        </is>
      </c>
    </row>
    <row r="70">
      <c r="A70" s="1" t="inlineStr">
        <is>
          <t>OGF-SOW-2026-979</t>
        </is>
      </c>
      <c r="B70" s="1" t="inlineStr">
        <is>
          <t>Orchard Grove Foods</t>
        </is>
      </c>
      <c r="C70" s="1" t="inlineStr">
        <is>
          <t>Orchard Cold 2</t>
        </is>
      </c>
      <c r="D70" s="1" t="inlineStr">
        <is>
          <t>M95</t>
        </is>
      </c>
      <c r="E70" s="1" t="inlineStr">
        <is>
          <t>Warranty commencement recorded</t>
        </is>
      </c>
      <c r="F70" s="2" t="n">
        <v>45723</v>
      </c>
      <c r="G70" s="2" t="n">
        <v>45723</v>
      </c>
      <c r="H70" s="1">
        <f>IF(G70="","",G70-F70)</f>
        <v/>
      </c>
      <c r="I70" s="1" t="inlineStr">
        <is>
          <t>Countersigned acceptance certificate</t>
        </is>
      </c>
      <c r="J70" s="1" t="inlineStr">
        <is>
          <t>None</t>
        </is>
      </c>
      <c r="K70" s="1" t="n">
        <v>0</v>
      </c>
      <c r="L70" s="1" t="inlineStr">
        <is>
          <t>No</t>
        </is>
      </c>
      <c r="M70" s="1" t="inlineStr">
        <is>
          <t>Deferred at customer request</t>
        </is>
      </c>
      <c r="N70" s="1" t="inlineStr">
        <is>
          <t>J. Alvarez</t>
        </is>
      </c>
    </row>
    <row r="71">
      <c r="A71" s="1" t="inlineStr">
        <is>
          <t>LKA-SOW-2026-125</t>
        </is>
      </c>
      <c r="B71" s="1" t="inlineStr">
        <is>
          <t>Larkspur Apparel</t>
        </is>
      </c>
      <c r="C71" s="1" t="inlineStr">
        <is>
          <t>Larkspur FC2</t>
        </is>
      </c>
      <c r="D71" s="1" t="inlineStr">
        <is>
          <t>M10</t>
        </is>
      </c>
      <c r="E71" s="1" t="inlineStr">
        <is>
          <t>Contract signature and order acknowledgement</t>
        </is>
      </c>
      <c r="F71" s="2" t="n">
        <v>45719</v>
      </c>
      <c r="G71" s="1" t="inlineStr"/>
      <c r="H71" s="1">
        <f>IF(G71="","",G71-F71)</f>
        <v/>
      </c>
      <c r="I71" s="1" t="inlineStr">
        <is>
          <t>No evidence located; open request with the account team</t>
        </is>
      </c>
      <c r="J71" s="1" t="inlineStr">
        <is>
          <t>20 percent on signature</t>
        </is>
      </c>
      <c r="K71" s="1" t="n">
        <v>475429.55</v>
      </c>
      <c r="L71" s="1" t="inlineStr">
        <is>
          <t>No</t>
        </is>
      </c>
      <c r="M71" s="1" t="inlineStr">
        <is>
          <t>Planned</t>
        </is>
      </c>
      <c r="N71" s="1" t="inlineStr">
        <is>
          <t>B. Ng</t>
        </is>
      </c>
    </row>
    <row r="72">
      <c r="A72" s="1" t="inlineStr">
        <is>
          <t>CMS-SOW-2026-273</t>
        </is>
      </c>
      <c r="B72" s="1" t="inlineStr">
        <is>
          <t>Calder Marine Supply</t>
        </is>
      </c>
      <c r="C72" s="1" t="inlineStr">
        <is>
          <t>Calder Dock 3</t>
        </is>
      </c>
      <c r="D72" s="1" t="inlineStr">
        <is>
          <t>M20</t>
        </is>
      </c>
      <c r="E72" s="1" t="inlineStr">
        <is>
          <t>Site survey complete and layout approved</t>
        </is>
      </c>
      <c r="F72" s="2" t="n">
        <v>46024</v>
      </c>
      <c r="G72" s="2" t="n">
        <v>46020</v>
      </c>
      <c r="H72" s="1">
        <f>IF(G72="","",G72-F72)</f>
        <v/>
      </c>
      <c r="I72" s="1" t="inlineStr">
        <is>
          <t>Customer email confirmation retained in the deployment file</t>
        </is>
      </c>
      <c r="J72" s="1" t="inlineStr">
        <is>
          <t>None</t>
        </is>
      </c>
      <c r="K72" s="1" t="n">
        <v>0</v>
      </c>
      <c r="L72" s="1" t="inlineStr">
        <is>
          <t>No</t>
        </is>
      </c>
      <c r="M72" s="1" t="inlineStr">
        <is>
          <t>Deferred at customer request</t>
        </is>
      </c>
      <c r="N72" s="1" t="inlineStr">
        <is>
          <t>B. Ng</t>
        </is>
      </c>
    </row>
    <row r="73">
      <c r="A73" s="1" t="inlineStr">
        <is>
          <t>UVP-SOW-2024-358</t>
        </is>
      </c>
      <c r="B73" s="1" t="inlineStr">
        <is>
          <t>Union Vale Pharma</t>
        </is>
      </c>
      <c r="C73" s="1" t="inlineStr">
        <is>
          <t>Union Vale Vault</t>
        </is>
      </c>
      <c r="D73" s="1" t="inlineStr">
        <is>
          <t>M30</t>
        </is>
      </c>
      <c r="E73" s="1" t="inlineStr">
        <is>
          <t>Hardware shipped to site</t>
        </is>
      </c>
      <c r="F73" s="2" t="n">
        <v>45694</v>
      </c>
      <c r="G73" s="2" t="n">
        <v>45702</v>
      </c>
      <c r="H73" s="1">
        <f>IF(G73="","",G73-F73)</f>
        <v/>
      </c>
      <c r="I73" s="1" t="inlineStr">
        <is>
          <t>Conditional acceptance letter with open punch list</t>
        </is>
      </c>
      <c r="J73" s="1" t="inlineStr">
        <is>
          <t>40 percent on shipment</t>
        </is>
      </c>
      <c r="K73" s="1" t="n">
        <v>150532.69</v>
      </c>
      <c r="L73" s="1" t="inlineStr">
        <is>
          <t>Yes</t>
        </is>
      </c>
      <c r="M73" s="1" t="inlineStr">
        <is>
          <t>Complete</t>
        </is>
      </c>
      <c r="N73" s="1" t="inlineStr">
        <is>
          <t>B. Ng</t>
        </is>
      </c>
    </row>
    <row r="74">
      <c r="A74" s="1" t="inlineStr">
        <is>
          <t>RWO-SOW-2025-848</t>
        </is>
      </c>
      <c r="B74" s="1" t="inlineStr">
        <is>
          <t>Redwood Optics</t>
        </is>
      </c>
      <c r="C74" s="1" t="inlineStr">
        <is>
          <t>Redwood Clean 3</t>
        </is>
      </c>
      <c r="D74" s="1" t="inlineStr">
        <is>
          <t>M40</t>
        </is>
      </c>
      <c r="E74" s="1" t="inlineStr">
        <is>
          <t>Mechanical installation complete</t>
        </is>
      </c>
      <c r="F74" s="2" t="n">
        <v>45972</v>
      </c>
      <c r="G74" s="1" t="inlineStr"/>
      <c r="H74" s="1">
        <f>IF(G74="","",G74-F74)</f>
        <v/>
      </c>
      <c r="I74" s="1" t="inlineStr">
        <is>
          <t>No evidence located; open request with the account team</t>
        </is>
      </c>
      <c r="J74" s="1" t="inlineStr">
        <is>
          <t>None</t>
        </is>
      </c>
      <c r="K74" s="1" t="n">
        <v>0</v>
      </c>
      <c r="L74" s="1" t="inlineStr">
        <is>
          <t>No</t>
        </is>
      </c>
      <c r="M74" s="1" t="inlineStr">
        <is>
          <t>In progress</t>
        </is>
      </c>
      <c r="N74" s="1" t="inlineStr">
        <is>
          <t>H. Ferrand</t>
        </is>
      </c>
    </row>
    <row r="75">
      <c r="A75" s="1" t="inlineStr">
        <is>
          <t>RWO-SOW-2024-155</t>
        </is>
      </c>
      <c r="B75" s="1" t="inlineStr">
        <is>
          <t>Redwood Optics</t>
        </is>
      </c>
      <c r="C75" s="1" t="inlineStr">
        <is>
          <t>Redwood Clean 3</t>
        </is>
      </c>
      <c r="D75" s="1" t="inlineStr">
        <is>
          <t>M50</t>
        </is>
      </c>
      <c r="E75" s="1" t="inlineStr">
        <is>
          <t>Network and warehouse-system integration complete</t>
        </is>
      </c>
      <c r="F75" s="2" t="n">
        <v>45764</v>
      </c>
      <c r="G75" s="2" t="n">
        <v>45765</v>
      </c>
      <c r="H75" s="1">
        <f>IF(G75="","",G75-F75)</f>
        <v/>
      </c>
      <c r="I75" s="1" t="inlineStr">
        <is>
          <t>Training attendance register</t>
        </is>
      </c>
      <c r="J75" s="1" t="inlineStr">
        <is>
          <t>None</t>
        </is>
      </c>
      <c r="K75" s="1" t="n">
        <v>0</v>
      </c>
      <c r="L75" s="1" t="inlineStr">
        <is>
          <t>No</t>
        </is>
      </c>
      <c r="M75" s="1" t="inlineStr">
        <is>
          <t>Complete</t>
        </is>
      </c>
      <c r="N75" s="1" t="inlineStr">
        <is>
          <t>H. Ferrand</t>
        </is>
      </c>
    </row>
    <row r="76">
      <c r="A76" s="1" t="inlineStr">
        <is>
          <t>JHS-SOW-2026-263</t>
        </is>
      </c>
      <c r="B76" s="1" t="inlineStr">
        <is>
          <t>Juniper Health Supply</t>
        </is>
      </c>
      <c r="C76" s="1" t="inlineStr">
        <is>
          <t>Juniper Sterile 1</t>
        </is>
      </c>
      <c r="D76" s="1" t="inlineStr">
        <is>
          <t>M60</t>
        </is>
      </c>
      <c r="E76" s="1" t="inlineStr">
        <is>
          <t>Safety validation witnessed by customer</t>
        </is>
      </c>
      <c r="F76" s="2" t="n">
        <v>46136</v>
      </c>
      <c r="G76" s="2" t="n">
        <v>46136</v>
      </c>
      <c r="H76" s="1">
        <f>IF(G76="","",G76-F76)</f>
        <v/>
      </c>
      <c r="I76" s="1" t="inlineStr">
        <is>
          <t>Site sign-off form with throughput log attached</t>
        </is>
      </c>
      <c r="J76" s="1" t="inlineStr">
        <is>
          <t>None</t>
        </is>
      </c>
      <c r="K76" s="1" t="n">
        <v>0</v>
      </c>
      <c r="L76" s="1" t="inlineStr">
        <is>
          <t>No</t>
        </is>
      </c>
      <c r="M76" s="1" t="inlineStr">
        <is>
          <t>Complete</t>
        </is>
      </c>
      <c r="N76" s="1" t="inlineStr">
        <is>
          <t>H. Ferrand</t>
        </is>
      </c>
    </row>
    <row r="77">
      <c r="A77" s="1" t="inlineStr">
        <is>
          <t>DBI-SOW-2025-381</t>
        </is>
      </c>
      <c r="B77" s="1" t="inlineStr">
        <is>
          <t>Dunbar Industrial</t>
        </is>
      </c>
      <c r="C77" s="1" t="inlineStr">
        <is>
          <t>Dunbar Works</t>
        </is>
      </c>
      <c r="D77" s="1" t="inlineStr">
        <is>
          <t>M70</t>
        </is>
      </c>
      <c r="E77" s="1" t="inlineStr">
        <is>
          <t>Pilot cell operating at contracted throughput</t>
        </is>
      </c>
      <c r="F77" s="2" t="n">
        <v>46164</v>
      </c>
      <c r="G77" s="1" t="inlineStr"/>
      <c r="H77" s="1">
        <f>IF(G77="","",G77-F77)</f>
        <v/>
      </c>
      <c r="I77" s="1" t="inlineStr">
        <is>
          <t>No evidence located; open request with the account team</t>
        </is>
      </c>
      <c r="J77" s="1" t="inlineStr">
        <is>
          <t>20 percent on pilot</t>
        </is>
      </c>
      <c r="K77" s="1" t="n">
        <v>134099.07</v>
      </c>
      <c r="L77" s="1" t="inlineStr">
        <is>
          <t>No</t>
        </is>
      </c>
      <c r="M77" s="1" t="inlineStr">
        <is>
          <t>Blocked on customer</t>
        </is>
      </c>
      <c r="N77" s="1" t="inlineStr">
        <is>
          <t>S. Vitale</t>
        </is>
      </c>
    </row>
    <row r="78">
      <c r="A78" s="1" t="inlineStr">
        <is>
          <t>ZAC-SOW-2026-631</t>
        </is>
      </c>
      <c r="B78" s="1" t="inlineStr">
        <is>
          <t>Zephyr Air Cargo</t>
        </is>
      </c>
      <c r="C78" s="1" t="inlineStr">
        <is>
          <t>Zephyr Ramp 2</t>
        </is>
      </c>
      <c r="D78" s="1" t="inlineStr">
        <is>
          <t>M80</t>
        </is>
      </c>
      <c r="E78" s="1" t="inlineStr">
        <is>
          <t>Operator training delivered and signed off</t>
        </is>
      </c>
      <c r="F78" s="2" t="n">
        <v>45810</v>
      </c>
      <c r="G78" s="2" t="n">
        <v>45814</v>
      </c>
      <c r="H78" s="1">
        <f>IF(G78="","",G78-F78)</f>
        <v/>
      </c>
      <c r="I78" s="1" t="inlineStr">
        <is>
          <t>Customer email confirmation retained in the deployment file</t>
        </is>
      </c>
      <c r="J78" s="1" t="inlineStr">
        <is>
          <t>None</t>
        </is>
      </c>
      <c r="K78" s="1" t="n">
        <v>0</v>
      </c>
      <c r="L78" s="1" t="inlineStr">
        <is>
          <t>No</t>
        </is>
      </c>
      <c r="M78" s="1" t="inlineStr">
        <is>
          <t>Deferred at customer request</t>
        </is>
      </c>
      <c r="N78" s="1" t="inlineStr">
        <is>
          <t>H. Ferrand</t>
        </is>
      </c>
    </row>
    <row r="79">
      <c r="A79" s="1" t="inlineStr">
        <is>
          <t>CFF-SOW-2025-565</t>
        </is>
      </c>
      <c r="B79" s="1" t="inlineStr">
        <is>
          <t>Crestline Fulfillment</t>
        </is>
      </c>
      <c r="C79" s="1" t="inlineStr">
        <is>
          <t>Crestline FC1</t>
        </is>
      </c>
      <c r="D79" s="1" t="inlineStr">
        <is>
          <t>M90</t>
        </is>
      </c>
      <c r="E79" s="1" t="inlineStr">
        <is>
          <t>Customer acceptance certificate countersigned</t>
        </is>
      </c>
      <c r="F79" s="2" t="n">
        <v>45847</v>
      </c>
      <c r="G79" s="2" t="n">
        <v>45847</v>
      </c>
      <c r="H79" s="1">
        <f>IF(G79="","",G79-F79)</f>
        <v/>
      </c>
      <c r="I79" s="1" t="inlineStr">
        <is>
          <t>Conditional acceptance letter with open punch list</t>
        </is>
      </c>
      <c r="J79" s="1" t="inlineStr">
        <is>
          <t>20 percent on acceptance</t>
        </is>
      </c>
      <c r="K79" s="1" t="n">
        <v>293751.49</v>
      </c>
      <c r="L79" s="1" t="inlineStr">
        <is>
          <t>No</t>
        </is>
      </c>
      <c r="M79" s="1" t="inlineStr">
        <is>
          <t>Deferred at customer request</t>
        </is>
      </c>
      <c r="N79" s="1" t="inlineStr">
        <is>
          <t>S. Vitale</t>
        </is>
      </c>
    </row>
    <row r="80">
      <c r="A80" s="1" t="inlineStr">
        <is>
          <t>PFU-SOW-2025-637</t>
        </is>
      </c>
      <c r="B80" s="1" t="inlineStr">
        <is>
          <t>Pioneer Freight Union</t>
        </is>
      </c>
      <c r="C80" s="1" t="inlineStr">
        <is>
          <t>Pioneer Hub</t>
        </is>
      </c>
      <c r="D80" s="1" t="inlineStr">
        <is>
          <t>M95</t>
        </is>
      </c>
      <c r="E80" s="1" t="inlineStr">
        <is>
          <t>Warranty commencement recorded</t>
        </is>
      </c>
      <c r="F80" s="2" t="n">
        <v>46038</v>
      </c>
      <c r="G80" s="1" t="inlineStr"/>
      <c r="H80" s="1">
        <f>IF(G80="","",G80-F80)</f>
        <v/>
      </c>
      <c r="I80" s="1" t="inlineStr">
        <is>
          <t>No evidence located; open request with the account team</t>
        </is>
      </c>
      <c r="J80" s="1" t="inlineStr">
        <is>
          <t>None</t>
        </is>
      </c>
      <c r="K80" s="1" t="n">
        <v>0</v>
      </c>
      <c r="L80" s="1" t="inlineStr">
        <is>
          <t>No</t>
        </is>
      </c>
      <c r="M80" s="1" t="inlineStr">
        <is>
          <t>Blocked on customer</t>
        </is>
      </c>
      <c r="N80" s="1" t="inlineStr">
        <is>
          <t>H. Ferrand</t>
        </is>
      </c>
    </row>
    <row r="81">
      <c r="A81" s="1" t="inlineStr">
        <is>
          <t>CFF-SOW-2024-412</t>
        </is>
      </c>
      <c r="B81" s="1" t="inlineStr">
        <is>
          <t>Crestline Fulfillment</t>
        </is>
      </c>
      <c r="C81" s="1" t="inlineStr">
        <is>
          <t>Crestline FC1</t>
        </is>
      </c>
      <c r="D81" s="1" t="inlineStr">
        <is>
          <t>M10</t>
        </is>
      </c>
      <c r="E81" s="1" t="inlineStr">
        <is>
          <t>Contract signature and order acknowledgement</t>
        </is>
      </c>
      <c r="F81" s="2" t="n">
        <v>46057</v>
      </c>
      <c r="G81" s="2" t="n">
        <v>46057</v>
      </c>
      <c r="H81" s="1">
        <f>IF(G81="","",G81-F81)</f>
        <v/>
      </c>
      <c r="I81" s="1" t="inlineStr">
        <is>
          <t>Customer email confirmation retained in the deployment file</t>
        </is>
      </c>
      <c r="J81" s="1" t="inlineStr">
        <is>
          <t>20 percent on signature</t>
        </is>
      </c>
      <c r="K81" s="1" t="n">
        <v>90554.37</v>
      </c>
      <c r="L81" s="1" t="inlineStr">
        <is>
          <t>No</t>
        </is>
      </c>
      <c r="M81" s="1" t="inlineStr">
        <is>
          <t>Conditionally accepted</t>
        </is>
      </c>
      <c r="N81" s="1" t="inlineStr">
        <is>
          <t>J. Alvarez</t>
        </is>
      </c>
    </row>
    <row r="82">
      <c r="A82" s="1" t="inlineStr">
        <is>
          <t>GPD-SOW-2026-987</t>
        </is>
      </c>
      <c r="B82" s="1" t="inlineStr">
        <is>
          <t>Granite Peak Distribution</t>
        </is>
      </c>
      <c r="C82" s="1" t="inlineStr">
        <is>
          <t>Granite Yard</t>
        </is>
      </c>
      <c r="D82" s="1" t="inlineStr">
        <is>
          <t>M20</t>
        </is>
      </c>
      <c r="E82" s="1" t="inlineStr">
        <is>
          <t>Site survey complete and layout approved</t>
        </is>
      </c>
      <c r="F82" s="2" t="n">
        <v>45926</v>
      </c>
      <c r="G82" s="2" t="n">
        <v>45926</v>
      </c>
      <c r="H82" s="1">
        <f>IF(G82="","",G82-F82)</f>
        <v/>
      </c>
      <c r="I82" s="1" t="inlineStr">
        <is>
          <t>Integration test report countersigned by customer IT</t>
        </is>
      </c>
      <c r="J82" s="1" t="inlineStr">
        <is>
          <t>None</t>
        </is>
      </c>
      <c r="K82" s="1" t="n">
        <v>0</v>
      </c>
      <c r="L82" s="1" t="inlineStr">
        <is>
          <t>No</t>
        </is>
      </c>
      <c r="M82" s="1" t="inlineStr">
        <is>
          <t>Complete</t>
        </is>
      </c>
      <c r="N82" s="1" t="inlineStr">
        <is>
          <t>H. Ferrand</t>
        </is>
      </c>
    </row>
    <row r="83">
      <c r="A83" s="1" t="inlineStr">
        <is>
          <t>BMC-SOW-2025-959</t>
        </is>
      </c>
      <c r="B83" s="1" t="inlineStr">
        <is>
          <t>Blue Mesa Components</t>
        </is>
      </c>
      <c r="C83" s="1" t="inlineStr">
        <is>
          <t>Mesa Plant 2</t>
        </is>
      </c>
      <c r="D83" s="1" t="inlineStr">
        <is>
          <t>M30</t>
        </is>
      </c>
      <c r="E83" s="1" t="inlineStr">
        <is>
          <t>Hardware shipped to site</t>
        </is>
      </c>
      <c r="F83" s="2" t="n">
        <v>45842</v>
      </c>
      <c r="G83" s="2" t="n">
        <v>45876</v>
      </c>
      <c r="H83" s="1">
        <f>IF(G83="","",G83-F83)</f>
        <v/>
      </c>
      <c r="I83" s="1" t="inlineStr">
        <is>
          <t>Witnessed safety validation report</t>
        </is>
      </c>
      <c r="J83" s="1" t="inlineStr">
        <is>
          <t>40 percent on shipment</t>
        </is>
      </c>
      <c r="K83" s="1" t="n">
        <v>92871.28999999999</v>
      </c>
      <c r="L83" s="1" t="inlineStr">
        <is>
          <t>Yes</t>
        </is>
      </c>
      <c r="M83" s="1" t="inlineStr">
        <is>
          <t>Complete</t>
        </is>
      </c>
      <c r="N83" s="1" t="inlineStr">
        <is>
          <t>J. Alvarez</t>
        </is>
      </c>
    </row>
    <row r="84">
      <c r="A84" s="1" t="inlineStr">
        <is>
          <t>JHS-SOW-2024-225</t>
        </is>
      </c>
      <c r="B84" s="1" t="inlineStr">
        <is>
          <t>Juniper Health Supply</t>
        </is>
      </c>
      <c r="C84" s="1" t="inlineStr">
        <is>
          <t>Juniper Sterile 1</t>
        </is>
      </c>
      <c r="D84" s="1" t="inlineStr">
        <is>
          <t>M40</t>
        </is>
      </c>
      <c r="E84" s="1" t="inlineStr">
        <is>
          <t>Mechanical installation complete</t>
        </is>
      </c>
      <c r="F84" s="2" t="n">
        <v>45726</v>
      </c>
      <c r="G84" s="2" t="n">
        <v>45726</v>
      </c>
      <c r="H84" s="1">
        <f>IF(G84="","",G84-F84)</f>
        <v/>
      </c>
      <c r="I84" s="1" t="inlineStr">
        <is>
          <t>Customer email confirmation retained in the deployment file</t>
        </is>
      </c>
      <c r="J84" s="1" t="inlineStr">
        <is>
          <t>None</t>
        </is>
      </c>
      <c r="K84" s="1" t="n">
        <v>0</v>
      </c>
      <c r="L84" s="1" t="inlineStr">
        <is>
          <t>No</t>
        </is>
      </c>
      <c r="M84" s="1" t="inlineStr">
        <is>
          <t>Complete</t>
        </is>
      </c>
      <c r="N84" s="1" t="inlineStr">
        <is>
          <t>F. Lindstrom</t>
        </is>
      </c>
    </row>
    <row r="85">
      <c r="A85" s="1" t="inlineStr">
        <is>
          <t>DGC-SOW-2026-405</t>
        </is>
      </c>
      <c r="B85" s="1" t="inlineStr">
        <is>
          <t>Dorsey Grain Cooperative</t>
        </is>
      </c>
      <c r="C85" s="1" t="inlineStr">
        <is>
          <t>Dorsey Elevator 2</t>
        </is>
      </c>
      <c r="D85" s="1" t="inlineStr">
        <is>
          <t>M50</t>
        </is>
      </c>
      <c r="E85" s="1" t="inlineStr">
        <is>
          <t>Network and warehouse-system integration complete</t>
        </is>
      </c>
      <c r="F85" s="2" t="n">
        <v>46073</v>
      </c>
      <c r="G85" s="1" t="inlineStr"/>
      <c r="H85" s="1">
        <f>IF(G85="","",G85-F85)</f>
        <v/>
      </c>
      <c r="I85" s="1" t="inlineStr">
        <is>
          <t>No evidence located; open request with the account team</t>
        </is>
      </c>
      <c r="J85" s="1" t="inlineStr">
        <is>
          <t>None</t>
        </is>
      </c>
      <c r="K85" s="1" t="n">
        <v>0</v>
      </c>
      <c r="L85" s="1" t="inlineStr">
        <is>
          <t>No</t>
        </is>
      </c>
      <c r="M85" s="1" t="inlineStr">
        <is>
          <t>In progress</t>
        </is>
      </c>
      <c r="N85" s="1" t="inlineStr">
        <is>
          <t>S. Vitale</t>
        </is>
      </c>
    </row>
    <row r="86">
      <c r="A86" s="1" t="inlineStr">
        <is>
          <t>UVP-SOW-2024-490</t>
        </is>
      </c>
      <c r="B86" s="1" t="inlineStr">
        <is>
          <t>Union Vale Pharma</t>
        </is>
      </c>
      <c r="C86" s="1" t="inlineStr">
        <is>
          <t>Union Vale Vault</t>
        </is>
      </c>
      <c r="D86" s="1" t="inlineStr">
        <is>
          <t>M60</t>
        </is>
      </c>
      <c r="E86" s="1" t="inlineStr">
        <is>
          <t>Safety validation witnessed by customer</t>
        </is>
      </c>
      <c r="F86" s="2" t="n">
        <v>45825</v>
      </c>
      <c r="G86" s="2" t="n">
        <v>45842</v>
      </c>
      <c r="H86" s="1">
        <f>IF(G86="","",G86-F86)</f>
        <v/>
      </c>
      <c r="I86" s="1" t="inlineStr">
        <is>
          <t>Customer email confirmation retained in the deployment file</t>
        </is>
      </c>
      <c r="J86" s="1" t="inlineStr">
        <is>
          <t>None</t>
        </is>
      </c>
      <c r="K86" s="1" t="n">
        <v>0</v>
      </c>
      <c r="L86" s="1" t="inlineStr">
        <is>
          <t>No</t>
        </is>
      </c>
      <c r="M86" s="1" t="inlineStr">
        <is>
          <t>Complete</t>
        </is>
      </c>
      <c r="N86" s="1" t="inlineStr">
        <is>
          <t>S. Vitale</t>
        </is>
      </c>
    </row>
    <row r="87">
      <c r="A87" s="1" t="inlineStr">
        <is>
          <t>OGF-SOW-2025-438</t>
        </is>
      </c>
      <c r="B87" s="1" t="inlineStr">
        <is>
          <t>Orchard Grove Foods</t>
        </is>
      </c>
      <c r="C87" s="1" t="inlineStr">
        <is>
          <t>Orchard Cold 2</t>
        </is>
      </c>
      <c r="D87" s="1" t="inlineStr">
        <is>
          <t>M70</t>
        </is>
      </c>
      <c r="E87" s="1" t="inlineStr">
        <is>
          <t>Pilot cell operating at contracted throughput</t>
        </is>
      </c>
      <c r="F87" s="2" t="n">
        <v>46100</v>
      </c>
      <c r="G87" s="1" t="inlineStr"/>
      <c r="H87" s="1">
        <f>IF(G87="","",G87-F87)</f>
        <v/>
      </c>
      <c r="I87" s="1" t="inlineStr">
        <is>
          <t>No evidence located; open request with the account team</t>
        </is>
      </c>
      <c r="J87" s="1" t="inlineStr">
        <is>
          <t>20 percent on pilot</t>
        </is>
      </c>
      <c r="K87" s="1" t="n">
        <v>272395.77</v>
      </c>
      <c r="L87" s="1" t="inlineStr">
        <is>
          <t>No</t>
        </is>
      </c>
      <c r="M87" s="1" t="inlineStr">
        <is>
          <t>In progress</t>
        </is>
      </c>
      <c r="N87" s="1" t="inlineStr">
        <is>
          <t>F. Lindstrom</t>
        </is>
      </c>
    </row>
    <row r="88">
      <c r="A88" s="1" t="inlineStr">
        <is>
          <t>RWO-SOW-2025-740</t>
        </is>
      </c>
      <c r="B88" s="1" t="inlineStr">
        <is>
          <t>Redwood Optics</t>
        </is>
      </c>
      <c r="C88" s="1" t="inlineStr">
        <is>
          <t>Redwood Clean 3</t>
        </is>
      </c>
      <c r="D88" s="1" t="inlineStr">
        <is>
          <t>M80</t>
        </is>
      </c>
      <c r="E88" s="1" t="inlineStr">
        <is>
          <t>Operator training delivered and signed off</t>
        </is>
      </c>
      <c r="F88" s="2" t="n">
        <v>45824</v>
      </c>
      <c r="G88" s="1" t="inlineStr"/>
      <c r="H88" s="1">
        <f>IF(G88="","",G88-F88)</f>
        <v/>
      </c>
      <c r="I88" s="1" t="inlineStr">
        <is>
          <t>No evidence located; open request with the account team</t>
        </is>
      </c>
      <c r="J88" s="1" t="inlineStr">
        <is>
          <t>None</t>
        </is>
      </c>
      <c r="K88" s="1" t="n">
        <v>0</v>
      </c>
      <c r="L88" s="1" t="inlineStr">
        <is>
          <t>No</t>
        </is>
      </c>
      <c r="M88" s="1" t="inlineStr">
        <is>
          <t>Blocked on customer</t>
        </is>
      </c>
      <c r="N88" s="1" t="inlineStr">
        <is>
          <t>B. Ng</t>
        </is>
      </c>
    </row>
    <row r="89">
      <c r="A89" s="1" t="inlineStr">
        <is>
          <t>DBI-SOW-2024-856</t>
        </is>
      </c>
      <c r="B89" s="1" t="inlineStr">
        <is>
          <t>Dunbar Industrial</t>
        </is>
      </c>
      <c r="C89" s="1" t="inlineStr">
        <is>
          <t>Dunbar Works</t>
        </is>
      </c>
      <c r="D89" s="1" t="inlineStr">
        <is>
          <t>M90</t>
        </is>
      </c>
      <c r="E89" s="1" t="inlineStr">
        <is>
          <t>Customer acceptance certificate countersigned</t>
        </is>
      </c>
      <c r="F89" s="2" t="n">
        <v>45741</v>
      </c>
      <c r="G89" s="1" t="inlineStr"/>
      <c r="H89" s="1">
        <f>IF(G89="","",G89-F89)</f>
        <v/>
      </c>
      <c r="I89" s="1" t="inlineStr">
        <is>
          <t>No evidence located; open request with the account team</t>
        </is>
      </c>
      <c r="J89" s="1" t="inlineStr">
        <is>
          <t>20 percent on acceptance</t>
        </is>
      </c>
      <c r="K89" s="1" t="n">
        <v>65705.89</v>
      </c>
      <c r="L89" s="1" t="inlineStr">
        <is>
          <t>No</t>
        </is>
      </c>
      <c r="M89" s="1" t="inlineStr">
        <is>
          <t>Blocked on customer</t>
        </is>
      </c>
      <c r="N89" s="1" t="inlineStr">
        <is>
          <t>H. Ferrand</t>
        </is>
      </c>
    </row>
    <row r="90">
      <c r="A90" s="1" t="inlineStr">
        <is>
          <t>JHS-SOW-2024-236</t>
        </is>
      </c>
      <c r="B90" s="1" t="inlineStr">
        <is>
          <t>Juniper Health Supply</t>
        </is>
      </c>
      <c r="C90" s="1" t="inlineStr">
        <is>
          <t>Juniper Sterile 1</t>
        </is>
      </c>
      <c r="D90" s="1" t="inlineStr">
        <is>
          <t>M95</t>
        </is>
      </c>
      <c r="E90" s="1" t="inlineStr">
        <is>
          <t>Warranty commencement recorded</t>
        </is>
      </c>
      <c r="F90" s="2" t="n">
        <v>45929</v>
      </c>
      <c r="G90" s="2" t="n">
        <v>45947</v>
      </c>
      <c r="H90" s="1">
        <f>IF(G90="","",G90-F90)</f>
        <v/>
      </c>
      <c r="I90" s="1" t="inlineStr">
        <is>
          <t>Integration test report countersigned by customer IT</t>
        </is>
      </c>
      <c r="J90" s="1" t="inlineStr">
        <is>
          <t>None</t>
        </is>
      </c>
      <c r="K90" s="1" t="n">
        <v>0</v>
      </c>
      <c r="L90" s="1" t="inlineStr">
        <is>
          <t>No</t>
        </is>
      </c>
      <c r="M90" s="1" t="inlineStr">
        <is>
          <t>Complete</t>
        </is>
      </c>
      <c r="N90" s="1" t="inlineStr">
        <is>
          <t>B. Ng</t>
        </is>
      </c>
    </row>
    <row r="91">
      <c r="A91" s="1" t="inlineStr">
        <is>
          <t>MDY-SOW-2026-329</t>
        </is>
      </c>
      <c r="B91" s="1" t="inlineStr">
        <is>
          <t>Meridian Dynamics</t>
        </is>
      </c>
      <c r="C91" s="1" t="inlineStr">
        <is>
          <t>Meridian Bay 7</t>
        </is>
      </c>
      <c r="D91" s="1" t="inlineStr">
        <is>
          <t>M10</t>
        </is>
      </c>
      <c r="E91" s="1" t="inlineStr">
        <is>
          <t>Contract signature and order acknowledgement</t>
        </is>
      </c>
      <c r="F91" s="2" t="n">
        <v>45807</v>
      </c>
      <c r="G91" s="1" t="inlineStr"/>
      <c r="H91" s="1">
        <f>IF(G91="","",G91-F91)</f>
        <v/>
      </c>
      <c r="I91" s="1" t="inlineStr">
        <is>
          <t>No evidence located; open request with the account team</t>
        </is>
      </c>
      <c r="J91" s="1" t="inlineStr">
        <is>
          <t>20 percent on signature</t>
        </is>
      </c>
      <c r="K91" s="1" t="n">
        <v>470134.21</v>
      </c>
      <c r="L91" s="1" t="inlineStr">
        <is>
          <t>No</t>
        </is>
      </c>
      <c r="M91" s="1" t="inlineStr">
        <is>
          <t>Planned</t>
        </is>
      </c>
      <c r="N91" s="1" t="inlineStr">
        <is>
          <t>F. Lindstrom</t>
        </is>
      </c>
    </row>
    <row r="92">
      <c r="A92" s="1" t="inlineStr">
        <is>
          <t>WCD-SOW-2025-545</t>
        </is>
      </c>
      <c r="B92" s="1" t="inlineStr">
        <is>
          <t>Westlake Chemical Depot</t>
        </is>
      </c>
      <c r="C92" s="1" t="inlineStr">
        <is>
          <t>Westlake Tank 6</t>
        </is>
      </c>
      <c r="D92" s="1" t="inlineStr">
        <is>
          <t>M20</t>
        </is>
      </c>
      <c r="E92" s="1" t="inlineStr">
        <is>
          <t>Site survey complete and layout approved</t>
        </is>
      </c>
      <c r="F92" s="2" t="n">
        <v>45723</v>
      </c>
      <c r="G92" s="1" t="inlineStr"/>
      <c r="H92" s="1">
        <f>IF(G92="","",G92-F92)</f>
        <v/>
      </c>
      <c r="I92" s="1" t="inlineStr">
        <is>
          <t>No evidence located; open request with the account team</t>
        </is>
      </c>
      <c r="J92" s="1" t="inlineStr">
        <is>
          <t>None</t>
        </is>
      </c>
      <c r="K92" s="1" t="n">
        <v>0</v>
      </c>
      <c r="L92" s="1" t="inlineStr">
        <is>
          <t>No</t>
        </is>
      </c>
      <c r="M92" s="1" t="inlineStr">
        <is>
          <t>Blocked on customer</t>
        </is>
      </c>
      <c r="N92" s="1" t="inlineStr">
        <is>
          <t>J. Alvarez</t>
        </is>
      </c>
    </row>
    <row r="93">
      <c r="A93" s="1" t="inlineStr">
        <is>
          <t>BWA-SOW-2026-460</t>
        </is>
      </c>
      <c r="B93" s="1" t="inlineStr">
        <is>
          <t>Bellweather Auto Group</t>
        </is>
      </c>
      <c r="C93" s="1" t="inlineStr">
        <is>
          <t>Bellweather PDC</t>
        </is>
      </c>
      <c r="D93" s="1" t="inlineStr">
        <is>
          <t>M30</t>
        </is>
      </c>
      <c r="E93" s="1" t="inlineStr">
        <is>
          <t>Hardware shipped to site</t>
        </is>
      </c>
      <c r="F93" s="2" t="n">
        <v>46052</v>
      </c>
      <c r="G93" s="1" t="inlineStr"/>
      <c r="H93" s="1">
        <f>IF(G93="","",G93-F93)</f>
        <v/>
      </c>
      <c r="I93" s="1" t="inlineStr">
        <is>
          <t>No evidence located; open request with the account team</t>
        </is>
      </c>
      <c r="J93" s="1" t="inlineStr">
        <is>
          <t>40 percent on shipment</t>
        </is>
      </c>
      <c r="K93" s="1" t="n">
        <v>367575.24</v>
      </c>
      <c r="L93" s="1" t="inlineStr">
        <is>
          <t>No</t>
        </is>
      </c>
      <c r="M93" s="1" t="inlineStr">
        <is>
          <t>Blocked on customer</t>
        </is>
      </c>
      <c r="N93" s="1" t="inlineStr">
        <is>
          <t>J. Alvarez</t>
        </is>
      </c>
    </row>
    <row r="94">
      <c r="A94" s="1" t="inlineStr">
        <is>
          <t>VRS-SOW-2025-571</t>
        </is>
      </c>
      <c r="B94" s="1" t="inlineStr">
        <is>
          <t>Vantage Robotics Supply</t>
        </is>
      </c>
      <c r="C94" s="1" t="inlineStr">
        <is>
          <t>Vantage Depot</t>
        </is>
      </c>
      <c r="D94" s="1" t="inlineStr">
        <is>
          <t>M40</t>
        </is>
      </c>
      <c r="E94" s="1" t="inlineStr">
        <is>
          <t>Mechanical installation complete</t>
        </is>
      </c>
      <c r="F94" s="2" t="n">
        <v>45735</v>
      </c>
      <c r="G94" s="2" t="n">
        <v>45735</v>
      </c>
      <c r="H94" s="1">
        <f>IF(G94="","",G94-F94)</f>
        <v/>
      </c>
      <c r="I94" s="1" t="inlineStr">
        <is>
          <t>Countersigned acceptance certificate</t>
        </is>
      </c>
      <c r="J94" s="1" t="inlineStr">
        <is>
          <t>None</t>
        </is>
      </c>
      <c r="K94" s="1" t="n">
        <v>0</v>
      </c>
      <c r="L94" s="1" t="inlineStr">
        <is>
          <t>No</t>
        </is>
      </c>
      <c r="M94" s="1" t="inlineStr">
        <is>
          <t>Complete</t>
        </is>
      </c>
      <c r="N94" s="1" t="inlineStr">
        <is>
          <t>F. Lindstrom</t>
        </is>
      </c>
    </row>
    <row r="95">
      <c r="A95" s="1" t="inlineStr">
        <is>
          <t>FTM-SOW-2025-203</t>
        </is>
      </c>
      <c r="B95" s="1" t="inlineStr">
        <is>
          <t>Fathom Mobility</t>
        </is>
      </c>
      <c r="C95" s="1" t="inlineStr">
        <is>
          <t>Fathom Line A</t>
        </is>
      </c>
      <c r="D95" s="1" t="inlineStr">
        <is>
          <t>M50</t>
        </is>
      </c>
      <c r="E95" s="1" t="inlineStr">
        <is>
          <t>Network and warehouse-system integration complete</t>
        </is>
      </c>
      <c r="F95" s="2" t="n">
        <v>45814</v>
      </c>
      <c r="G95" s="2" t="n">
        <v>45819</v>
      </c>
      <c r="H95" s="1">
        <f>IF(G95="","",G95-F95)</f>
        <v/>
      </c>
      <c r="I95" s="1" t="inlineStr">
        <is>
          <t>Integration test report countersigned by customer IT</t>
        </is>
      </c>
      <c r="J95" s="1" t="inlineStr">
        <is>
          <t>None</t>
        </is>
      </c>
      <c r="K95" s="1" t="n">
        <v>0</v>
      </c>
      <c r="L95" s="1" t="inlineStr">
        <is>
          <t>No</t>
        </is>
      </c>
      <c r="M95" s="1" t="inlineStr">
        <is>
          <t>Deferred at customer request</t>
        </is>
      </c>
      <c r="N95" s="1" t="inlineStr">
        <is>
          <t>H. Ferrand</t>
        </is>
      </c>
    </row>
    <row r="96">
      <c r="A96" s="1" t="inlineStr">
        <is>
          <t>GPD-SOW-2026-317</t>
        </is>
      </c>
      <c r="B96" s="1" t="inlineStr">
        <is>
          <t>Granite Peak Distribution</t>
        </is>
      </c>
      <c r="C96" s="1" t="inlineStr">
        <is>
          <t>Granite Yard</t>
        </is>
      </c>
      <c r="D96" s="1" t="inlineStr">
        <is>
          <t>M60</t>
        </is>
      </c>
      <c r="E96" s="1" t="inlineStr">
        <is>
          <t>Safety validation witnessed by customer</t>
        </is>
      </c>
      <c r="F96" s="2" t="n">
        <v>46052</v>
      </c>
      <c r="G96" s="1" t="inlineStr"/>
      <c r="H96" s="1">
        <f>IF(G96="","",G96-F96)</f>
        <v/>
      </c>
      <c r="I96" s="1" t="inlineStr">
        <is>
          <t>No evidence located; open request with the account team</t>
        </is>
      </c>
      <c r="J96" s="1" t="inlineStr">
        <is>
          <t>None</t>
        </is>
      </c>
      <c r="K96" s="1" t="n">
        <v>0</v>
      </c>
      <c r="L96" s="1" t="inlineStr">
        <is>
          <t>No</t>
        </is>
      </c>
      <c r="M96" s="1" t="inlineStr">
        <is>
          <t>In progress</t>
        </is>
      </c>
      <c r="N96" s="1" t="inlineStr">
        <is>
          <t>S. Vitale</t>
        </is>
      </c>
    </row>
    <row r="97">
      <c r="A97" s="1" t="inlineStr">
        <is>
          <t>HLS-SOW-2025-932</t>
        </is>
      </c>
      <c r="B97" s="1" t="inlineStr">
        <is>
          <t>Harborline Systems</t>
        </is>
      </c>
      <c r="C97" s="1" t="inlineStr">
        <is>
          <t>Harborline Pier 9</t>
        </is>
      </c>
      <c r="D97" s="1" t="inlineStr">
        <is>
          <t>M70</t>
        </is>
      </c>
      <c r="E97" s="1" t="inlineStr">
        <is>
          <t>Pilot cell operating at contracted throughput</t>
        </is>
      </c>
      <c r="F97" s="2" t="n">
        <v>45820</v>
      </c>
      <c r="G97" s="1" t="inlineStr"/>
      <c r="H97" s="1">
        <f>IF(G97="","",G97-F97)</f>
        <v/>
      </c>
      <c r="I97" s="1" t="inlineStr">
        <is>
          <t>No evidence located; open request with the account team</t>
        </is>
      </c>
      <c r="J97" s="1" t="inlineStr">
        <is>
          <t>20 percent on pilot</t>
        </is>
      </c>
      <c r="K97" s="1" t="n">
        <v>281131.92</v>
      </c>
      <c r="L97" s="1" t="inlineStr">
        <is>
          <t>No</t>
        </is>
      </c>
      <c r="M97" s="1" t="inlineStr">
        <is>
          <t>Blocked on customer</t>
        </is>
      </c>
      <c r="N97" s="1" t="inlineStr">
        <is>
          <t>H. Ferrand</t>
        </is>
      </c>
    </row>
    <row r="98">
      <c r="A98" s="1" t="inlineStr">
        <is>
          <t>GPD-SOW-2024-526</t>
        </is>
      </c>
      <c r="B98" s="1" t="inlineStr">
        <is>
          <t>Granite Peak Distribution</t>
        </is>
      </c>
      <c r="C98" s="1" t="inlineStr">
        <is>
          <t>Granite Yard</t>
        </is>
      </c>
      <c r="D98" s="1" t="inlineStr">
        <is>
          <t>M80</t>
        </is>
      </c>
      <c r="E98" s="1" t="inlineStr">
        <is>
          <t>Operator training delivered and signed off</t>
        </is>
      </c>
      <c r="F98" s="2" t="n">
        <v>46156</v>
      </c>
      <c r="G98" s="2" t="n">
        <v>46164</v>
      </c>
      <c r="H98" s="1">
        <f>IF(G98="","",G98-F98)</f>
        <v/>
      </c>
      <c r="I98" s="1" t="inlineStr">
        <is>
          <t>Countersigned acceptance certificate</t>
        </is>
      </c>
      <c r="J98" s="1" t="inlineStr">
        <is>
          <t>None</t>
        </is>
      </c>
      <c r="K98" s="1" t="n">
        <v>0</v>
      </c>
      <c r="L98" s="1" t="inlineStr">
        <is>
          <t>No</t>
        </is>
      </c>
      <c r="M98" s="1" t="inlineStr">
        <is>
          <t>Complete</t>
        </is>
      </c>
      <c r="N98" s="1" t="inlineStr">
        <is>
          <t>H. Ferrand</t>
        </is>
      </c>
    </row>
    <row r="99">
      <c r="A99" s="1" t="inlineStr">
        <is>
          <t>SRR-SOW-2024-709</t>
        </is>
      </c>
      <c r="B99" s="1" t="inlineStr">
        <is>
          <t>Summit Ridge Retail</t>
        </is>
      </c>
      <c r="C99" s="1" t="inlineStr">
        <is>
          <t>Summit RDC</t>
        </is>
      </c>
      <c r="D99" s="1" t="inlineStr">
        <is>
          <t>M90</t>
        </is>
      </c>
      <c r="E99" s="1" t="inlineStr">
        <is>
          <t>Customer acceptance certificate countersigned</t>
        </is>
      </c>
      <c r="F99" s="2" t="n">
        <v>46007</v>
      </c>
      <c r="G99" s="1" t="inlineStr"/>
      <c r="H99" s="1">
        <f>IF(G99="","",G99-F99)</f>
        <v/>
      </c>
      <c r="I99" s="1" t="inlineStr">
        <is>
          <t>No evidence located; open request with the account team</t>
        </is>
      </c>
      <c r="J99" s="1" t="inlineStr">
        <is>
          <t>20 percent on acceptance</t>
        </is>
      </c>
      <c r="K99" s="1" t="n">
        <v>344612.88</v>
      </c>
      <c r="L99" s="1" t="inlineStr">
        <is>
          <t>No</t>
        </is>
      </c>
      <c r="M99" s="1" t="inlineStr">
        <is>
          <t>Planned</t>
        </is>
      </c>
      <c r="N99" s="1" t="inlineStr">
        <is>
          <t>H. Ferrand</t>
        </is>
      </c>
    </row>
    <row r="100">
      <c r="A100" s="1" t="inlineStr">
        <is>
          <t>RWO-SOW-2026-169</t>
        </is>
      </c>
      <c r="B100" s="1" t="inlineStr">
        <is>
          <t>Redwood Optics</t>
        </is>
      </c>
      <c r="C100" s="1" t="inlineStr">
        <is>
          <t>Redwood Clean 3</t>
        </is>
      </c>
      <c r="D100" s="1" t="inlineStr">
        <is>
          <t>M95</t>
        </is>
      </c>
      <c r="E100" s="1" t="inlineStr">
        <is>
          <t>Warranty commencement recorded</t>
        </is>
      </c>
      <c r="F100" s="2" t="n">
        <v>46078</v>
      </c>
      <c r="G100" s="1" t="inlineStr"/>
      <c r="H100" s="1">
        <f>IF(G100="","",G100-F100)</f>
        <v/>
      </c>
      <c r="I100" s="1" t="inlineStr">
        <is>
          <t>No evidence located; open request with the account team</t>
        </is>
      </c>
      <c r="J100" s="1" t="inlineStr">
        <is>
          <t>None</t>
        </is>
      </c>
      <c r="K100" s="1" t="n">
        <v>0</v>
      </c>
      <c r="L100" s="1" t="inlineStr">
        <is>
          <t>No</t>
        </is>
      </c>
      <c r="M100" s="1" t="inlineStr">
        <is>
          <t>In progress</t>
        </is>
      </c>
      <c r="N100" s="1" t="inlineStr">
        <is>
          <t>J. Alvarez</t>
        </is>
      </c>
    </row>
    <row r="101">
      <c r="A101" s="1" t="inlineStr">
        <is>
          <t>KPP-SOW-2025-603</t>
        </is>
      </c>
      <c r="B101" s="1" t="inlineStr">
        <is>
          <t>Keystone Paper &amp; Pack</t>
        </is>
      </c>
      <c r="C101" s="1" t="inlineStr">
        <is>
          <t>Keystone Mill 3</t>
        </is>
      </c>
      <c r="D101" s="1" t="inlineStr">
        <is>
          <t>M10</t>
        </is>
      </c>
      <c r="E101" s="1" t="inlineStr">
        <is>
          <t>Contract signature and order acknowledgement</t>
        </is>
      </c>
      <c r="F101" s="2" t="n">
        <v>45905</v>
      </c>
      <c r="G101" s="1" t="inlineStr"/>
      <c r="H101" s="1">
        <f>IF(G101="","",G101-F101)</f>
        <v/>
      </c>
      <c r="I101" s="1" t="inlineStr">
        <is>
          <t>No evidence located; open request with the account team</t>
        </is>
      </c>
      <c r="J101" s="1" t="inlineStr">
        <is>
          <t>20 percent on signature</t>
        </is>
      </c>
      <c r="K101" s="1" t="n">
        <v>351124.57</v>
      </c>
      <c r="L101" s="1" t="inlineStr">
        <is>
          <t>No</t>
        </is>
      </c>
      <c r="M101" s="1" t="inlineStr">
        <is>
          <t>In progress</t>
        </is>
      </c>
      <c r="N101" s="1" t="inlineStr">
        <is>
          <t>F. Lindstrom</t>
        </is>
      </c>
    </row>
    <row r="102">
      <c r="A102" s="1" t="inlineStr">
        <is>
          <t>NFB-SOW-2026-825</t>
        </is>
      </c>
      <c r="B102" s="1" t="inlineStr">
        <is>
          <t>Northfield Beverage</t>
        </is>
      </c>
      <c r="C102" s="1" t="inlineStr">
        <is>
          <t>Northfield Line 5</t>
        </is>
      </c>
      <c r="D102" s="1" t="inlineStr">
        <is>
          <t>M20</t>
        </is>
      </c>
      <c r="E102" s="1" t="inlineStr">
        <is>
          <t>Site survey complete and layout approved</t>
        </is>
      </c>
      <c r="F102" s="2" t="n">
        <v>46111</v>
      </c>
      <c r="G102" s="2" t="n">
        <v>46129</v>
      </c>
      <c r="H102" s="1">
        <f>IF(G102="","",G102-F102)</f>
        <v/>
      </c>
      <c r="I102" s="1" t="inlineStr">
        <is>
          <t>Countersigned acceptance certificate</t>
        </is>
      </c>
      <c r="J102" s="1" t="inlineStr">
        <is>
          <t>None</t>
        </is>
      </c>
      <c r="K102" s="1" t="n">
        <v>0</v>
      </c>
      <c r="L102" s="1" t="inlineStr">
        <is>
          <t>No</t>
        </is>
      </c>
      <c r="M102" s="1" t="inlineStr">
        <is>
          <t>Complete</t>
        </is>
      </c>
      <c r="N102" s="1" t="inlineStr">
        <is>
          <t>F. Lindstrom</t>
        </is>
      </c>
    </row>
    <row r="103">
      <c r="A103" s="1" t="inlineStr">
        <is>
          <t>CFF-SOW-2025-828</t>
        </is>
      </c>
      <c r="B103" s="1" t="inlineStr">
        <is>
          <t>Crestline Fulfillment</t>
        </is>
      </c>
      <c r="C103" s="1" t="inlineStr">
        <is>
          <t>Crestline FC1</t>
        </is>
      </c>
      <c r="D103" s="1" t="inlineStr">
        <is>
          <t>M30</t>
        </is>
      </c>
      <c r="E103" s="1" t="inlineStr">
        <is>
          <t>Hardware shipped to site</t>
        </is>
      </c>
      <c r="F103" s="2" t="n">
        <v>45716</v>
      </c>
      <c r="G103" s="1" t="inlineStr"/>
      <c r="H103" s="1">
        <f>IF(G103="","",G103-F103)</f>
        <v/>
      </c>
      <c r="I103" s="1" t="inlineStr">
        <is>
          <t>No evidence located; open request with the account team</t>
        </is>
      </c>
      <c r="J103" s="1" t="inlineStr">
        <is>
          <t>40 percent on shipment</t>
        </is>
      </c>
      <c r="K103" s="1" t="n">
        <v>196047.96</v>
      </c>
      <c r="L103" s="1" t="inlineStr">
        <is>
          <t>No</t>
        </is>
      </c>
      <c r="M103" s="1" t="inlineStr">
        <is>
          <t>Blocked on customer</t>
        </is>
      </c>
      <c r="N103" s="1" t="inlineStr">
        <is>
          <t>B. Ng</t>
        </is>
      </c>
    </row>
    <row r="104">
      <c r="A104" s="1" t="inlineStr">
        <is>
          <t>UVP-SOW-2025-683</t>
        </is>
      </c>
      <c r="B104" s="1" t="inlineStr">
        <is>
          <t>Union Vale Pharma</t>
        </is>
      </c>
      <c r="C104" s="1" t="inlineStr">
        <is>
          <t>Union Vale Vault</t>
        </is>
      </c>
      <c r="D104" s="1" t="inlineStr">
        <is>
          <t>M40</t>
        </is>
      </c>
      <c r="E104" s="1" t="inlineStr">
        <is>
          <t>Mechanical installation complete</t>
        </is>
      </c>
      <c r="F104" s="2" t="n">
        <v>46118</v>
      </c>
      <c r="G104" s="2" t="n">
        <v>46150</v>
      </c>
      <c r="H104" s="1">
        <f>IF(G104="","",G104-F104)</f>
        <v/>
      </c>
      <c r="I104" s="1" t="inlineStr">
        <is>
          <t>Customer email confirmation retained in the deployment file</t>
        </is>
      </c>
      <c r="J104" s="1" t="inlineStr">
        <is>
          <t>None</t>
        </is>
      </c>
      <c r="K104" s="1" t="n">
        <v>0</v>
      </c>
      <c r="L104" s="1" t="inlineStr">
        <is>
          <t>No</t>
        </is>
      </c>
      <c r="M104" s="1" t="inlineStr">
        <is>
          <t>Complete</t>
        </is>
      </c>
      <c r="N104" s="1" t="inlineStr">
        <is>
          <t>J. Alvarez</t>
        </is>
      </c>
    </row>
    <row r="105">
      <c r="A105" s="1" t="inlineStr">
        <is>
          <t>LKA-SOW-2025-518</t>
        </is>
      </c>
      <c r="B105" s="1" t="inlineStr">
        <is>
          <t>Larkspur Apparel</t>
        </is>
      </c>
      <c r="C105" s="1" t="inlineStr">
        <is>
          <t>Larkspur FC2</t>
        </is>
      </c>
      <c r="D105" s="1" t="inlineStr">
        <is>
          <t>M50</t>
        </is>
      </c>
      <c r="E105" s="1" t="inlineStr">
        <is>
          <t>Network and warehouse-system integration complete</t>
        </is>
      </c>
      <c r="F105" s="2" t="n">
        <v>46143</v>
      </c>
      <c r="G105" s="1" t="inlineStr"/>
      <c r="H105" s="1">
        <f>IF(G105="","",G105-F105)</f>
        <v/>
      </c>
      <c r="I105" s="1" t="inlineStr">
        <is>
          <t>No evidence located; open request with the account team</t>
        </is>
      </c>
      <c r="J105" s="1" t="inlineStr">
        <is>
          <t>None</t>
        </is>
      </c>
      <c r="K105" s="1" t="n">
        <v>0</v>
      </c>
      <c r="L105" s="1" t="inlineStr">
        <is>
          <t>No</t>
        </is>
      </c>
      <c r="M105" s="1" t="inlineStr">
        <is>
          <t>Blocked on customer</t>
        </is>
      </c>
      <c r="N105" s="1" t="inlineStr">
        <is>
          <t>F. Lindstrom</t>
        </is>
      </c>
    </row>
    <row r="106">
      <c r="A106" s="1" t="inlineStr">
        <is>
          <t>OGF-SOW-2026-230</t>
        </is>
      </c>
      <c r="B106" s="1" t="inlineStr">
        <is>
          <t>Orchard Grove Foods</t>
        </is>
      </c>
      <c r="C106" s="1" t="inlineStr">
        <is>
          <t>Orchard Cold 2</t>
        </is>
      </c>
      <c r="D106" s="1" t="inlineStr">
        <is>
          <t>M60</t>
        </is>
      </c>
      <c r="E106" s="1" t="inlineStr">
        <is>
          <t>Safety validation witnessed by customer</t>
        </is>
      </c>
      <c r="F106" s="2" t="n">
        <v>45783</v>
      </c>
      <c r="G106" s="2" t="n">
        <v>45785</v>
      </c>
      <c r="H106" s="1">
        <f>IF(G106="","",G106-F106)</f>
        <v/>
      </c>
      <c r="I106" s="1" t="inlineStr">
        <is>
          <t>Witnessed safety validation report</t>
        </is>
      </c>
      <c r="J106" s="1" t="inlineStr">
        <is>
          <t>None</t>
        </is>
      </c>
      <c r="K106" s="1" t="n">
        <v>0</v>
      </c>
      <c r="L106" s="1" t="inlineStr">
        <is>
          <t>No</t>
        </is>
      </c>
      <c r="M106" s="1" t="inlineStr">
        <is>
          <t>Deferred at customer request</t>
        </is>
      </c>
      <c r="N106" s="1" t="inlineStr">
        <is>
          <t>B. Ng</t>
        </is>
      </c>
    </row>
    <row r="107">
      <c r="A107" s="1" t="inlineStr">
        <is>
          <t>VRS-SOW-2026-875</t>
        </is>
      </c>
      <c r="B107" s="1" t="inlineStr">
        <is>
          <t>Vantage Robotics Supply</t>
        </is>
      </c>
      <c r="C107" s="1" t="inlineStr">
        <is>
          <t>Vantage Depot</t>
        </is>
      </c>
      <c r="D107" s="1" t="inlineStr">
        <is>
          <t>M70</t>
        </is>
      </c>
      <c r="E107" s="1" t="inlineStr">
        <is>
          <t>Pilot cell operating at contracted throughput</t>
        </is>
      </c>
      <c r="F107" s="2" t="n">
        <v>45849</v>
      </c>
      <c r="G107" s="1" t="inlineStr"/>
      <c r="H107" s="1">
        <f>IF(G107="","",G107-F107)</f>
        <v/>
      </c>
      <c r="I107" s="1" t="inlineStr">
        <is>
          <t>No evidence located; open request with the account team</t>
        </is>
      </c>
      <c r="J107" s="1" t="inlineStr">
        <is>
          <t>20 percent on pilot</t>
        </is>
      </c>
      <c r="K107" s="1" t="n">
        <v>279143.2</v>
      </c>
      <c r="L107" s="1" t="inlineStr">
        <is>
          <t>No</t>
        </is>
      </c>
      <c r="M107" s="1" t="inlineStr">
        <is>
          <t>Planned</t>
        </is>
      </c>
      <c r="N107" s="1" t="inlineStr">
        <is>
          <t>H. Ferrand</t>
        </is>
      </c>
    </row>
    <row r="108">
      <c r="A108" s="1" t="inlineStr">
        <is>
          <t>SRR-SOW-2025-790</t>
        </is>
      </c>
      <c r="B108" s="1" t="inlineStr">
        <is>
          <t>Summit Ridge Retail</t>
        </is>
      </c>
      <c r="C108" s="1" t="inlineStr">
        <is>
          <t>Summit RDC</t>
        </is>
      </c>
      <c r="D108" s="1" t="inlineStr">
        <is>
          <t>M80</t>
        </is>
      </c>
      <c r="E108" s="1" t="inlineStr">
        <is>
          <t>Operator training delivered and signed off</t>
        </is>
      </c>
      <c r="F108" s="2" t="n">
        <v>45828</v>
      </c>
      <c r="G108" s="2" t="n">
        <v>45835</v>
      </c>
      <c r="H108" s="1">
        <f>IF(G108="","",G108-F108)</f>
        <v/>
      </c>
      <c r="I108" s="1" t="inlineStr">
        <is>
          <t>Training attendance register</t>
        </is>
      </c>
      <c r="J108" s="1" t="inlineStr">
        <is>
          <t>None</t>
        </is>
      </c>
      <c r="K108" s="1" t="n">
        <v>0</v>
      </c>
      <c r="L108" s="1" t="inlineStr">
        <is>
          <t>No</t>
        </is>
      </c>
      <c r="M108" s="1" t="inlineStr">
        <is>
          <t>Complete</t>
        </is>
      </c>
      <c r="N108" s="1" t="inlineStr">
        <is>
          <t>J. Alvarez</t>
        </is>
      </c>
    </row>
    <row r="109">
      <c r="A109" s="1" t="inlineStr">
        <is>
          <t>FTM-SOW-2026-528</t>
        </is>
      </c>
      <c r="B109" s="1" t="inlineStr">
        <is>
          <t>Fathom Mobility</t>
        </is>
      </c>
      <c r="C109" s="1" t="inlineStr">
        <is>
          <t>Fathom Line A</t>
        </is>
      </c>
      <c r="D109" s="1" t="inlineStr">
        <is>
          <t>M90</t>
        </is>
      </c>
      <c r="E109" s="1" t="inlineStr">
        <is>
          <t>Customer acceptance certificate countersigned</t>
        </is>
      </c>
      <c r="F109" s="2" t="n">
        <v>45847</v>
      </c>
      <c r="G109" s="2" t="n">
        <v>45849</v>
      </c>
      <c r="H109" s="1">
        <f>IF(G109="","",G109-F109)</f>
        <v/>
      </c>
      <c r="I109" s="1" t="inlineStr">
        <is>
          <t>Site sign-off form with throughput log attached</t>
        </is>
      </c>
      <c r="J109" s="1" t="inlineStr">
        <is>
          <t>20 percent on acceptance</t>
        </is>
      </c>
      <c r="K109" s="1" t="n">
        <v>453595.02</v>
      </c>
      <c r="L109" s="1" t="inlineStr">
        <is>
          <t>Yes</t>
        </is>
      </c>
      <c r="M109" s="1" t="inlineStr">
        <is>
          <t>Complete</t>
        </is>
      </c>
      <c r="N109" s="1" t="inlineStr">
        <is>
          <t>H. Ferrand</t>
        </is>
      </c>
    </row>
    <row r="110">
      <c r="A110" s="1" t="inlineStr">
        <is>
          <t>JHS-SOW-2024-172</t>
        </is>
      </c>
      <c r="B110" s="1" t="inlineStr">
        <is>
          <t>Juniper Health Supply</t>
        </is>
      </c>
      <c r="C110" s="1" t="inlineStr">
        <is>
          <t>Juniper Sterile 1</t>
        </is>
      </c>
      <c r="D110" s="1" t="inlineStr">
        <is>
          <t>M95</t>
        </is>
      </c>
      <c r="E110" s="1" t="inlineStr">
        <is>
          <t>Warranty commencement recorded</t>
        </is>
      </c>
      <c r="F110" s="2" t="n">
        <v>45862</v>
      </c>
      <c r="G110" s="2" t="n">
        <v>45862</v>
      </c>
      <c r="H110" s="1">
        <f>IF(G110="","",G110-F110)</f>
        <v/>
      </c>
      <c r="I110" s="1" t="inlineStr">
        <is>
          <t>Witnessed safety validation report</t>
        </is>
      </c>
      <c r="J110" s="1" t="inlineStr">
        <is>
          <t>None</t>
        </is>
      </c>
      <c r="K110" s="1" t="n">
        <v>0</v>
      </c>
      <c r="L110" s="1" t="inlineStr">
        <is>
          <t>No</t>
        </is>
      </c>
      <c r="M110" s="1" t="inlineStr">
        <is>
          <t>Complete</t>
        </is>
      </c>
      <c r="N110" s="1" t="inlineStr">
        <is>
          <t>J. Alvarez</t>
        </is>
      </c>
    </row>
    <row r="111">
      <c r="A111" s="1" t="inlineStr">
        <is>
          <t>SRR-SOW-2026-461</t>
        </is>
      </c>
      <c r="B111" s="1" t="inlineStr">
        <is>
          <t>Summit Ridge Retail</t>
        </is>
      </c>
      <c r="C111" s="1" t="inlineStr">
        <is>
          <t>Summit RDC</t>
        </is>
      </c>
      <c r="D111" s="1" t="inlineStr">
        <is>
          <t>M10</t>
        </is>
      </c>
      <c r="E111" s="1" t="inlineStr">
        <is>
          <t>Contract signature and order acknowledgement</t>
        </is>
      </c>
      <c r="F111" s="2" t="n">
        <v>45978</v>
      </c>
      <c r="G111" s="2" t="n">
        <v>45978</v>
      </c>
      <c r="H111" s="1">
        <f>IF(G111="","",G111-F111)</f>
        <v/>
      </c>
      <c r="I111" s="1" t="inlineStr">
        <is>
          <t>Conditional acceptance letter with open punch list</t>
        </is>
      </c>
      <c r="J111" s="1" t="inlineStr">
        <is>
          <t>20 percent on signature</t>
        </is>
      </c>
      <c r="K111" s="1" t="n">
        <v>191867.07</v>
      </c>
      <c r="L111" s="1" t="inlineStr">
        <is>
          <t>No</t>
        </is>
      </c>
      <c r="M111" s="1" t="inlineStr">
        <is>
          <t>Deferred at customer request</t>
        </is>
      </c>
      <c r="N111" s="1" t="inlineStr">
        <is>
          <t>F. Lindstrom</t>
        </is>
      </c>
    </row>
    <row r="112">
      <c r="A112" s="1" t="inlineStr">
        <is>
          <t>IVG-SOW-2025-461</t>
        </is>
      </c>
      <c r="B112" s="1" t="inlineStr">
        <is>
          <t>Ironvale Grocery Group</t>
        </is>
      </c>
      <c r="C112" s="1" t="inlineStr">
        <is>
          <t>Ironvale RDC</t>
        </is>
      </c>
      <c r="D112" s="1" t="inlineStr">
        <is>
          <t>M20</t>
        </is>
      </c>
      <c r="E112" s="1" t="inlineStr">
        <is>
          <t>Site survey complete and layout approved</t>
        </is>
      </c>
      <c r="F112" s="2" t="n">
        <v>46021</v>
      </c>
      <c r="G112" s="2" t="n">
        <v>46024</v>
      </c>
      <c r="H112" s="1">
        <f>IF(G112="","",G112-F112)</f>
        <v/>
      </c>
      <c r="I112" s="1" t="inlineStr">
        <is>
          <t>Training attendance register</t>
        </is>
      </c>
      <c r="J112" s="1" t="inlineStr">
        <is>
          <t>None</t>
        </is>
      </c>
      <c r="K112" s="1" t="n">
        <v>0</v>
      </c>
      <c r="L112" s="1" t="inlineStr">
        <is>
          <t>No</t>
        </is>
      </c>
      <c r="M112" s="1" t="inlineStr">
        <is>
          <t>Conditionally accepted</t>
        </is>
      </c>
      <c r="N112" s="1" t="inlineStr">
        <is>
          <t>F. Lindstrom</t>
        </is>
      </c>
    </row>
    <row r="113">
      <c r="A113" s="1" t="inlineStr">
        <is>
          <t>GPD-SOW-2026-909</t>
        </is>
      </c>
      <c r="B113" s="1" t="inlineStr">
        <is>
          <t>Granite Peak Distribution</t>
        </is>
      </c>
      <c r="C113" s="1" t="inlineStr">
        <is>
          <t>Granite Yard</t>
        </is>
      </c>
      <c r="D113" s="1" t="inlineStr">
        <is>
          <t>M30</t>
        </is>
      </c>
      <c r="E113" s="1" t="inlineStr">
        <is>
          <t>Hardware shipped to site</t>
        </is>
      </c>
      <c r="F113" s="2" t="n">
        <v>45957</v>
      </c>
      <c r="G113" s="2" t="n">
        <v>45966</v>
      </c>
      <c r="H113" s="1">
        <f>IF(G113="","",G113-F113)</f>
        <v/>
      </c>
      <c r="I113" s="1" t="inlineStr">
        <is>
          <t>Integration test report countersigned by customer IT</t>
        </is>
      </c>
      <c r="J113" s="1" t="inlineStr">
        <is>
          <t>40 percent on shipment</t>
        </is>
      </c>
      <c r="K113" s="1" t="n">
        <v>230649.21</v>
      </c>
      <c r="L113" s="1" t="inlineStr">
        <is>
          <t>No</t>
        </is>
      </c>
      <c r="M113" s="1" t="inlineStr">
        <is>
          <t>Deferred at customer request</t>
        </is>
      </c>
      <c r="N113" s="1" t="inlineStr">
        <is>
          <t>B. Ng</t>
        </is>
      </c>
    </row>
    <row r="114">
      <c r="A114" s="1" t="inlineStr">
        <is>
          <t>MDY-SOW-2024-699</t>
        </is>
      </c>
      <c r="B114" s="1" t="inlineStr">
        <is>
          <t>Meridian Dynamics</t>
        </is>
      </c>
      <c r="C114" s="1" t="inlineStr">
        <is>
          <t>Meridian Bay 7</t>
        </is>
      </c>
      <c r="D114" s="1" t="inlineStr">
        <is>
          <t>M40</t>
        </is>
      </c>
      <c r="E114" s="1" t="inlineStr">
        <is>
          <t>Mechanical installation complete</t>
        </is>
      </c>
      <c r="F114" s="2" t="n">
        <v>46092</v>
      </c>
      <c r="G114" s="1" t="inlineStr"/>
      <c r="H114" s="1">
        <f>IF(G114="","",G114-F114)</f>
        <v/>
      </c>
      <c r="I114" s="1" t="inlineStr">
        <is>
          <t>No evidence located; open request with the account team</t>
        </is>
      </c>
      <c r="J114" s="1" t="inlineStr">
        <is>
          <t>None</t>
        </is>
      </c>
      <c r="K114" s="1" t="n">
        <v>0</v>
      </c>
      <c r="L114" s="1" t="inlineStr">
        <is>
          <t>No</t>
        </is>
      </c>
      <c r="M114" s="1" t="inlineStr">
        <is>
          <t>Blocked on customer</t>
        </is>
      </c>
      <c r="N114" s="1" t="inlineStr">
        <is>
          <t>B. Ng</t>
        </is>
      </c>
    </row>
    <row r="115">
      <c r="A115" s="1" t="inlineStr">
        <is>
          <t>VRS-SOW-2026-550</t>
        </is>
      </c>
      <c r="B115" s="1" t="inlineStr">
        <is>
          <t>Vantage Robotics Supply</t>
        </is>
      </c>
      <c r="C115" s="1" t="inlineStr">
        <is>
          <t>Vantage Depot</t>
        </is>
      </c>
      <c r="D115" s="1" t="inlineStr">
        <is>
          <t>M50</t>
        </is>
      </c>
      <c r="E115" s="1" t="inlineStr">
        <is>
          <t>Network and warehouse-system integration complete</t>
        </is>
      </c>
      <c r="F115" s="2" t="n">
        <v>46136</v>
      </c>
      <c r="G115" s="1" t="inlineStr"/>
      <c r="H115" s="1">
        <f>IF(G115="","",G115-F115)</f>
        <v/>
      </c>
      <c r="I115" s="1" t="inlineStr">
        <is>
          <t>No evidence located; open request with the account team</t>
        </is>
      </c>
      <c r="J115" s="1" t="inlineStr">
        <is>
          <t>None</t>
        </is>
      </c>
      <c r="K115" s="1" t="n">
        <v>0</v>
      </c>
      <c r="L115" s="1" t="inlineStr">
        <is>
          <t>No</t>
        </is>
      </c>
      <c r="M115" s="1" t="inlineStr">
        <is>
          <t>Blocked on customer</t>
        </is>
      </c>
      <c r="N115" s="1" t="inlineStr">
        <is>
          <t>H. Ferrand</t>
        </is>
      </c>
    </row>
    <row r="116">
      <c r="A116" s="1" t="inlineStr">
        <is>
          <t>TCE-SOW-2024-897</t>
        </is>
      </c>
      <c r="B116" s="1" t="inlineStr">
        <is>
          <t>Tamarack Electronics</t>
        </is>
      </c>
      <c r="C116" s="1" t="inlineStr">
        <is>
          <t>Tamarack SMT 2</t>
        </is>
      </c>
      <c r="D116" s="1" t="inlineStr">
        <is>
          <t>M60</t>
        </is>
      </c>
      <c r="E116" s="1" t="inlineStr">
        <is>
          <t>Safety validation witnessed by customer</t>
        </is>
      </c>
      <c r="F116" s="2" t="n">
        <v>46017</v>
      </c>
      <c r="G116" s="1" t="inlineStr"/>
      <c r="H116" s="1">
        <f>IF(G116="","",G116-F116)</f>
        <v/>
      </c>
      <c r="I116" s="1" t="inlineStr">
        <is>
          <t>No evidence located; open request with the account team</t>
        </is>
      </c>
      <c r="J116" s="1" t="inlineStr">
        <is>
          <t>None</t>
        </is>
      </c>
      <c r="K116" s="1" t="n">
        <v>0</v>
      </c>
      <c r="L116" s="1" t="inlineStr">
        <is>
          <t>No</t>
        </is>
      </c>
      <c r="M116" s="1" t="inlineStr">
        <is>
          <t>Planned</t>
        </is>
      </c>
      <c r="N116" s="1" t="inlineStr">
        <is>
          <t>B. Ng</t>
        </is>
      </c>
    </row>
    <row r="117">
      <c r="A117" s="1" t="inlineStr">
        <is>
          <t>BWA-SOW-2025-331</t>
        </is>
      </c>
      <c r="B117" s="1" t="inlineStr">
        <is>
          <t>Bellweather Auto Group</t>
        </is>
      </c>
      <c r="C117" s="1" t="inlineStr">
        <is>
          <t>Bellweather PDC</t>
        </is>
      </c>
      <c r="D117" s="1" t="inlineStr">
        <is>
          <t>M70</t>
        </is>
      </c>
      <c r="E117" s="1" t="inlineStr">
        <is>
          <t>Pilot cell operating at contracted throughput</t>
        </is>
      </c>
      <c r="F117" s="2" t="n">
        <v>45877</v>
      </c>
      <c r="G117" s="1" t="inlineStr"/>
      <c r="H117" s="1">
        <f>IF(G117="","",G117-F117)</f>
        <v/>
      </c>
      <c r="I117" s="1" t="inlineStr">
        <is>
          <t>No evidence located; open request with the account team</t>
        </is>
      </c>
      <c r="J117" s="1" t="inlineStr">
        <is>
          <t>20 percent on pilot</t>
        </is>
      </c>
      <c r="K117" s="1" t="n">
        <v>128053.79</v>
      </c>
      <c r="L117" s="1" t="inlineStr">
        <is>
          <t>No</t>
        </is>
      </c>
      <c r="M117" s="1" t="inlineStr">
        <is>
          <t>Blocked on customer</t>
        </is>
      </c>
      <c r="N117" s="1" t="inlineStr">
        <is>
          <t>H. Ferrand</t>
        </is>
      </c>
    </row>
    <row r="118">
      <c r="A118" s="1" t="inlineStr">
        <is>
          <t>VRS-SOW-2026-293</t>
        </is>
      </c>
      <c r="B118" s="1" t="inlineStr">
        <is>
          <t>Vantage Robotics Supply</t>
        </is>
      </c>
      <c r="C118" s="1" t="inlineStr">
        <is>
          <t>Vantage Depot</t>
        </is>
      </c>
      <c r="D118" s="1" t="inlineStr">
        <is>
          <t>M80</t>
        </is>
      </c>
      <c r="E118" s="1" t="inlineStr">
        <is>
          <t>Operator training delivered and signed off</t>
        </is>
      </c>
      <c r="F118" s="2" t="n">
        <v>46052</v>
      </c>
      <c r="G118" s="2" t="n">
        <v>46070</v>
      </c>
      <c r="H118" s="1">
        <f>IF(G118="","",G118-F118)</f>
        <v/>
      </c>
      <c r="I118" s="1" t="inlineStr">
        <is>
          <t>Conditional acceptance letter with open punch list</t>
        </is>
      </c>
      <c r="J118" s="1" t="inlineStr">
        <is>
          <t>None</t>
        </is>
      </c>
      <c r="K118" s="1" t="n">
        <v>0</v>
      </c>
      <c r="L118" s="1" t="inlineStr">
        <is>
          <t>No</t>
        </is>
      </c>
      <c r="M118" s="1" t="inlineStr">
        <is>
          <t>Complete</t>
        </is>
      </c>
      <c r="N118" s="1" t="inlineStr">
        <is>
          <t>F. Lindstrom</t>
        </is>
      </c>
    </row>
    <row r="119">
      <c r="A119" s="1" t="inlineStr">
        <is>
          <t>TCE-SOW-2024-644</t>
        </is>
      </c>
      <c r="B119" s="1" t="inlineStr">
        <is>
          <t>Tamarack Electronics</t>
        </is>
      </c>
      <c r="C119" s="1" t="inlineStr">
        <is>
          <t>Tamarack SMT 2</t>
        </is>
      </c>
      <c r="D119" s="1" t="inlineStr">
        <is>
          <t>M90</t>
        </is>
      </c>
      <c r="E119" s="1" t="inlineStr">
        <is>
          <t>Customer acceptance certificate countersigned</t>
        </is>
      </c>
      <c r="F119" s="2" t="n">
        <v>45925</v>
      </c>
      <c r="G119" s="1" t="inlineStr"/>
      <c r="H119" s="1">
        <f>IF(G119="","",G119-F119)</f>
        <v/>
      </c>
      <c r="I119" s="1" t="inlineStr">
        <is>
          <t>No evidence located; open request with the account team</t>
        </is>
      </c>
      <c r="J119" s="1" t="inlineStr">
        <is>
          <t>20 percent on acceptance</t>
        </is>
      </c>
      <c r="K119" s="1" t="n">
        <v>410300.3</v>
      </c>
      <c r="L119" s="1" t="inlineStr">
        <is>
          <t>No</t>
        </is>
      </c>
      <c r="M119" s="1" t="inlineStr">
        <is>
          <t>In progress</t>
        </is>
      </c>
      <c r="N119" s="1" t="inlineStr">
        <is>
          <t>S. Vitale</t>
        </is>
      </c>
    </row>
    <row r="120">
      <c r="A120" s="1" t="inlineStr">
        <is>
          <t>WCD-SOW-2024-801</t>
        </is>
      </c>
      <c r="B120" s="1" t="inlineStr">
        <is>
          <t>Westlake Chemical Depot</t>
        </is>
      </c>
      <c r="C120" s="1" t="inlineStr">
        <is>
          <t>Westlake Tank 6</t>
        </is>
      </c>
      <c r="D120" s="1" t="inlineStr">
        <is>
          <t>M95</t>
        </is>
      </c>
      <c r="E120" s="1" t="inlineStr">
        <is>
          <t>Warranty commencement recorded</t>
        </is>
      </c>
      <c r="F120" s="2" t="n">
        <v>46031</v>
      </c>
      <c r="G120" s="2" t="n">
        <v>46030</v>
      </c>
      <c r="H120" s="1">
        <f>IF(G120="","",G120-F120)</f>
        <v/>
      </c>
      <c r="I120" s="1" t="inlineStr">
        <is>
          <t>Site sign-off form with throughput log attached</t>
        </is>
      </c>
      <c r="J120" s="1" t="inlineStr">
        <is>
          <t>None</t>
        </is>
      </c>
      <c r="K120" s="1" t="n">
        <v>0</v>
      </c>
      <c r="L120" s="1" t="inlineStr">
        <is>
          <t>No</t>
        </is>
      </c>
      <c r="M120" s="1" t="inlineStr">
        <is>
          <t>Complete</t>
        </is>
      </c>
      <c r="N120" s="1" t="inlineStr">
        <is>
          <t>B. Ng</t>
        </is>
      </c>
    </row>
    <row r="121">
      <c r="A121" s="1" t="inlineStr">
        <is>
          <t>SRR-SOW-2024-204</t>
        </is>
      </c>
      <c r="B121" s="1" t="inlineStr">
        <is>
          <t>Summit Ridge Retail</t>
        </is>
      </c>
      <c r="C121" s="1" t="inlineStr">
        <is>
          <t>Summit RDC</t>
        </is>
      </c>
      <c r="D121" s="1" t="inlineStr">
        <is>
          <t>M10</t>
        </is>
      </c>
      <c r="E121" s="1" t="inlineStr">
        <is>
          <t>Contract signature and order acknowledgement</t>
        </is>
      </c>
      <c r="F121" s="2" t="n">
        <v>45719</v>
      </c>
      <c r="G121" s="2" t="n">
        <v>45723</v>
      </c>
      <c r="H121" s="1">
        <f>IF(G121="","",G121-F121)</f>
        <v/>
      </c>
      <c r="I121" s="1" t="inlineStr">
        <is>
          <t>Conditional acceptance letter with open punch list</t>
        </is>
      </c>
      <c r="J121" s="1" t="inlineStr">
        <is>
          <t>20 percent on signature</t>
        </is>
      </c>
      <c r="K121" s="1" t="n">
        <v>203079.15</v>
      </c>
      <c r="L121" s="1" t="inlineStr">
        <is>
          <t>Yes</t>
        </is>
      </c>
      <c r="M121" s="1" t="inlineStr">
        <is>
          <t>Complete</t>
        </is>
      </c>
      <c r="N121" s="1" t="inlineStr">
        <is>
          <t>S. Vitale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2026-08-09T15:57:48Z</dcterms:created>
  <dcterms:modified xmlns:dcterms="http://purl.org/dc/terms/" xmlns:xsi="http://www.w3.org/2001/XMLSchema-instance" xsi:type="dcterms:W3CDTF">2026-08-09T15:57:48Z</dcterms:modified>
</cp:coreProperties>
</file>