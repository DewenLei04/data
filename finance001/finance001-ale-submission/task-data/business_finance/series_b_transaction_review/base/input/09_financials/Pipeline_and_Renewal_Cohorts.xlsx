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Business Pipeline" sheetId="1" state="visible" r:id="rId1"/>
    <sheet xmlns:r="http://schemas.openxmlformats.org/officeDocument/2006/relationships" name="Renewal Cohorts" sheetId="2" state="visible" r:id="rId2"/>
    <sheet xmlns:r="http://schemas.openxmlformats.org/officeDocument/2006/relationships" name="Expansion Opportunities" sheetId="3" state="visible" r:id="rId3"/>
    <sheet xmlns:r="http://schemas.openxmlformats.org/officeDocument/2006/relationships" name="Churn Risk Register" sheetId="4" state="visible" r:id="rId4"/>
    <sheet xmlns:r="http://schemas.openxmlformats.org/officeDocument/2006/relationships" name="Stage Conver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customer</t>
        </is>
      </c>
      <c r="C1" s="1" t="inlineStr">
        <is>
          <t>segment</t>
        </is>
      </c>
      <c r="D1" s="1" t="inlineStr">
        <is>
          <t>region</t>
        </is>
      </c>
      <c r="E1" s="1" t="inlineStr">
        <is>
          <t>primary_product</t>
        </is>
      </c>
      <c r="F1" s="1" t="inlineStr">
        <is>
          <t>robots_in_scope</t>
        </is>
      </c>
      <c r="G1" s="1" t="inlineStr">
        <is>
          <t>stage</t>
        </is>
      </c>
      <c r="H1" s="1" t="inlineStr">
        <is>
          <t>weighted_stage_factor</t>
        </is>
      </c>
      <c r="I1" s="1" t="inlineStr">
        <is>
          <t>expected_close_month</t>
        </is>
      </c>
      <c r="J1" s="1" t="inlineStr">
        <is>
          <t>first_year_value</t>
        </is>
      </c>
      <c r="K1" s="1" t="inlineStr">
        <is>
          <t>weighted_value</t>
        </is>
      </c>
      <c r="L1" s="1" t="inlineStr">
        <is>
          <t>account_executive</t>
        </is>
      </c>
      <c r="M1" s="1" t="inlineStr">
        <is>
          <t>next_step</t>
        </is>
      </c>
    </row>
    <row r="2">
      <c r="A2" s="1" t="inlineStr">
        <is>
          <t>OPP-2026-0001</t>
        </is>
      </c>
      <c r="B2" s="1" t="inlineStr">
        <is>
          <t>Larkspur Apparel</t>
        </is>
      </c>
      <c r="C2" s="1" t="inlineStr">
        <is>
          <t>Apparel retail</t>
        </is>
      </c>
      <c r="D2" s="1" t="inlineStr">
        <is>
          <t>US-Southeast</t>
        </is>
      </c>
      <c r="E2" s="1" t="inlineStr">
        <is>
          <t>Remote operations desk coverage</t>
        </is>
      </c>
      <c r="F2" s="1" t="n">
        <v>77</v>
      </c>
      <c r="G2" s="1" t="inlineStr">
        <is>
          <t>Discovery</t>
        </is>
      </c>
      <c r="H2" s="1" t="n">
        <v>0.2</v>
      </c>
      <c r="I2" s="1" t="inlineStr">
        <is>
          <t>2027-04</t>
        </is>
      </c>
      <c r="J2" s="1" t="n">
        <v>2047260.45</v>
      </c>
      <c r="K2" s="1">
        <f>ROUND(J2*H2,2)</f>
        <v/>
      </c>
      <c r="L2" s="1" t="inlineStr">
        <is>
          <t>T. Ferreira</t>
        </is>
      </c>
      <c r="M2" s="1" t="inlineStr">
        <is>
          <t>Send revised proposal</t>
        </is>
      </c>
    </row>
    <row r="3">
      <c r="A3" s="1" t="inlineStr">
        <is>
          <t>OPP-2026-0002</t>
        </is>
      </c>
      <c r="B3" s="1" t="inlineStr">
        <is>
          <t>Juniper Health Supply</t>
        </is>
      </c>
      <c r="C3" s="1" t="inlineStr">
        <is>
          <t>Medical distribution</t>
        </is>
      </c>
      <c r="D3" s="1" t="inlineStr">
        <is>
          <t>US-West</t>
        </is>
      </c>
      <c r="E3" s="1" t="inlineStr">
        <is>
          <t>Autonomous mobile robot, 220 kg payload</t>
        </is>
      </c>
      <c r="F3" s="1" t="n">
        <v>94</v>
      </c>
      <c r="G3" s="1" t="inlineStr">
        <is>
          <t>Legal review</t>
        </is>
      </c>
      <c r="H3" s="1" t="n">
        <v>0.6</v>
      </c>
      <c r="I3" s="1" t="inlineStr">
        <is>
          <t>2026-12</t>
        </is>
      </c>
      <c r="J3" s="1" t="n">
        <v>3751715.81</v>
      </c>
      <c r="K3" s="1">
        <f>ROUND(J3*H3,2)</f>
        <v/>
      </c>
      <c r="L3" s="1" t="inlineStr">
        <is>
          <t>Y. Sandoval</t>
        </is>
      </c>
      <c r="M3" s="1" t="inlineStr">
        <is>
          <t>Await legal turn</t>
        </is>
      </c>
    </row>
    <row r="4">
      <c r="A4" s="1" t="inlineStr">
        <is>
          <t>OPP-2026-0003</t>
        </is>
      </c>
      <c r="B4" s="1" t="inlineStr">
        <is>
          <t>Ironvale Grocery Group</t>
        </is>
      </c>
      <c r="C4" s="1" t="inlineStr">
        <is>
          <t>Grocery retail</t>
        </is>
      </c>
      <c r="D4" s="1" t="inlineStr">
        <is>
          <t>US-Midwest</t>
        </is>
      </c>
      <c r="E4" s="1" t="inlineStr">
        <is>
          <t>Autonomous mobile robot, 450 kg payload</t>
        </is>
      </c>
      <c r="F4" s="1" t="n">
        <v>34</v>
      </c>
      <c r="G4" s="1" t="inlineStr">
        <is>
          <t>Site survey</t>
        </is>
      </c>
      <c r="H4" s="1" t="n">
        <v>0.3</v>
      </c>
      <c r="I4" s="1" t="inlineStr">
        <is>
          <t>2027-06</t>
        </is>
      </c>
      <c r="J4" s="1" t="n">
        <v>3651014.87</v>
      </c>
      <c r="K4" s="1">
        <f>ROUND(J4*H4,2)</f>
        <v/>
      </c>
      <c r="L4" s="1" t="inlineStr">
        <is>
          <t>T. Ferreira</t>
        </is>
      </c>
      <c r="M4" s="1" t="inlineStr">
        <is>
          <t>Schedule site survey</t>
        </is>
      </c>
    </row>
    <row r="5">
      <c r="A5" s="1" t="inlineStr">
        <is>
          <t>OPP-2026-0004</t>
        </is>
      </c>
      <c r="B5" s="1" t="inlineStr">
        <is>
          <t>Blue Mesa Components</t>
        </is>
      </c>
      <c r="C5" s="1" t="inlineStr">
        <is>
          <t>Industrial distribution</t>
        </is>
      </c>
      <c r="D5" s="1" t="inlineStr">
        <is>
          <t>US-Southwest</t>
        </is>
      </c>
      <c r="E5" s="1" t="inlineStr">
        <is>
          <t>Operator training programme</t>
        </is>
      </c>
      <c r="F5" s="1" t="n">
        <v>7</v>
      </c>
      <c r="G5" s="1" t="inlineStr">
        <is>
          <t>Closed won</t>
        </is>
      </c>
      <c r="H5" s="1" t="n">
        <v>1</v>
      </c>
      <c r="I5" s="1" t="inlineStr">
        <is>
          <t>2027-04</t>
        </is>
      </c>
      <c r="J5" s="1" t="n">
        <v>2463153.17</v>
      </c>
      <c r="K5" s="1">
        <f>ROUND(J5*H5,2)</f>
        <v/>
      </c>
      <c r="L5" s="1" t="inlineStr">
        <is>
          <t>Y. Sandoval</t>
        </is>
      </c>
      <c r="M5" s="1" t="inlineStr">
        <is>
          <t>Await legal turn</t>
        </is>
      </c>
    </row>
    <row r="6">
      <c r="A6" s="1" t="inlineStr">
        <is>
          <t>OPP-2026-0005</t>
        </is>
      </c>
      <c r="B6" s="1" t="inlineStr">
        <is>
          <t>Harborline Systems</t>
        </is>
      </c>
      <c r="C6" s="1" t="inlineStr">
        <is>
          <t>Marine logistics</t>
        </is>
      </c>
      <c r="D6" s="1" t="inlineStr">
        <is>
          <t>US-Northeast</t>
        </is>
      </c>
      <c r="E6" s="1" t="inlineStr">
        <is>
          <t>Fleet orchestration expansion pack, per robot</t>
        </is>
      </c>
      <c r="F6" s="1" t="n">
        <v>19</v>
      </c>
      <c r="G6" s="1" t="inlineStr">
        <is>
          <t>Qualification</t>
        </is>
      </c>
      <c r="H6" s="1" t="n">
        <v>0.1</v>
      </c>
      <c r="I6" s="1" t="inlineStr">
        <is>
          <t>2027-02</t>
        </is>
      </c>
      <c r="J6" s="1" t="n">
        <v>800201.5600000001</v>
      </c>
      <c r="K6" s="1">
        <f>ROUND(J6*H6,2)</f>
        <v/>
      </c>
      <c r="L6" s="1" t="inlineStr">
        <is>
          <t>L. Ossipova</t>
        </is>
      </c>
      <c r="M6" s="1" t="inlineStr">
        <is>
          <t>Confirm capital approval</t>
        </is>
      </c>
    </row>
    <row r="7">
      <c r="A7" s="1" t="inlineStr">
        <is>
          <t>OPP-2026-0006</t>
        </is>
      </c>
      <c r="B7" s="1" t="inlineStr">
        <is>
          <t>Westlake Chemical Depot</t>
        </is>
      </c>
      <c r="C7" s="1" t="inlineStr">
        <is>
          <t>Specialty chemicals</t>
        </is>
      </c>
      <c r="D7" s="1" t="inlineStr">
        <is>
          <t>US-Gulf</t>
        </is>
      </c>
      <c r="E7" s="1" t="inlineStr">
        <is>
          <t>Operator training programme</t>
        </is>
      </c>
      <c r="F7" s="1" t="n">
        <v>45</v>
      </c>
      <c r="G7" s="1" t="inlineStr">
        <is>
          <t>Closed lost</t>
        </is>
      </c>
      <c r="H7" s="1" t="n">
        <v>0</v>
      </c>
      <c r="I7" s="1" t="inlineStr">
        <is>
          <t>2026-12</t>
        </is>
      </c>
      <c r="J7" s="1" t="n">
        <v>3790853.36</v>
      </c>
      <c r="K7" s="1">
        <f>ROUND(J7*H7,2)</f>
        <v/>
      </c>
      <c r="L7" s="1" t="inlineStr">
        <is>
          <t>Y. Sandoval</t>
        </is>
      </c>
      <c r="M7" s="1" t="inlineStr">
        <is>
          <t>Confirm capital approval</t>
        </is>
      </c>
    </row>
    <row r="8">
      <c r="A8" s="1" t="inlineStr">
        <is>
          <t>OPP-2026-0007</t>
        </is>
      </c>
      <c r="B8" s="1" t="inlineStr">
        <is>
          <t>Union Vale Pharma</t>
        </is>
      </c>
      <c r="C8" s="1" t="inlineStr">
        <is>
          <t>Pharmaceutical</t>
        </is>
      </c>
      <c r="D8" s="1" t="inlineStr">
        <is>
          <t>US-Northeast</t>
        </is>
      </c>
      <c r="E8" s="1" t="inlineStr">
        <is>
          <t>Safety scanner retrofit kit</t>
        </is>
      </c>
      <c r="F8" s="1" t="n">
        <v>6</v>
      </c>
      <c r="G8" s="1" t="inlineStr">
        <is>
          <t>Proposal</t>
        </is>
      </c>
      <c r="H8" s="1" t="n">
        <v>0.45</v>
      </c>
      <c r="I8" s="1" t="inlineStr">
        <is>
          <t>2027-07</t>
        </is>
      </c>
      <c r="J8" s="1" t="n">
        <v>1054563.99</v>
      </c>
      <c r="K8" s="1">
        <f>ROUND(J8*H8,2)</f>
        <v/>
      </c>
      <c r="L8" s="1" t="inlineStr">
        <is>
          <t>L. Ossipova</t>
        </is>
      </c>
      <c r="M8" s="1" t="inlineStr">
        <is>
          <t>Schedule site survey</t>
        </is>
      </c>
    </row>
    <row r="9">
      <c r="A9" s="1" t="inlineStr">
        <is>
          <t>OPP-2026-0008</t>
        </is>
      </c>
      <c r="B9" s="1" t="inlineStr">
        <is>
          <t>Zephyr Air Cargo</t>
        </is>
      </c>
      <c r="C9" s="1" t="inlineStr">
        <is>
          <t>Air cargo</t>
        </is>
      </c>
      <c r="D9" s="1" t="inlineStr">
        <is>
          <t>US-Northeast</t>
        </is>
      </c>
      <c r="E9" s="1" t="inlineStr">
        <is>
          <t>Fleet orchestration expansion pack, per robot</t>
        </is>
      </c>
      <c r="F9" s="1" t="n">
        <v>46</v>
      </c>
      <c r="G9" s="1" t="inlineStr">
        <is>
          <t>Closed lost</t>
        </is>
      </c>
      <c r="H9" s="1" t="n">
        <v>0</v>
      </c>
      <c r="I9" s="1" t="inlineStr">
        <is>
          <t>2026-12</t>
        </is>
      </c>
      <c r="J9" s="1" t="n">
        <v>2021962.53</v>
      </c>
      <c r="K9" s="1">
        <f>ROUND(J9*H9,2)</f>
        <v/>
      </c>
      <c r="L9" s="1" t="inlineStr">
        <is>
          <t>T. Ferreira</t>
        </is>
      </c>
      <c r="M9" s="1" t="inlineStr">
        <is>
          <t>Confirm capital approval</t>
        </is>
      </c>
    </row>
    <row r="10">
      <c r="A10" s="1" t="inlineStr">
        <is>
          <t>OPP-2026-0009</t>
        </is>
      </c>
      <c r="B10" s="1" t="inlineStr">
        <is>
          <t>Elmsworth Publishing</t>
        </is>
      </c>
      <c r="C10" s="1" t="inlineStr">
        <is>
          <t>Print and media</t>
        </is>
      </c>
      <c r="D10" s="1" t="inlineStr">
        <is>
          <t>US-Northeast</t>
        </is>
      </c>
      <c r="E10" s="1" t="inlineStr">
        <is>
          <t>Telemetry retention tier, extended</t>
        </is>
      </c>
      <c r="F10" s="1" t="n">
        <v>92</v>
      </c>
      <c r="G10" s="1" t="inlineStr">
        <is>
          <t>Discovery</t>
        </is>
      </c>
      <c r="H10" s="1" t="n">
        <v>0.2</v>
      </c>
      <c r="I10" s="1" t="inlineStr">
        <is>
          <t>2027-01</t>
        </is>
      </c>
      <c r="J10" s="1" t="n">
        <v>1888082.76</v>
      </c>
      <c r="K10" s="1">
        <f>ROUND(J10*H10,2)</f>
        <v/>
      </c>
      <c r="L10" s="1" t="inlineStr">
        <is>
          <t>Y. Sandoval</t>
        </is>
      </c>
      <c r="M10" s="1" t="inlineStr">
        <is>
          <t>Send revised proposal</t>
        </is>
      </c>
    </row>
    <row r="11">
      <c r="A11" s="1" t="inlineStr">
        <is>
          <t>OPP-2026-0010</t>
        </is>
      </c>
      <c r="B11" s="1" t="inlineStr">
        <is>
          <t>Orchard Grove Foods</t>
        </is>
      </c>
      <c r="C11" s="1" t="inlineStr">
        <is>
          <t>Food processing</t>
        </is>
      </c>
      <c r="D11" s="1" t="inlineStr">
        <is>
          <t>US-West</t>
        </is>
      </c>
      <c r="E11" s="1" t="inlineStr">
        <is>
          <t>Autonomous mobile robot, 220 kg payload</t>
        </is>
      </c>
      <c r="F11" s="1" t="n">
        <v>14</v>
      </c>
      <c r="G11" s="1" t="inlineStr">
        <is>
          <t>Proposal</t>
        </is>
      </c>
      <c r="H11" s="1" t="n">
        <v>0.45</v>
      </c>
      <c r="I11" s="1" t="inlineStr">
        <is>
          <t>2026-07</t>
        </is>
      </c>
      <c r="J11" s="1" t="n">
        <v>2258827.58</v>
      </c>
      <c r="K11" s="1">
        <f>ROUND(J11*H11,2)</f>
        <v/>
      </c>
      <c r="L11" s="1" t="inlineStr">
        <is>
          <t>L. Ossipova</t>
        </is>
      </c>
      <c r="M11" s="1" t="inlineStr">
        <is>
          <t>Confirm capital approval</t>
        </is>
      </c>
    </row>
    <row r="12">
      <c r="A12" s="1" t="inlineStr">
        <is>
          <t>OPP-2026-0011</t>
        </is>
      </c>
      <c r="B12" s="1" t="inlineStr">
        <is>
          <t>Ironvale Grocery Group</t>
        </is>
      </c>
      <c r="C12" s="1" t="inlineStr">
        <is>
          <t>Grocery retail</t>
        </is>
      </c>
      <c r="D12" s="1" t="inlineStr">
        <is>
          <t>US-Midwest</t>
        </is>
      </c>
      <c r="E12" s="1" t="inlineStr">
        <is>
          <t>Warehouse management system connector</t>
        </is>
      </c>
      <c r="F12" s="1" t="n">
        <v>40</v>
      </c>
      <c r="G12" s="1" t="inlineStr">
        <is>
          <t>Closed won</t>
        </is>
      </c>
      <c r="H12" s="1" t="n">
        <v>1</v>
      </c>
      <c r="I12" s="1" t="inlineStr">
        <is>
          <t>2026-07</t>
        </is>
      </c>
      <c r="J12" s="1" t="n">
        <v>585434.2</v>
      </c>
      <c r="K12" s="1">
        <f>ROUND(J12*H12,2)</f>
        <v/>
      </c>
      <c r="L12" s="1" t="inlineStr">
        <is>
          <t>Y. Sandoval</t>
        </is>
      </c>
      <c r="M12" s="1" t="inlineStr">
        <is>
          <t>Schedule site survey</t>
        </is>
      </c>
    </row>
    <row r="13">
      <c r="A13" s="1" t="inlineStr">
        <is>
          <t>OPP-2026-0012</t>
        </is>
      </c>
      <c r="B13" s="1" t="inlineStr">
        <is>
          <t>Crestline Fulfillment</t>
        </is>
      </c>
      <c r="C13" s="1" t="inlineStr">
        <is>
          <t>E-commerce fulfillment</t>
        </is>
      </c>
      <c r="D13" s="1" t="inlineStr">
        <is>
          <t>US-West</t>
        </is>
      </c>
      <c r="E13" s="1" t="inlineStr">
        <is>
          <t>Fleet orchestration expansion pack, per robot</t>
        </is>
      </c>
      <c r="F13" s="1" t="n">
        <v>62</v>
      </c>
      <c r="G13" s="1" t="inlineStr">
        <is>
          <t>Verbal commitment</t>
        </is>
      </c>
      <c r="H13" s="1" t="n">
        <v>0.8</v>
      </c>
      <c r="I13" s="1" t="inlineStr">
        <is>
          <t>2026-08</t>
        </is>
      </c>
      <c r="J13" s="1" t="n">
        <v>2386204.62</v>
      </c>
      <c r="K13" s="1">
        <f>ROUND(J13*H13,2)</f>
        <v/>
      </c>
      <c r="L13" s="1" t="inlineStr">
        <is>
          <t>C. Bailey</t>
        </is>
      </c>
      <c r="M13" s="1" t="inlineStr">
        <is>
          <t>Send revised proposal</t>
        </is>
      </c>
    </row>
    <row r="14">
      <c r="A14" s="1" t="inlineStr">
        <is>
          <t>OPP-2026-0013</t>
        </is>
      </c>
      <c r="B14" s="1" t="inlineStr">
        <is>
          <t>Summit Ridge Retail</t>
        </is>
      </c>
      <c r="C14" s="1" t="inlineStr">
        <is>
          <t>Big-box retail</t>
        </is>
      </c>
      <c r="D14" s="1" t="inlineStr">
        <is>
          <t>US-Mountain</t>
        </is>
      </c>
      <c r="E14" s="1" t="inlineStr">
        <is>
          <t>Safety scanner retrofit kit</t>
        </is>
      </c>
      <c r="F14" s="1" t="n">
        <v>46</v>
      </c>
      <c r="G14" s="1" t="inlineStr">
        <is>
          <t>Qualification</t>
        </is>
      </c>
      <c r="H14" s="1" t="n">
        <v>0.1</v>
      </c>
      <c r="I14" s="1" t="inlineStr">
        <is>
          <t>2026-07</t>
        </is>
      </c>
      <c r="J14" s="1" t="n">
        <v>3407267.38</v>
      </c>
      <c r="K14" s="1">
        <f>ROUND(J14*H14,2)</f>
        <v/>
      </c>
      <c r="L14" s="1" t="inlineStr">
        <is>
          <t>C. Bailey</t>
        </is>
      </c>
      <c r="M14" s="1" t="inlineStr">
        <is>
          <t>Schedule site survey</t>
        </is>
      </c>
    </row>
    <row r="15">
      <c r="A15" s="1" t="inlineStr">
        <is>
          <t>OPP-2026-0014</t>
        </is>
      </c>
      <c r="B15" s="1" t="inlineStr">
        <is>
          <t>Meridian Dynamics</t>
        </is>
      </c>
      <c r="C15" s="1" t="inlineStr">
        <is>
          <t>Aerospace supply</t>
        </is>
      </c>
      <c r="D15" s="1" t="inlineStr">
        <is>
          <t>US-Southwest</t>
        </is>
      </c>
      <c r="E15" s="1" t="inlineStr">
        <is>
          <t>Autonomous mobile robot, 220 kg payload</t>
        </is>
      </c>
      <c r="F15" s="1" t="n">
        <v>83</v>
      </c>
      <c r="G15" s="1" t="inlineStr">
        <is>
          <t>Legal review</t>
        </is>
      </c>
      <c r="H15" s="1" t="n">
        <v>0.6</v>
      </c>
      <c r="I15" s="1" t="inlineStr">
        <is>
          <t>2027-06</t>
        </is>
      </c>
      <c r="J15" s="1" t="n">
        <v>971994.9399999999</v>
      </c>
      <c r="K15" s="1">
        <f>ROUND(J15*H15,2)</f>
        <v/>
      </c>
      <c r="L15" s="1" t="inlineStr">
        <is>
          <t>Y. Sandoval</t>
        </is>
      </c>
      <c r="M15" s="1" t="inlineStr">
        <is>
          <t>Await legal turn</t>
        </is>
      </c>
    </row>
    <row r="16">
      <c r="A16" s="1" t="inlineStr">
        <is>
          <t>OPP-2026-0015</t>
        </is>
      </c>
      <c r="B16" s="1" t="inlineStr">
        <is>
          <t>Orchard Grove Foods</t>
        </is>
      </c>
      <c r="C16" s="1" t="inlineStr">
        <is>
          <t>Food processing</t>
        </is>
      </c>
      <c r="D16" s="1" t="inlineStr">
        <is>
          <t>US-West</t>
        </is>
      </c>
      <c r="E16" s="1" t="inlineStr">
        <is>
          <t>Premium support and spares pool</t>
        </is>
      </c>
      <c r="F16" s="1" t="n">
        <v>6</v>
      </c>
      <c r="G16" s="1" t="inlineStr">
        <is>
          <t>Closed lost</t>
        </is>
      </c>
      <c r="H16" s="1" t="n">
        <v>0</v>
      </c>
      <c r="I16" s="1" t="inlineStr">
        <is>
          <t>2026-12</t>
        </is>
      </c>
      <c r="J16" s="1" t="n">
        <v>492172.35</v>
      </c>
      <c r="K16" s="1">
        <f>ROUND(J16*H16,2)</f>
        <v/>
      </c>
      <c r="L16" s="1" t="inlineStr">
        <is>
          <t>L. Ossipova</t>
        </is>
      </c>
      <c r="M16" s="1" t="inlineStr">
        <is>
          <t>Introduce reference customer</t>
        </is>
      </c>
    </row>
    <row r="17">
      <c r="A17" s="1" t="inlineStr">
        <is>
          <t>OPP-2026-0016</t>
        </is>
      </c>
      <c r="B17" s="1" t="inlineStr">
        <is>
          <t>Granite Peak Distribution</t>
        </is>
      </c>
      <c r="C17" s="1" t="inlineStr">
        <is>
          <t>Building products</t>
        </is>
      </c>
      <c r="D17" s="1" t="inlineStr">
        <is>
          <t>US-Mountain</t>
        </is>
      </c>
      <c r="E17" s="1" t="inlineStr">
        <is>
          <t>Opportunity charging dock</t>
        </is>
      </c>
      <c r="F17" s="1" t="n">
        <v>37</v>
      </c>
      <c r="G17" s="1" t="inlineStr">
        <is>
          <t>Closed won</t>
        </is>
      </c>
      <c r="H17" s="1" t="n">
        <v>1</v>
      </c>
      <c r="I17" s="1" t="inlineStr">
        <is>
          <t>2026-10</t>
        </is>
      </c>
      <c r="J17" s="1" t="n">
        <v>3051703.35</v>
      </c>
      <c r="K17" s="1">
        <f>ROUND(J17*H17,2)</f>
        <v/>
      </c>
      <c r="L17" s="1" t="inlineStr">
        <is>
          <t>T. Ferreira</t>
        </is>
      </c>
      <c r="M17" s="1" t="inlineStr">
        <is>
          <t>Confirm capital approval</t>
        </is>
      </c>
    </row>
    <row r="18">
      <c r="A18" s="1" t="inlineStr">
        <is>
          <t>OPP-2026-0017</t>
        </is>
      </c>
      <c r="B18" s="1" t="inlineStr">
        <is>
          <t>Blue Mesa Components</t>
        </is>
      </c>
      <c r="C18" s="1" t="inlineStr">
        <is>
          <t>Industrial distribution</t>
        </is>
      </c>
      <c r="D18" s="1" t="inlineStr">
        <is>
          <t>US-Southwest</t>
        </is>
      </c>
      <c r="E18" s="1" t="inlineStr">
        <is>
          <t>Deployment and commissioning services</t>
        </is>
      </c>
      <c r="F18" s="1" t="n">
        <v>93</v>
      </c>
      <c r="G18" s="1" t="inlineStr">
        <is>
          <t>Closed lost</t>
        </is>
      </c>
      <c r="H18" s="1" t="n">
        <v>0</v>
      </c>
      <c r="I18" s="1" t="inlineStr">
        <is>
          <t>2027-04</t>
        </is>
      </c>
      <c r="J18" s="1" t="n">
        <v>3012220.73</v>
      </c>
      <c r="K18" s="1">
        <f>ROUND(J18*H18,2)</f>
        <v/>
      </c>
      <c r="L18" s="1" t="inlineStr">
        <is>
          <t>L. Ossipova</t>
        </is>
      </c>
      <c r="M18" s="1" t="inlineStr">
        <is>
          <t>Introduce reference customer</t>
        </is>
      </c>
    </row>
    <row r="19">
      <c r="A19" s="1" t="inlineStr">
        <is>
          <t>OPP-2026-0018</t>
        </is>
      </c>
      <c r="B19" s="1" t="inlineStr">
        <is>
          <t>Dorsey Grain Cooperative</t>
        </is>
      </c>
      <c r="C19" s="1" t="inlineStr">
        <is>
          <t>Agriculture</t>
        </is>
      </c>
      <c r="D19" s="1" t="inlineStr">
        <is>
          <t>US-Plains</t>
        </is>
      </c>
      <c r="E19" s="1" t="inlineStr">
        <is>
          <t>Autonomous mobile robot, 220 kg payload</t>
        </is>
      </c>
      <c r="F19" s="1" t="n">
        <v>95</v>
      </c>
      <c r="G19" s="1" t="inlineStr">
        <is>
          <t>Verbal commitment</t>
        </is>
      </c>
      <c r="H19" s="1" t="n">
        <v>0.8</v>
      </c>
      <c r="I19" s="1" t="inlineStr">
        <is>
          <t>2026-12</t>
        </is>
      </c>
      <c r="J19" s="1" t="n">
        <v>1591262.72</v>
      </c>
      <c r="K19" s="1">
        <f>ROUND(J19*H19,2)</f>
        <v/>
      </c>
      <c r="L19" s="1" t="inlineStr">
        <is>
          <t>L. Ossipova</t>
        </is>
      </c>
      <c r="M19" s="1" t="inlineStr">
        <is>
          <t>Confirm capital approval</t>
        </is>
      </c>
    </row>
    <row r="20">
      <c r="A20" s="1" t="inlineStr">
        <is>
          <t>OPP-2026-0019</t>
        </is>
      </c>
      <c r="B20" s="1" t="inlineStr">
        <is>
          <t>Juniper Health Supply</t>
        </is>
      </c>
      <c r="C20" s="1" t="inlineStr">
        <is>
          <t>Medical distribution</t>
        </is>
      </c>
      <c r="D20" s="1" t="inlineStr">
        <is>
          <t>US-West</t>
        </is>
      </c>
      <c r="E20" s="1" t="inlineStr">
        <is>
          <t>Remote operations desk coverage</t>
        </is>
      </c>
      <c r="F20" s="1" t="n">
        <v>89</v>
      </c>
      <c r="G20" s="1" t="inlineStr">
        <is>
          <t>Verbal commitment</t>
        </is>
      </c>
      <c r="H20" s="1" t="n">
        <v>0.8</v>
      </c>
      <c r="I20" s="1" t="inlineStr">
        <is>
          <t>2027-03</t>
        </is>
      </c>
      <c r="J20" s="1" t="n">
        <v>3821283.26</v>
      </c>
      <c r="K20" s="1">
        <f>ROUND(J20*H20,2)</f>
        <v/>
      </c>
      <c r="L20" s="1" t="inlineStr">
        <is>
          <t>T. Ferreira</t>
        </is>
      </c>
      <c r="M20" s="1" t="inlineStr">
        <is>
          <t>Send revised proposal</t>
        </is>
      </c>
    </row>
    <row r="21">
      <c r="A21" s="1" t="inlineStr">
        <is>
          <t>OPP-2026-0020</t>
        </is>
      </c>
      <c r="B21" s="1" t="inlineStr">
        <is>
          <t>Evergreen Warehousing</t>
        </is>
      </c>
      <c r="C21" s="1" t="inlineStr">
        <is>
          <t>Cold chain</t>
        </is>
      </c>
      <c r="D21" s="1" t="inlineStr">
        <is>
          <t>US-Northwest</t>
        </is>
      </c>
      <c r="E21" s="1" t="inlineStr">
        <is>
          <t>Warehouse management system connector</t>
        </is>
      </c>
      <c r="F21" s="1" t="n">
        <v>71</v>
      </c>
      <c r="G21" s="1" t="inlineStr">
        <is>
          <t>Closed lost</t>
        </is>
      </c>
      <c r="H21" s="1" t="n">
        <v>0</v>
      </c>
      <c r="I21" s="1" t="inlineStr">
        <is>
          <t>2026-12</t>
        </is>
      </c>
      <c r="J21" s="1" t="n">
        <v>3141119.24</v>
      </c>
      <c r="K21" s="1">
        <f>ROUND(J21*H21,2)</f>
        <v/>
      </c>
      <c r="L21" s="1" t="inlineStr">
        <is>
          <t>C. Bailey</t>
        </is>
      </c>
      <c r="M21" s="1" t="inlineStr">
        <is>
          <t>Schedule site survey</t>
        </is>
      </c>
    </row>
    <row r="22">
      <c r="A22" s="1" t="inlineStr">
        <is>
          <t>OPP-2026-0021</t>
        </is>
      </c>
      <c r="B22" s="1" t="inlineStr">
        <is>
          <t>Keystone Paper &amp; Pack</t>
        </is>
      </c>
      <c r="C22" s="1" t="inlineStr">
        <is>
          <t>Packaging</t>
        </is>
      </c>
      <c r="D22" s="1" t="inlineStr">
        <is>
          <t>US-Northeast</t>
        </is>
      </c>
      <c r="E22" s="1" t="inlineStr">
        <is>
          <t>Premium support and spares pool</t>
        </is>
      </c>
      <c r="F22" s="1" t="n">
        <v>34</v>
      </c>
      <c r="G22" s="1" t="inlineStr">
        <is>
          <t>Verbal commitment</t>
        </is>
      </c>
      <c r="H22" s="1" t="n">
        <v>0.8</v>
      </c>
      <c r="I22" s="1" t="inlineStr">
        <is>
          <t>2026-11</t>
        </is>
      </c>
      <c r="J22" s="1" t="n">
        <v>492643.44</v>
      </c>
      <c r="K22" s="1">
        <f>ROUND(J22*H22,2)</f>
        <v/>
      </c>
      <c r="L22" s="1" t="inlineStr">
        <is>
          <t>L. Ossipova</t>
        </is>
      </c>
      <c r="M22" s="1" t="inlineStr">
        <is>
          <t>Confirm capital approval</t>
        </is>
      </c>
    </row>
    <row r="23">
      <c r="A23" s="1" t="inlineStr">
        <is>
          <t>OPP-2026-0022</t>
        </is>
      </c>
      <c r="B23" s="1" t="inlineStr">
        <is>
          <t>Tamarack Electronics</t>
        </is>
      </c>
      <c r="C23" s="1" t="inlineStr">
        <is>
          <t>Consumer electronics</t>
        </is>
      </c>
      <c r="D23" s="1" t="inlineStr">
        <is>
          <t>US-Northwest</t>
        </is>
      </c>
      <c r="E23" s="1" t="inlineStr">
        <is>
          <t>Autonomous mobile robot, 220 kg payload</t>
        </is>
      </c>
      <c r="F23" s="1" t="n">
        <v>93</v>
      </c>
      <c r="G23" s="1" t="inlineStr">
        <is>
          <t>Closed won</t>
        </is>
      </c>
      <c r="H23" s="1" t="n">
        <v>1</v>
      </c>
      <c r="I23" s="1" t="inlineStr">
        <is>
          <t>2026-12</t>
        </is>
      </c>
      <c r="J23" s="1" t="n">
        <v>1077982.83</v>
      </c>
      <c r="K23" s="1">
        <f>ROUND(J23*H23,2)</f>
        <v/>
      </c>
      <c r="L23" s="1" t="inlineStr">
        <is>
          <t>L. Ossipova</t>
        </is>
      </c>
      <c r="M23" s="1" t="inlineStr">
        <is>
          <t>Send revised proposal</t>
        </is>
      </c>
    </row>
    <row r="24">
      <c r="A24" s="1" t="inlineStr">
        <is>
          <t>OPP-2026-0023</t>
        </is>
      </c>
      <c r="B24" s="1" t="inlineStr">
        <is>
          <t>Dunbar Industrial</t>
        </is>
      </c>
      <c r="C24" s="1" t="inlineStr">
        <is>
          <t>Heavy manufacturing</t>
        </is>
      </c>
      <c r="D24" s="1" t="inlineStr">
        <is>
          <t>US-Midwest</t>
        </is>
      </c>
      <c r="E24" s="1" t="inlineStr">
        <is>
          <t>Fleet orchestration platform, annual site licence</t>
        </is>
      </c>
      <c r="F24" s="1" t="n">
        <v>59</v>
      </c>
      <c r="G24" s="1" t="inlineStr">
        <is>
          <t>Proposal</t>
        </is>
      </c>
      <c r="H24" s="1" t="n">
        <v>0.45</v>
      </c>
      <c r="I24" s="1" t="inlineStr">
        <is>
          <t>2027-04</t>
        </is>
      </c>
      <c r="J24" s="1" t="n">
        <v>3623248.92</v>
      </c>
      <c r="K24" s="1">
        <f>ROUND(J24*H24,2)</f>
        <v/>
      </c>
      <c r="L24" s="1" t="inlineStr">
        <is>
          <t>Y. Sandoval</t>
        </is>
      </c>
      <c r="M24" s="1" t="inlineStr">
        <is>
          <t>Close out or disqualify</t>
        </is>
      </c>
    </row>
    <row r="25">
      <c r="A25" s="1" t="inlineStr">
        <is>
          <t>OPP-2026-0024</t>
        </is>
      </c>
      <c r="B25" s="1" t="inlineStr">
        <is>
          <t>Harborline Systems</t>
        </is>
      </c>
      <c r="C25" s="1" t="inlineStr">
        <is>
          <t>Marine logistics</t>
        </is>
      </c>
      <c r="D25" s="1" t="inlineStr">
        <is>
          <t>US-Northeast</t>
        </is>
      </c>
      <c r="E25" s="1" t="inlineStr">
        <is>
          <t>Operator training programme</t>
        </is>
      </c>
      <c r="F25" s="1" t="n">
        <v>49</v>
      </c>
      <c r="G25" s="1" t="inlineStr">
        <is>
          <t>Legal review</t>
        </is>
      </c>
      <c r="H25" s="1" t="n">
        <v>0.6</v>
      </c>
      <c r="I25" s="1" t="inlineStr">
        <is>
          <t>2027-04</t>
        </is>
      </c>
      <c r="J25" s="1" t="n">
        <v>3679584.49</v>
      </c>
      <c r="K25" s="1">
        <f>ROUND(J25*H25,2)</f>
        <v/>
      </c>
      <c r="L25" s="1" t="inlineStr">
        <is>
          <t>Y. Sandoval</t>
        </is>
      </c>
      <c r="M25" s="1" t="inlineStr">
        <is>
          <t>Schedule site survey</t>
        </is>
      </c>
    </row>
    <row r="26">
      <c r="A26" s="1" t="inlineStr">
        <is>
          <t>OPP-2026-0025</t>
        </is>
      </c>
      <c r="B26" s="1" t="inlineStr">
        <is>
          <t>Quarrybridge Materials</t>
        </is>
      </c>
      <c r="C26" s="1" t="inlineStr">
        <is>
          <t>Aggregates</t>
        </is>
      </c>
      <c r="D26" s="1" t="inlineStr">
        <is>
          <t>US-Mountain</t>
        </is>
      </c>
      <c r="E26" s="1" t="inlineStr">
        <is>
          <t>Deployment and commissioning services</t>
        </is>
      </c>
      <c r="F26" s="1" t="n">
        <v>22</v>
      </c>
      <c r="G26" s="1" t="inlineStr">
        <is>
          <t>Closed won</t>
        </is>
      </c>
      <c r="H26" s="1" t="n">
        <v>1</v>
      </c>
      <c r="I26" s="1" t="inlineStr">
        <is>
          <t>2027-04</t>
        </is>
      </c>
      <c r="J26" s="1" t="n">
        <v>1707023.63</v>
      </c>
      <c r="K26" s="1">
        <f>ROUND(J26*H26,2)</f>
        <v/>
      </c>
      <c r="L26" s="1" t="inlineStr">
        <is>
          <t>L. Ossipova</t>
        </is>
      </c>
      <c r="M26" s="1" t="inlineStr">
        <is>
          <t>Schedule site survey</t>
        </is>
      </c>
    </row>
    <row r="27">
      <c r="A27" s="1" t="inlineStr">
        <is>
          <t>OPP-2026-0026</t>
        </is>
      </c>
      <c r="B27" s="1" t="inlineStr">
        <is>
          <t>Northfield Beverage</t>
        </is>
      </c>
      <c r="C27" s="1" t="inlineStr">
        <is>
          <t>Beverage</t>
        </is>
      </c>
      <c r="D27" s="1" t="inlineStr">
        <is>
          <t>US-Midwest</t>
        </is>
      </c>
      <c r="E27" s="1" t="inlineStr">
        <is>
          <t>Operator training programme</t>
        </is>
      </c>
      <c r="F27" s="1" t="n">
        <v>8</v>
      </c>
      <c r="G27" s="1" t="inlineStr">
        <is>
          <t>Verbal commitment</t>
        </is>
      </c>
      <c r="H27" s="1" t="n">
        <v>0.8</v>
      </c>
      <c r="I27" s="1" t="inlineStr">
        <is>
          <t>2026-11</t>
        </is>
      </c>
      <c r="J27" s="1" t="n">
        <v>2321798.7</v>
      </c>
      <c r="K27" s="1">
        <f>ROUND(J27*H27,2)</f>
        <v/>
      </c>
      <c r="L27" s="1" t="inlineStr">
        <is>
          <t>T. Ferreira</t>
        </is>
      </c>
      <c r="M27" s="1" t="inlineStr">
        <is>
          <t>Await legal turn</t>
        </is>
      </c>
    </row>
    <row r="28">
      <c r="A28" s="1" t="inlineStr">
        <is>
          <t>OPP-2026-0027</t>
        </is>
      </c>
      <c r="B28" s="1" t="inlineStr">
        <is>
          <t>Granite Peak Distribution</t>
        </is>
      </c>
      <c r="C28" s="1" t="inlineStr">
        <is>
          <t>Building products</t>
        </is>
      </c>
      <c r="D28" s="1" t="inlineStr">
        <is>
          <t>US-Mountain</t>
        </is>
      </c>
      <c r="E28" s="1" t="inlineStr">
        <is>
          <t>Premium support and spares pool</t>
        </is>
      </c>
      <c r="F28" s="1" t="n">
        <v>10</v>
      </c>
      <c r="G28" s="1" t="inlineStr">
        <is>
          <t>Site survey</t>
        </is>
      </c>
      <c r="H28" s="1" t="n">
        <v>0.3</v>
      </c>
      <c r="I28" s="1" t="inlineStr">
        <is>
          <t>2026-08</t>
        </is>
      </c>
      <c r="J28" s="1" t="n">
        <v>3495653.47</v>
      </c>
      <c r="K28" s="1">
        <f>ROUND(J28*H28,2)</f>
        <v/>
      </c>
      <c r="L28" s="1" t="inlineStr">
        <is>
          <t>T. Ferreira</t>
        </is>
      </c>
      <c r="M28" s="1" t="inlineStr">
        <is>
          <t>Send revised proposal</t>
        </is>
      </c>
    </row>
    <row r="29">
      <c r="A29" s="1" t="inlineStr">
        <is>
          <t>OPP-2026-0028</t>
        </is>
      </c>
      <c r="B29" s="1" t="inlineStr">
        <is>
          <t>Union Vale Pharma</t>
        </is>
      </c>
      <c r="C29" s="1" t="inlineStr">
        <is>
          <t>Pharmaceutical</t>
        </is>
      </c>
      <c r="D29" s="1" t="inlineStr">
        <is>
          <t>US-Northeast</t>
        </is>
      </c>
      <c r="E29" s="1" t="inlineStr">
        <is>
          <t>Opportunity charging dock</t>
        </is>
      </c>
      <c r="F29" s="1" t="n">
        <v>56</v>
      </c>
      <c r="G29" s="1" t="inlineStr">
        <is>
          <t>Legal review</t>
        </is>
      </c>
      <c r="H29" s="1" t="n">
        <v>0.6</v>
      </c>
      <c r="I29" s="1" t="inlineStr">
        <is>
          <t>2026-12</t>
        </is>
      </c>
      <c r="J29" s="1" t="n">
        <v>515543.97</v>
      </c>
      <c r="K29" s="1">
        <f>ROUND(J29*H29,2)</f>
        <v/>
      </c>
      <c r="L29" s="1" t="inlineStr">
        <is>
          <t>C. Bailey</t>
        </is>
      </c>
      <c r="M29" s="1" t="inlineStr">
        <is>
          <t>Await legal turn</t>
        </is>
      </c>
    </row>
    <row r="30">
      <c r="A30" s="1" t="inlineStr">
        <is>
          <t>OPP-2026-0029</t>
        </is>
      </c>
      <c r="B30" s="1" t="inlineStr">
        <is>
          <t>Tamarack Electronics</t>
        </is>
      </c>
      <c r="C30" s="1" t="inlineStr">
        <is>
          <t>Consumer electronics</t>
        </is>
      </c>
      <c r="D30" s="1" t="inlineStr">
        <is>
          <t>US-Northwest</t>
        </is>
      </c>
      <c r="E30" s="1" t="inlineStr">
        <is>
          <t>Operator training programme</t>
        </is>
      </c>
      <c r="F30" s="1" t="n">
        <v>47</v>
      </c>
      <c r="G30" s="1" t="inlineStr">
        <is>
          <t>Proposal</t>
        </is>
      </c>
      <c r="H30" s="1" t="n">
        <v>0.45</v>
      </c>
      <c r="I30" s="1" t="inlineStr">
        <is>
          <t>2026-11</t>
        </is>
      </c>
      <c r="J30" s="1" t="n">
        <v>844201.95</v>
      </c>
      <c r="K30" s="1">
        <f>ROUND(J30*H30,2)</f>
        <v/>
      </c>
      <c r="L30" s="1" t="inlineStr">
        <is>
          <t>L. Ossipova</t>
        </is>
      </c>
      <c r="M30" s="1" t="inlineStr">
        <is>
          <t>Schedule site survey</t>
        </is>
      </c>
    </row>
    <row r="31">
      <c r="A31" s="1" t="inlineStr">
        <is>
          <t>OPP-2026-0030</t>
        </is>
      </c>
      <c r="B31" s="1" t="inlineStr">
        <is>
          <t>Fathom Mobility</t>
        </is>
      </c>
      <c r="C31" s="1" t="inlineStr">
        <is>
          <t>Automotive parts</t>
        </is>
      </c>
      <c r="D31" s="1" t="inlineStr">
        <is>
          <t>US-Southeast</t>
        </is>
      </c>
      <c r="E31" s="1" t="inlineStr">
        <is>
          <t>Autonomous mobile robot, 450 kg payload</t>
        </is>
      </c>
      <c r="F31" s="1" t="n">
        <v>47</v>
      </c>
      <c r="G31" s="1" t="inlineStr">
        <is>
          <t>Proposal</t>
        </is>
      </c>
      <c r="H31" s="1" t="n">
        <v>0.45</v>
      </c>
      <c r="I31" s="1" t="inlineStr">
        <is>
          <t>2026-12</t>
        </is>
      </c>
      <c r="J31" s="1" t="n">
        <v>2097102.53</v>
      </c>
      <c r="K31" s="1">
        <f>ROUND(J31*H31,2)</f>
        <v/>
      </c>
      <c r="L31" s="1" t="inlineStr">
        <is>
          <t>T. Ferreira</t>
        </is>
      </c>
      <c r="M31" s="1" t="inlineStr">
        <is>
          <t>Introduce reference customer</t>
        </is>
      </c>
    </row>
    <row r="32">
      <c r="A32" s="1" t="inlineStr">
        <is>
          <t>OPP-2026-0031</t>
        </is>
      </c>
      <c r="B32" s="1" t="inlineStr">
        <is>
          <t>Meridian Dynamics</t>
        </is>
      </c>
      <c r="C32" s="1" t="inlineStr">
        <is>
          <t>Aerospace supply</t>
        </is>
      </c>
      <c r="D32" s="1" t="inlineStr">
        <is>
          <t>US-Southwest</t>
        </is>
      </c>
      <c r="E32" s="1" t="inlineStr">
        <is>
          <t>Opportunity charging dock</t>
        </is>
      </c>
      <c r="F32" s="1" t="n">
        <v>68</v>
      </c>
      <c r="G32" s="1" t="inlineStr">
        <is>
          <t>Proposal</t>
        </is>
      </c>
      <c r="H32" s="1" t="n">
        <v>0.45</v>
      </c>
      <c r="I32" s="1" t="inlineStr">
        <is>
          <t>2026-07</t>
        </is>
      </c>
      <c r="J32" s="1" t="n">
        <v>1137179.39</v>
      </c>
      <c r="K32" s="1">
        <f>ROUND(J32*H32,2)</f>
        <v/>
      </c>
      <c r="L32" s="1" t="inlineStr">
        <is>
          <t>L. Ossipova</t>
        </is>
      </c>
      <c r="M32" s="1" t="inlineStr">
        <is>
          <t>Confirm capital approval</t>
        </is>
      </c>
    </row>
    <row r="33">
      <c r="A33" s="1" t="inlineStr">
        <is>
          <t>OPP-2026-0032</t>
        </is>
      </c>
      <c r="B33" s="1" t="inlineStr">
        <is>
          <t>Elmsworth Publishing</t>
        </is>
      </c>
      <c r="C33" s="1" t="inlineStr">
        <is>
          <t>Print and media</t>
        </is>
      </c>
      <c r="D33" s="1" t="inlineStr">
        <is>
          <t>US-Northeast</t>
        </is>
      </c>
      <c r="E33" s="1" t="inlineStr">
        <is>
          <t>Deployment and commissioning services</t>
        </is>
      </c>
      <c r="F33" s="1" t="n">
        <v>75</v>
      </c>
      <c r="G33" s="1" t="inlineStr">
        <is>
          <t>Qualification</t>
        </is>
      </c>
      <c r="H33" s="1" t="n">
        <v>0.1</v>
      </c>
      <c r="I33" s="1" t="inlineStr">
        <is>
          <t>2027-01</t>
        </is>
      </c>
      <c r="J33" s="1" t="n">
        <v>274626.44</v>
      </c>
      <c r="K33" s="1">
        <f>ROUND(J33*H33,2)</f>
        <v/>
      </c>
      <c r="L33" s="1" t="inlineStr">
        <is>
          <t>T. Ferreira</t>
        </is>
      </c>
      <c r="M33" s="1" t="inlineStr">
        <is>
          <t>Confirm capital approval</t>
        </is>
      </c>
    </row>
    <row r="34">
      <c r="A34" s="1" t="inlineStr">
        <is>
          <t>OPP-2026-0033</t>
        </is>
      </c>
      <c r="B34" s="1" t="inlineStr">
        <is>
          <t>Zephyr Air Cargo</t>
        </is>
      </c>
      <c r="C34" s="1" t="inlineStr">
        <is>
          <t>Air cargo</t>
        </is>
      </c>
      <c r="D34" s="1" t="inlineStr">
        <is>
          <t>US-Northeast</t>
        </is>
      </c>
      <c r="E34" s="1" t="inlineStr">
        <is>
          <t>Autonomous mobile robot, 220 kg payload</t>
        </is>
      </c>
      <c r="F34" s="1" t="n">
        <v>33</v>
      </c>
      <c r="G34" s="1" t="inlineStr">
        <is>
          <t>Closed lost</t>
        </is>
      </c>
      <c r="H34" s="1" t="n">
        <v>0</v>
      </c>
      <c r="I34" s="1" t="inlineStr">
        <is>
          <t>2026-12</t>
        </is>
      </c>
      <c r="J34" s="1" t="n">
        <v>2972546.66</v>
      </c>
      <c r="K34" s="1">
        <f>ROUND(J34*H34,2)</f>
        <v/>
      </c>
      <c r="L34" s="1" t="inlineStr">
        <is>
          <t>Y. Sandoval</t>
        </is>
      </c>
      <c r="M34" s="1" t="inlineStr">
        <is>
          <t>Await legal turn</t>
        </is>
      </c>
    </row>
    <row r="35">
      <c r="A35" s="1" t="inlineStr">
        <is>
          <t>OPP-2026-0034</t>
        </is>
      </c>
      <c r="B35" s="1" t="inlineStr">
        <is>
          <t>Orchard Grove Foods</t>
        </is>
      </c>
      <c r="C35" s="1" t="inlineStr">
        <is>
          <t>Food processing</t>
        </is>
      </c>
      <c r="D35" s="1" t="inlineStr">
        <is>
          <t>US-West</t>
        </is>
      </c>
      <c r="E35" s="1" t="inlineStr">
        <is>
          <t>Opportunity charging dock</t>
        </is>
      </c>
      <c r="F35" s="1" t="n">
        <v>62</v>
      </c>
      <c r="G35" s="1" t="inlineStr">
        <is>
          <t>Verbal commitment</t>
        </is>
      </c>
      <c r="H35" s="1" t="n">
        <v>0.8</v>
      </c>
      <c r="I35" s="1" t="inlineStr">
        <is>
          <t>2026-08</t>
        </is>
      </c>
      <c r="J35" s="1" t="n">
        <v>3038981.06</v>
      </c>
      <c r="K35" s="1">
        <f>ROUND(J35*H35,2)</f>
        <v/>
      </c>
      <c r="L35" s="1" t="inlineStr">
        <is>
          <t>Y. Sandoval</t>
        </is>
      </c>
      <c r="M35" s="1" t="inlineStr">
        <is>
          <t>Schedule site survey</t>
        </is>
      </c>
    </row>
    <row r="36">
      <c r="A36" s="1" t="inlineStr">
        <is>
          <t>OPP-2026-0035</t>
        </is>
      </c>
      <c r="B36" s="1" t="inlineStr">
        <is>
          <t>Calder Marine Supply</t>
        </is>
      </c>
      <c r="C36" s="1" t="inlineStr">
        <is>
          <t>Marine supply</t>
        </is>
      </c>
      <c r="D36" s="1" t="inlineStr">
        <is>
          <t>US-Gulf</t>
        </is>
      </c>
      <c r="E36" s="1" t="inlineStr">
        <is>
          <t>Opportunity charging dock</t>
        </is>
      </c>
      <c r="F36" s="1" t="n">
        <v>47</v>
      </c>
      <c r="G36" s="1" t="inlineStr">
        <is>
          <t>Qualification</t>
        </is>
      </c>
      <c r="H36" s="1" t="n">
        <v>0.1</v>
      </c>
      <c r="I36" s="1" t="inlineStr">
        <is>
          <t>2027-02</t>
        </is>
      </c>
      <c r="J36" s="1" t="n">
        <v>1180418.68</v>
      </c>
      <c r="K36" s="1">
        <f>ROUND(J36*H36,2)</f>
        <v/>
      </c>
      <c r="L36" s="1" t="inlineStr">
        <is>
          <t>Y. Sandoval</t>
        </is>
      </c>
      <c r="M36" s="1" t="inlineStr">
        <is>
          <t>Send revised proposal</t>
        </is>
      </c>
    </row>
    <row r="37">
      <c r="A37" s="1" t="inlineStr">
        <is>
          <t>OPP-2026-0036</t>
        </is>
      </c>
      <c r="B37" s="1" t="inlineStr">
        <is>
          <t>Quarrybridge Materials</t>
        </is>
      </c>
      <c r="C37" s="1" t="inlineStr">
        <is>
          <t>Aggregates</t>
        </is>
      </c>
      <c r="D37" s="1" t="inlineStr">
        <is>
          <t>US-Mountain</t>
        </is>
      </c>
      <c r="E37" s="1" t="inlineStr">
        <is>
          <t>Fleet orchestration platform, annual site licence</t>
        </is>
      </c>
      <c r="F37" s="1" t="n">
        <v>20</v>
      </c>
      <c r="G37" s="1" t="inlineStr">
        <is>
          <t>Proposal</t>
        </is>
      </c>
      <c r="H37" s="1" t="n">
        <v>0.45</v>
      </c>
      <c r="I37" s="1" t="inlineStr">
        <is>
          <t>2027-05</t>
        </is>
      </c>
      <c r="J37" s="1" t="n">
        <v>738423.46</v>
      </c>
      <c r="K37" s="1">
        <f>ROUND(J37*H37,2)</f>
        <v/>
      </c>
      <c r="L37" s="1" t="inlineStr">
        <is>
          <t>L. Ossipova</t>
        </is>
      </c>
      <c r="M37" s="1" t="inlineStr">
        <is>
          <t>Introduce reference customer</t>
        </is>
      </c>
    </row>
    <row r="38">
      <c r="A38" s="1" t="inlineStr">
        <is>
          <t>OPP-2026-0037</t>
        </is>
      </c>
      <c r="B38" s="1" t="inlineStr">
        <is>
          <t>Pioneer Freight Union</t>
        </is>
      </c>
      <c r="C38" s="1" t="inlineStr">
        <is>
          <t>Freight brokerage</t>
        </is>
      </c>
      <c r="D38" s="1" t="inlineStr">
        <is>
          <t>US-Central</t>
        </is>
      </c>
      <c r="E38" s="1" t="inlineStr">
        <is>
          <t>Premium support and spares pool</t>
        </is>
      </c>
      <c r="F38" s="1" t="n">
        <v>44</v>
      </c>
      <c r="G38" s="1" t="inlineStr">
        <is>
          <t>Discovery</t>
        </is>
      </c>
      <c r="H38" s="1" t="n">
        <v>0.2</v>
      </c>
      <c r="I38" s="1" t="inlineStr">
        <is>
          <t>2026-11</t>
        </is>
      </c>
      <c r="J38" s="1" t="n">
        <v>2533289.23</v>
      </c>
      <c r="K38" s="1">
        <f>ROUND(J38*H38,2)</f>
        <v/>
      </c>
      <c r="L38" s="1" t="inlineStr">
        <is>
          <t>T. Ferreira</t>
        </is>
      </c>
      <c r="M38" s="1" t="inlineStr">
        <is>
          <t>Send revised proposal</t>
        </is>
      </c>
    </row>
    <row r="39">
      <c r="A39" s="1" t="inlineStr">
        <is>
          <t>OPP-2026-0038</t>
        </is>
      </c>
      <c r="B39" s="1" t="inlineStr">
        <is>
          <t>Crestline Fulfillment</t>
        </is>
      </c>
      <c r="C39" s="1" t="inlineStr">
        <is>
          <t>E-commerce fulfillment</t>
        </is>
      </c>
      <c r="D39" s="1" t="inlineStr">
        <is>
          <t>US-West</t>
        </is>
      </c>
      <c r="E39" s="1" t="inlineStr">
        <is>
          <t>Warehouse management system connector</t>
        </is>
      </c>
      <c r="F39" s="1" t="n">
        <v>14</v>
      </c>
      <c r="G39" s="1" t="inlineStr">
        <is>
          <t>Legal review</t>
        </is>
      </c>
      <c r="H39" s="1" t="n">
        <v>0.6</v>
      </c>
      <c r="I39" s="1" t="inlineStr">
        <is>
          <t>2027-03</t>
        </is>
      </c>
      <c r="J39" s="1" t="n">
        <v>2598225.85</v>
      </c>
      <c r="K39" s="1">
        <f>ROUND(J39*H39,2)</f>
        <v/>
      </c>
      <c r="L39" s="1" t="inlineStr">
        <is>
          <t>C. Bailey</t>
        </is>
      </c>
      <c r="M39" s="1" t="inlineStr">
        <is>
          <t>Send revised proposal</t>
        </is>
      </c>
    </row>
    <row r="40">
      <c r="A40" s="1" t="inlineStr">
        <is>
          <t>OPP-2026-0039</t>
        </is>
      </c>
      <c r="B40" s="1" t="inlineStr">
        <is>
          <t>Larkspur Apparel</t>
        </is>
      </c>
      <c r="C40" s="1" t="inlineStr">
        <is>
          <t>Apparel retail</t>
        </is>
      </c>
      <c r="D40" s="1" t="inlineStr">
        <is>
          <t>US-Southeast</t>
        </is>
      </c>
      <c r="E40" s="1" t="inlineStr">
        <is>
          <t>Safety scanner retrofit kit</t>
        </is>
      </c>
      <c r="F40" s="1" t="n">
        <v>66</v>
      </c>
      <c r="G40" s="1" t="inlineStr">
        <is>
          <t>Qualification</t>
        </is>
      </c>
      <c r="H40" s="1" t="n">
        <v>0.1</v>
      </c>
      <c r="I40" s="1" t="inlineStr">
        <is>
          <t>2026-10</t>
        </is>
      </c>
      <c r="J40" s="1" t="n">
        <v>2546802.87</v>
      </c>
      <c r="K40" s="1">
        <f>ROUND(J40*H40,2)</f>
        <v/>
      </c>
      <c r="L40" s="1" t="inlineStr">
        <is>
          <t>T. Ferreira</t>
        </is>
      </c>
      <c r="M40" s="1" t="inlineStr">
        <is>
          <t>Confirm capital approval</t>
        </is>
      </c>
    </row>
    <row r="41">
      <c r="A41" s="1" t="inlineStr">
        <is>
          <t>OPP-2026-0040</t>
        </is>
      </c>
      <c r="B41" s="1" t="inlineStr">
        <is>
          <t>Northfield Beverage</t>
        </is>
      </c>
      <c r="C41" s="1" t="inlineStr">
        <is>
          <t>Beverage</t>
        </is>
      </c>
      <c r="D41" s="1" t="inlineStr">
        <is>
          <t>US-Midwest</t>
        </is>
      </c>
      <c r="E41" s="1" t="inlineStr">
        <is>
          <t>Remote operations desk coverage</t>
        </is>
      </c>
      <c r="F41" s="1" t="n">
        <v>44</v>
      </c>
      <c r="G41" s="1" t="inlineStr">
        <is>
          <t>Site survey</t>
        </is>
      </c>
      <c r="H41" s="1" t="n">
        <v>0.3</v>
      </c>
      <c r="I41" s="1" t="inlineStr">
        <is>
          <t>2026-09</t>
        </is>
      </c>
      <c r="J41" s="1" t="n">
        <v>3330829.4</v>
      </c>
      <c r="K41" s="1">
        <f>ROUND(J41*H41,2)</f>
        <v/>
      </c>
      <c r="L41" s="1" t="inlineStr">
        <is>
          <t>C. Bailey</t>
        </is>
      </c>
      <c r="M41" s="1" t="inlineStr">
        <is>
          <t>Introduce reference customer</t>
        </is>
      </c>
    </row>
    <row r="42">
      <c r="A42" s="1" t="inlineStr">
        <is>
          <t>OPP-2026-0041</t>
        </is>
      </c>
      <c r="B42" s="1" t="inlineStr">
        <is>
          <t>Larkspur Apparel</t>
        </is>
      </c>
      <c r="C42" s="1" t="inlineStr">
        <is>
          <t>Apparel retail</t>
        </is>
      </c>
      <c r="D42" s="1" t="inlineStr">
        <is>
          <t>US-Southeast</t>
        </is>
      </c>
      <c r="E42" s="1" t="inlineStr">
        <is>
          <t>Fleet orchestration platform, annual site licence</t>
        </is>
      </c>
      <c r="F42" s="1" t="n">
        <v>91</v>
      </c>
      <c r="G42" s="1" t="inlineStr">
        <is>
          <t>Discovery</t>
        </is>
      </c>
      <c r="H42" s="1" t="n">
        <v>0.2</v>
      </c>
      <c r="I42" s="1" t="inlineStr">
        <is>
          <t>2026-07</t>
        </is>
      </c>
      <c r="J42" s="1" t="n">
        <v>1592199.36</v>
      </c>
      <c r="K42" s="1">
        <f>ROUND(J42*H42,2)</f>
        <v/>
      </c>
      <c r="L42" s="1" t="inlineStr">
        <is>
          <t>C. Bailey</t>
        </is>
      </c>
      <c r="M42" s="1" t="inlineStr">
        <is>
          <t>Introduce reference customer</t>
        </is>
      </c>
    </row>
    <row r="43">
      <c r="A43" s="1" t="inlineStr">
        <is>
          <t>OPP-2026-0042</t>
        </is>
      </c>
      <c r="B43" s="1" t="inlineStr">
        <is>
          <t>Ironvale Grocery Group</t>
        </is>
      </c>
      <c r="C43" s="1" t="inlineStr">
        <is>
          <t>Grocery retail</t>
        </is>
      </c>
      <c r="D43" s="1" t="inlineStr">
        <is>
          <t>US-Midwest</t>
        </is>
      </c>
      <c r="E43" s="1" t="inlineStr">
        <is>
          <t>Fleet orchestration platform, annual site licence</t>
        </is>
      </c>
      <c r="F43" s="1" t="n">
        <v>25</v>
      </c>
      <c r="G43" s="1" t="inlineStr">
        <is>
          <t>Proposal</t>
        </is>
      </c>
      <c r="H43" s="1" t="n">
        <v>0.45</v>
      </c>
      <c r="I43" s="1" t="inlineStr">
        <is>
          <t>2027-05</t>
        </is>
      </c>
      <c r="J43" s="1" t="n">
        <v>3086501.54</v>
      </c>
      <c r="K43" s="1">
        <f>ROUND(J43*H43,2)</f>
        <v/>
      </c>
      <c r="L43" s="1" t="inlineStr">
        <is>
          <t>C. Bailey</t>
        </is>
      </c>
      <c r="M43" s="1" t="inlineStr">
        <is>
          <t>Close out or disqualify</t>
        </is>
      </c>
    </row>
    <row r="44">
      <c r="A44" s="1" t="inlineStr">
        <is>
          <t>OPP-2026-0043</t>
        </is>
      </c>
      <c r="B44" s="1" t="inlineStr">
        <is>
          <t>Ironvale Grocery Group</t>
        </is>
      </c>
      <c r="C44" s="1" t="inlineStr">
        <is>
          <t>Grocery retail</t>
        </is>
      </c>
      <c r="D44" s="1" t="inlineStr">
        <is>
          <t>US-Midwest</t>
        </is>
      </c>
      <c r="E44" s="1" t="inlineStr">
        <is>
          <t>Telemetry retention tier, extended</t>
        </is>
      </c>
      <c r="F44" s="1" t="n">
        <v>27</v>
      </c>
      <c r="G44" s="1" t="inlineStr">
        <is>
          <t>Legal review</t>
        </is>
      </c>
      <c r="H44" s="1" t="n">
        <v>0.6</v>
      </c>
      <c r="I44" s="1" t="inlineStr">
        <is>
          <t>2027-01</t>
        </is>
      </c>
      <c r="J44" s="1" t="n">
        <v>1545908.37</v>
      </c>
      <c r="K44" s="1">
        <f>ROUND(J44*H44,2)</f>
        <v/>
      </c>
      <c r="L44" s="1" t="inlineStr">
        <is>
          <t>T. Ferreira</t>
        </is>
      </c>
      <c r="M44" s="1" t="inlineStr">
        <is>
          <t>Send revised proposal</t>
        </is>
      </c>
    </row>
    <row r="45">
      <c r="A45" s="1" t="inlineStr">
        <is>
          <t>OPP-2026-0044</t>
        </is>
      </c>
      <c r="B45" s="1" t="inlineStr">
        <is>
          <t>Asterion Logistics</t>
        </is>
      </c>
      <c r="C45" s="1" t="inlineStr">
        <is>
          <t>Third-party logistics</t>
        </is>
      </c>
      <c r="D45" s="1" t="inlineStr">
        <is>
          <t>US-West</t>
        </is>
      </c>
      <c r="E45" s="1" t="inlineStr">
        <is>
          <t>Autonomous mobile robot, 450 kg payload</t>
        </is>
      </c>
      <c r="F45" s="1" t="n">
        <v>66</v>
      </c>
      <c r="G45" s="1" t="inlineStr">
        <is>
          <t>Verbal commitment</t>
        </is>
      </c>
      <c r="H45" s="1" t="n">
        <v>0.8</v>
      </c>
      <c r="I45" s="1" t="inlineStr">
        <is>
          <t>2026-12</t>
        </is>
      </c>
      <c r="J45" s="1" t="n">
        <v>1238082.2</v>
      </c>
      <c r="K45" s="1">
        <f>ROUND(J45*H45,2)</f>
        <v/>
      </c>
      <c r="L45" s="1" t="inlineStr">
        <is>
          <t>Y. Sandoval</t>
        </is>
      </c>
      <c r="M45" s="1" t="inlineStr">
        <is>
          <t>Send revised proposal</t>
        </is>
      </c>
    </row>
    <row r="46">
      <c r="A46" s="1" t="inlineStr">
        <is>
          <t>OPP-2026-0045</t>
        </is>
      </c>
      <c r="B46" s="1" t="inlineStr">
        <is>
          <t>Larkspur Apparel</t>
        </is>
      </c>
      <c r="C46" s="1" t="inlineStr">
        <is>
          <t>Apparel retail</t>
        </is>
      </c>
      <c r="D46" s="1" t="inlineStr">
        <is>
          <t>US-Southeast</t>
        </is>
      </c>
      <c r="E46" s="1" t="inlineStr">
        <is>
          <t>Premium support and spares pool</t>
        </is>
      </c>
      <c r="F46" s="1" t="n">
        <v>9</v>
      </c>
      <c r="G46" s="1" t="inlineStr">
        <is>
          <t>Site survey</t>
        </is>
      </c>
      <c r="H46" s="1" t="n">
        <v>0.3</v>
      </c>
      <c r="I46" s="1" t="inlineStr">
        <is>
          <t>2027-04</t>
        </is>
      </c>
      <c r="J46" s="1" t="n">
        <v>1289227.95</v>
      </c>
      <c r="K46" s="1">
        <f>ROUND(J46*H46,2)</f>
        <v/>
      </c>
      <c r="L46" s="1" t="inlineStr">
        <is>
          <t>Y. Sandoval</t>
        </is>
      </c>
      <c r="M46" s="1" t="inlineStr">
        <is>
          <t>Await legal turn</t>
        </is>
      </c>
    </row>
    <row r="47">
      <c r="A47" s="1" t="inlineStr">
        <is>
          <t>OPP-2026-0046</t>
        </is>
      </c>
      <c r="B47" s="1" t="inlineStr">
        <is>
          <t>Juniper Health Supply</t>
        </is>
      </c>
      <c r="C47" s="1" t="inlineStr">
        <is>
          <t>Medical distribution</t>
        </is>
      </c>
      <c r="D47" s="1" t="inlineStr">
        <is>
          <t>US-West</t>
        </is>
      </c>
      <c r="E47" s="1" t="inlineStr">
        <is>
          <t>Autonomous mobile robot, 220 kg payload</t>
        </is>
      </c>
      <c r="F47" s="1" t="n">
        <v>71</v>
      </c>
      <c r="G47" s="1" t="inlineStr">
        <is>
          <t>Verbal commitment</t>
        </is>
      </c>
      <c r="H47" s="1" t="n">
        <v>0.8</v>
      </c>
      <c r="I47" s="1" t="inlineStr">
        <is>
          <t>2026-10</t>
        </is>
      </c>
      <c r="J47" s="1" t="n">
        <v>2664623.44</v>
      </c>
      <c r="K47" s="1">
        <f>ROUND(J47*H47,2)</f>
        <v/>
      </c>
      <c r="L47" s="1" t="inlineStr">
        <is>
          <t>C. Bailey</t>
        </is>
      </c>
      <c r="M47" s="1" t="inlineStr">
        <is>
          <t>Introduce reference customer</t>
        </is>
      </c>
    </row>
    <row r="48">
      <c r="A48" s="1" t="inlineStr">
        <is>
          <t>OPP-2026-0047</t>
        </is>
      </c>
      <c r="B48" s="1" t="inlineStr">
        <is>
          <t>Quarrybridge Materials</t>
        </is>
      </c>
      <c r="C48" s="1" t="inlineStr">
        <is>
          <t>Aggregates</t>
        </is>
      </c>
      <c r="D48" s="1" t="inlineStr">
        <is>
          <t>US-Mountain</t>
        </is>
      </c>
      <c r="E48" s="1" t="inlineStr">
        <is>
          <t>Opportunity charging dock</t>
        </is>
      </c>
      <c r="F48" s="1" t="n">
        <v>23</v>
      </c>
      <c r="G48" s="1" t="inlineStr">
        <is>
          <t>Proposal</t>
        </is>
      </c>
      <c r="H48" s="1" t="n">
        <v>0.45</v>
      </c>
      <c r="I48" s="1" t="inlineStr">
        <is>
          <t>2027-06</t>
        </is>
      </c>
      <c r="J48" s="1" t="n">
        <v>3380780.36</v>
      </c>
      <c r="K48" s="1">
        <f>ROUND(J48*H48,2)</f>
        <v/>
      </c>
      <c r="L48" s="1" t="inlineStr">
        <is>
          <t>Y. Sandoval</t>
        </is>
      </c>
      <c r="M48" s="1" t="inlineStr">
        <is>
          <t>Send revised proposal</t>
        </is>
      </c>
    </row>
    <row r="49">
      <c r="A49" s="1" t="inlineStr">
        <is>
          <t>OPP-2026-0048</t>
        </is>
      </c>
      <c r="B49" s="1" t="inlineStr">
        <is>
          <t>Dunbar Industrial</t>
        </is>
      </c>
      <c r="C49" s="1" t="inlineStr">
        <is>
          <t>Heavy manufacturing</t>
        </is>
      </c>
      <c r="D49" s="1" t="inlineStr">
        <is>
          <t>US-Midwest</t>
        </is>
      </c>
      <c r="E49" s="1" t="inlineStr">
        <is>
          <t>Operator training programme</t>
        </is>
      </c>
      <c r="F49" s="1" t="n">
        <v>96</v>
      </c>
      <c r="G49" s="1" t="inlineStr">
        <is>
          <t>Qualification</t>
        </is>
      </c>
      <c r="H49" s="1" t="n">
        <v>0.1</v>
      </c>
      <c r="I49" s="1" t="inlineStr">
        <is>
          <t>2026-08</t>
        </is>
      </c>
      <c r="J49" s="1" t="n">
        <v>3819708.83</v>
      </c>
      <c r="K49" s="1">
        <f>ROUND(J49*H49,2)</f>
        <v/>
      </c>
      <c r="L49" s="1" t="inlineStr">
        <is>
          <t>C. Bailey</t>
        </is>
      </c>
      <c r="M49" s="1" t="inlineStr">
        <is>
          <t>Schedule site survey</t>
        </is>
      </c>
    </row>
    <row r="50">
      <c r="A50" s="1" t="inlineStr">
        <is>
          <t>OPP-2026-0049</t>
        </is>
      </c>
      <c r="B50" s="1" t="inlineStr">
        <is>
          <t>Vantage Robotics Supply</t>
        </is>
      </c>
      <c r="C50" s="1" t="inlineStr">
        <is>
          <t>Industrial supply</t>
        </is>
      </c>
      <c r="D50" s="1" t="inlineStr">
        <is>
          <t>US-West</t>
        </is>
      </c>
      <c r="E50" s="1" t="inlineStr">
        <is>
          <t>Autonomous mobile robot, 220 kg payload</t>
        </is>
      </c>
      <c r="F50" s="1" t="n">
        <v>21</v>
      </c>
      <c r="G50" s="1" t="inlineStr">
        <is>
          <t>Legal review</t>
        </is>
      </c>
      <c r="H50" s="1" t="n">
        <v>0.6</v>
      </c>
      <c r="I50" s="1" t="inlineStr">
        <is>
          <t>2027-03</t>
        </is>
      </c>
      <c r="J50" s="1" t="n">
        <v>1002729.4</v>
      </c>
      <c r="K50" s="1">
        <f>ROUND(J50*H50,2)</f>
        <v/>
      </c>
      <c r="L50" s="1" t="inlineStr">
        <is>
          <t>Y. Sandoval</t>
        </is>
      </c>
      <c r="M50" s="1" t="inlineStr">
        <is>
          <t>Introduce reference customer</t>
        </is>
      </c>
    </row>
    <row r="51">
      <c r="A51" s="1" t="inlineStr">
        <is>
          <t>OPP-2026-0050</t>
        </is>
      </c>
      <c r="B51" s="1" t="inlineStr">
        <is>
          <t>Crestline Fulfillment</t>
        </is>
      </c>
      <c r="C51" s="1" t="inlineStr">
        <is>
          <t>E-commerce fulfillment</t>
        </is>
      </c>
      <c r="D51" s="1" t="inlineStr">
        <is>
          <t>US-West</t>
        </is>
      </c>
      <c r="E51" s="1" t="inlineStr">
        <is>
          <t>Remote operations desk coverage</t>
        </is>
      </c>
      <c r="F51" s="1" t="n">
        <v>79</v>
      </c>
      <c r="G51" s="1" t="inlineStr">
        <is>
          <t>Qualification</t>
        </is>
      </c>
      <c r="H51" s="1" t="n">
        <v>0.1</v>
      </c>
      <c r="I51" s="1" t="inlineStr">
        <is>
          <t>2026-08</t>
        </is>
      </c>
      <c r="J51" s="1" t="n">
        <v>381142.46</v>
      </c>
      <c r="K51" s="1">
        <f>ROUND(J51*H51,2)</f>
        <v/>
      </c>
      <c r="L51" s="1" t="inlineStr">
        <is>
          <t>L. Ossipova</t>
        </is>
      </c>
      <c r="M51" s="1" t="inlineStr">
        <is>
          <t>Await legal turn</t>
        </is>
      </c>
    </row>
    <row r="52">
      <c r="A52" s="1" t="inlineStr">
        <is>
          <t>OPP-2026-0051</t>
        </is>
      </c>
      <c r="B52" s="1" t="inlineStr">
        <is>
          <t>Meridian Dynamics</t>
        </is>
      </c>
      <c r="C52" s="1" t="inlineStr">
        <is>
          <t>Aerospace supply</t>
        </is>
      </c>
      <c r="D52" s="1" t="inlineStr">
        <is>
          <t>US-Southwest</t>
        </is>
      </c>
      <c r="E52" s="1" t="inlineStr">
        <is>
          <t>Safety scanner retrofit kit</t>
        </is>
      </c>
      <c r="F52" s="1" t="n">
        <v>59</v>
      </c>
      <c r="G52" s="1" t="inlineStr">
        <is>
          <t>Closed won</t>
        </is>
      </c>
      <c r="H52" s="1" t="n">
        <v>1</v>
      </c>
      <c r="I52" s="1" t="inlineStr">
        <is>
          <t>2027-04</t>
        </is>
      </c>
      <c r="J52" s="1" t="n">
        <v>1675000.17</v>
      </c>
      <c r="K52" s="1">
        <f>ROUND(J52*H52,2)</f>
        <v/>
      </c>
      <c r="L52" s="1" t="inlineStr">
        <is>
          <t>T. Ferreira</t>
        </is>
      </c>
      <c r="M52" s="1" t="inlineStr">
        <is>
          <t>Confirm capital approval</t>
        </is>
      </c>
    </row>
    <row r="53">
      <c r="A53" s="1" t="inlineStr">
        <is>
          <t>OPP-2026-0052</t>
        </is>
      </c>
      <c r="B53" s="1" t="inlineStr">
        <is>
          <t>Dorsey Grain Cooperative</t>
        </is>
      </c>
      <c r="C53" s="1" t="inlineStr">
        <is>
          <t>Agriculture</t>
        </is>
      </c>
      <c r="D53" s="1" t="inlineStr">
        <is>
          <t>US-Plains</t>
        </is>
      </c>
      <c r="E53" s="1" t="inlineStr">
        <is>
          <t>Fleet orchestration platform, annual site licence</t>
        </is>
      </c>
      <c r="F53" s="1" t="n">
        <v>42</v>
      </c>
      <c r="G53" s="1" t="inlineStr">
        <is>
          <t>Verbal commitment</t>
        </is>
      </c>
      <c r="H53" s="1" t="n">
        <v>0.8</v>
      </c>
      <c r="I53" s="1" t="inlineStr">
        <is>
          <t>2026-09</t>
        </is>
      </c>
      <c r="J53" s="1" t="n">
        <v>1867690.4</v>
      </c>
      <c r="K53" s="1">
        <f>ROUND(J53*H53,2)</f>
        <v/>
      </c>
      <c r="L53" s="1" t="inlineStr">
        <is>
          <t>C. Bailey</t>
        </is>
      </c>
      <c r="M53" s="1" t="inlineStr">
        <is>
          <t>Await legal turn</t>
        </is>
      </c>
    </row>
    <row r="54">
      <c r="A54" s="1" t="inlineStr">
        <is>
          <t>OPP-2026-0053</t>
        </is>
      </c>
      <c r="B54" s="1" t="inlineStr">
        <is>
          <t>Elmsworth Publishing</t>
        </is>
      </c>
      <c r="C54" s="1" t="inlineStr">
        <is>
          <t>Print and media</t>
        </is>
      </c>
      <c r="D54" s="1" t="inlineStr">
        <is>
          <t>US-Northeast</t>
        </is>
      </c>
      <c r="E54" s="1" t="inlineStr">
        <is>
          <t>Telemetry retention tier, extended</t>
        </is>
      </c>
      <c r="F54" s="1" t="n">
        <v>65</v>
      </c>
      <c r="G54" s="1" t="inlineStr">
        <is>
          <t>Closed won</t>
        </is>
      </c>
      <c r="H54" s="1" t="n">
        <v>1</v>
      </c>
      <c r="I54" s="1" t="inlineStr">
        <is>
          <t>2027-01</t>
        </is>
      </c>
      <c r="J54" s="1" t="n">
        <v>1406354.73</v>
      </c>
      <c r="K54" s="1">
        <f>ROUND(J54*H54,2)</f>
        <v/>
      </c>
      <c r="L54" s="1" t="inlineStr">
        <is>
          <t>Y. Sandoval</t>
        </is>
      </c>
      <c r="M54" s="1" t="inlineStr">
        <is>
          <t>Send revised proposal</t>
        </is>
      </c>
    </row>
    <row r="55">
      <c r="A55" s="1" t="inlineStr">
        <is>
          <t>OPP-2026-0054</t>
        </is>
      </c>
      <c r="B55" s="1" t="inlineStr">
        <is>
          <t>Northfield Beverage</t>
        </is>
      </c>
      <c r="C55" s="1" t="inlineStr">
        <is>
          <t>Beverage</t>
        </is>
      </c>
      <c r="D55" s="1" t="inlineStr">
        <is>
          <t>US-Midwest</t>
        </is>
      </c>
      <c r="E55" s="1" t="inlineStr">
        <is>
          <t>Safety scanner retrofit kit</t>
        </is>
      </c>
      <c r="F55" s="1" t="n">
        <v>65</v>
      </c>
      <c r="G55" s="1" t="inlineStr">
        <is>
          <t>Site survey</t>
        </is>
      </c>
      <c r="H55" s="1" t="n">
        <v>0.3</v>
      </c>
      <c r="I55" s="1" t="inlineStr">
        <is>
          <t>2026-07</t>
        </is>
      </c>
      <c r="J55" s="1" t="n">
        <v>546588.6899999999</v>
      </c>
      <c r="K55" s="1">
        <f>ROUND(J55*H55,2)</f>
        <v/>
      </c>
      <c r="L55" s="1" t="inlineStr">
        <is>
          <t>Y. Sandoval</t>
        </is>
      </c>
      <c r="M55" s="1" t="inlineStr">
        <is>
          <t>Await legal turn</t>
        </is>
      </c>
    </row>
    <row r="56">
      <c r="A56" s="1" t="inlineStr">
        <is>
          <t>OPP-2026-0055</t>
        </is>
      </c>
      <c r="B56" s="1" t="inlineStr">
        <is>
          <t>Bellweather Auto Group</t>
        </is>
      </c>
      <c r="C56" s="1" t="inlineStr">
        <is>
          <t>Automotive retail</t>
        </is>
      </c>
      <c r="D56" s="1" t="inlineStr">
        <is>
          <t>US-Central</t>
        </is>
      </c>
      <c r="E56" s="1" t="inlineStr">
        <is>
          <t>Premium support and spares pool</t>
        </is>
      </c>
      <c r="F56" s="1" t="n">
        <v>11</v>
      </c>
      <c r="G56" s="1" t="inlineStr">
        <is>
          <t>Discovery</t>
        </is>
      </c>
      <c r="H56" s="1" t="n">
        <v>0.2</v>
      </c>
      <c r="I56" s="1" t="inlineStr">
        <is>
          <t>2026-12</t>
        </is>
      </c>
      <c r="J56" s="1" t="n">
        <v>2542816.88</v>
      </c>
      <c r="K56" s="1">
        <f>ROUND(J56*H56,2)</f>
        <v/>
      </c>
      <c r="L56" s="1" t="inlineStr">
        <is>
          <t>L. Ossipova</t>
        </is>
      </c>
      <c r="M56" s="1" t="inlineStr">
        <is>
          <t>Await legal turn</t>
        </is>
      </c>
    </row>
    <row r="57">
      <c r="A57" s="1" t="inlineStr">
        <is>
          <t>OPP-2026-0056</t>
        </is>
      </c>
      <c r="B57" s="1" t="inlineStr">
        <is>
          <t>Dunbar Industrial</t>
        </is>
      </c>
      <c r="C57" s="1" t="inlineStr">
        <is>
          <t>Heavy manufacturing</t>
        </is>
      </c>
      <c r="D57" s="1" t="inlineStr">
        <is>
          <t>US-Midwest</t>
        </is>
      </c>
      <c r="E57" s="1" t="inlineStr">
        <is>
          <t>Warehouse management system connector</t>
        </is>
      </c>
      <c r="F57" s="1" t="n">
        <v>82</v>
      </c>
      <c r="G57" s="1" t="inlineStr">
        <is>
          <t>Closed won</t>
        </is>
      </c>
      <c r="H57" s="1" t="n">
        <v>1</v>
      </c>
      <c r="I57" s="1" t="inlineStr">
        <is>
          <t>2026-08</t>
        </is>
      </c>
      <c r="J57" s="1" t="n">
        <v>3818779.7</v>
      </c>
      <c r="K57" s="1">
        <f>ROUND(J57*H57,2)</f>
        <v/>
      </c>
      <c r="L57" s="1" t="inlineStr">
        <is>
          <t>C. Bailey</t>
        </is>
      </c>
      <c r="M57" s="1" t="inlineStr">
        <is>
          <t>Schedule site survey</t>
        </is>
      </c>
    </row>
    <row r="58">
      <c r="A58" s="1" t="inlineStr">
        <is>
          <t>OPP-2026-0057</t>
        </is>
      </c>
      <c r="B58" s="1" t="inlineStr">
        <is>
          <t>Union Vale Pharma</t>
        </is>
      </c>
      <c r="C58" s="1" t="inlineStr">
        <is>
          <t>Pharmaceutical</t>
        </is>
      </c>
      <c r="D58" s="1" t="inlineStr">
        <is>
          <t>US-Northeast</t>
        </is>
      </c>
      <c r="E58" s="1" t="inlineStr">
        <is>
          <t>Warehouse management system connector</t>
        </is>
      </c>
      <c r="F58" s="1" t="n">
        <v>87</v>
      </c>
      <c r="G58" s="1" t="inlineStr">
        <is>
          <t>Legal review</t>
        </is>
      </c>
      <c r="H58" s="1" t="n">
        <v>0.6</v>
      </c>
      <c r="I58" s="1" t="inlineStr">
        <is>
          <t>2027-02</t>
        </is>
      </c>
      <c r="J58" s="1" t="n">
        <v>1997113.55</v>
      </c>
      <c r="K58" s="1">
        <f>ROUND(J58*H58,2)</f>
        <v/>
      </c>
      <c r="L58" s="1" t="inlineStr">
        <is>
          <t>Y. Sandoval</t>
        </is>
      </c>
      <c r="M58" s="1" t="inlineStr">
        <is>
          <t>Close out or disqualify</t>
        </is>
      </c>
    </row>
    <row r="59">
      <c r="A59" s="1" t="inlineStr">
        <is>
          <t>OPP-2026-0058</t>
        </is>
      </c>
      <c r="B59" s="1" t="inlineStr">
        <is>
          <t>Vantage Robotics Supply</t>
        </is>
      </c>
      <c r="C59" s="1" t="inlineStr">
        <is>
          <t>Industrial supply</t>
        </is>
      </c>
      <c r="D59" s="1" t="inlineStr">
        <is>
          <t>US-West</t>
        </is>
      </c>
      <c r="E59" s="1" t="inlineStr">
        <is>
          <t>Operator training programme</t>
        </is>
      </c>
      <c r="F59" s="1" t="n">
        <v>91</v>
      </c>
      <c r="G59" s="1" t="inlineStr">
        <is>
          <t>Site survey</t>
        </is>
      </c>
      <c r="H59" s="1" t="n">
        <v>0.3</v>
      </c>
      <c r="I59" s="1" t="inlineStr">
        <is>
          <t>2026-11</t>
        </is>
      </c>
      <c r="J59" s="1" t="n">
        <v>1014511.66</v>
      </c>
      <c r="K59" s="1">
        <f>ROUND(J59*H59,2)</f>
        <v/>
      </c>
      <c r="L59" s="1" t="inlineStr">
        <is>
          <t>C. Bailey</t>
        </is>
      </c>
      <c r="M59" s="1" t="inlineStr">
        <is>
          <t>Await legal turn</t>
        </is>
      </c>
    </row>
    <row r="60">
      <c r="A60" s="1" t="inlineStr">
        <is>
          <t>OPP-2026-0059</t>
        </is>
      </c>
      <c r="B60" s="1" t="inlineStr">
        <is>
          <t>Ironvale Grocery Group</t>
        </is>
      </c>
      <c r="C60" s="1" t="inlineStr">
        <is>
          <t>Grocery retail</t>
        </is>
      </c>
      <c r="D60" s="1" t="inlineStr">
        <is>
          <t>US-Midwest</t>
        </is>
      </c>
      <c r="E60" s="1" t="inlineStr">
        <is>
          <t>Telemetry retention tier, extended</t>
        </is>
      </c>
      <c r="F60" s="1" t="n">
        <v>25</v>
      </c>
      <c r="G60" s="1" t="inlineStr">
        <is>
          <t>Verbal commitment</t>
        </is>
      </c>
      <c r="H60" s="1" t="n">
        <v>0.8</v>
      </c>
      <c r="I60" s="1" t="inlineStr">
        <is>
          <t>2026-11</t>
        </is>
      </c>
      <c r="J60" s="1" t="n">
        <v>2753035.82</v>
      </c>
      <c r="K60" s="1">
        <f>ROUND(J60*H60,2)</f>
        <v/>
      </c>
      <c r="L60" s="1" t="inlineStr">
        <is>
          <t>C. Bailey</t>
        </is>
      </c>
      <c r="M60" s="1" t="inlineStr">
        <is>
          <t>Schedule site survey</t>
        </is>
      </c>
    </row>
    <row r="61">
      <c r="A61" s="1" t="inlineStr">
        <is>
          <t>OPP-2026-0060</t>
        </is>
      </c>
      <c r="B61" s="1" t="inlineStr">
        <is>
          <t>Fathom Mobility</t>
        </is>
      </c>
      <c r="C61" s="1" t="inlineStr">
        <is>
          <t>Automotive parts</t>
        </is>
      </c>
      <c r="D61" s="1" t="inlineStr">
        <is>
          <t>US-Southeast</t>
        </is>
      </c>
      <c r="E61" s="1" t="inlineStr">
        <is>
          <t>Autonomous mobile robot, 220 kg payload</t>
        </is>
      </c>
      <c r="F61" s="1" t="n">
        <v>82</v>
      </c>
      <c r="G61" s="1" t="inlineStr">
        <is>
          <t>Closed lost</t>
        </is>
      </c>
      <c r="H61" s="1" t="n">
        <v>0</v>
      </c>
      <c r="I61" s="1" t="inlineStr">
        <is>
          <t>2027-02</t>
        </is>
      </c>
      <c r="J61" s="1" t="n">
        <v>803004.74</v>
      </c>
      <c r="K61" s="1">
        <f>ROUND(J61*H61,2)</f>
        <v/>
      </c>
      <c r="L61" s="1" t="inlineStr">
        <is>
          <t>L. Ossipova</t>
        </is>
      </c>
      <c r="M61" s="1" t="inlineStr">
        <is>
          <t>Send revised proposal</t>
        </is>
      </c>
    </row>
    <row r="62">
      <c r="A62" s="1" t="inlineStr">
        <is>
          <t>OPP-2026-0061</t>
        </is>
      </c>
      <c r="B62" s="1" t="inlineStr">
        <is>
          <t>Ironvale Grocery Group</t>
        </is>
      </c>
      <c r="C62" s="1" t="inlineStr">
        <is>
          <t>Grocery retail</t>
        </is>
      </c>
      <c r="D62" s="1" t="inlineStr">
        <is>
          <t>US-Midwest</t>
        </is>
      </c>
      <c r="E62" s="1" t="inlineStr">
        <is>
          <t>Premium support and spares pool</t>
        </is>
      </c>
      <c r="F62" s="1" t="n">
        <v>81</v>
      </c>
      <c r="G62" s="1" t="inlineStr">
        <is>
          <t>Qualification</t>
        </is>
      </c>
      <c r="H62" s="1" t="n">
        <v>0.1</v>
      </c>
      <c r="I62" s="1" t="inlineStr">
        <is>
          <t>2026-12</t>
        </is>
      </c>
      <c r="J62" s="1" t="n">
        <v>1608907.42</v>
      </c>
      <c r="K62" s="1">
        <f>ROUND(J62*H62,2)</f>
        <v/>
      </c>
      <c r="L62" s="1" t="inlineStr">
        <is>
          <t>L. Ossipova</t>
        </is>
      </c>
      <c r="M62" s="1" t="inlineStr">
        <is>
          <t>Await legal turn</t>
        </is>
      </c>
    </row>
    <row r="63">
      <c r="A63" s="1" t="inlineStr">
        <is>
          <t>OPP-2026-0062</t>
        </is>
      </c>
      <c r="B63" s="1" t="inlineStr">
        <is>
          <t>Harborline Systems</t>
        </is>
      </c>
      <c r="C63" s="1" t="inlineStr">
        <is>
          <t>Marine logistics</t>
        </is>
      </c>
      <c r="D63" s="1" t="inlineStr">
        <is>
          <t>US-Northeast</t>
        </is>
      </c>
      <c r="E63" s="1" t="inlineStr">
        <is>
          <t>Fleet orchestration expansion pack, per robot</t>
        </is>
      </c>
      <c r="F63" s="1" t="n">
        <v>8</v>
      </c>
      <c r="G63" s="1" t="inlineStr">
        <is>
          <t>Qualification</t>
        </is>
      </c>
      <c r="H63" s="1" t="n">
        <v>0.1</v>
      </c>
      <c r="I63" s="1" t="inlineStr">
        <is>
          <t>2027-05</t>
        </is>
      </c>
      <c r="J63" s="1" t="n">
        <v>947756.21</v>
      </c>
      <c r="K63" s="1">
        <f>ROUND(J63*H63,2)</f>
        <v/>
      </c>
      <c r="L63" s="1" t="inlineStr">
        <is>
          <t>L. Ossipova</t>
        </is>
      </c>
      <c r="M63" s="1" t="inlineStr">
        <is>
          <t>Schedule site survey</t>
        </is>
      </c>
    </row>
    <row r="64">
      <c r="A64" s="1" t="inlineStr">
        <is>
          <t>OPP-2026-0063</t>
        </is>
      </c>
      <c r="B64" s="1" t="inlineStr">
        <is>
          <t>Elmsworth Publishing</t>
        </is>
      </c>
      <c r="C64" s="1" t="inlineStr">
        <is>
          <t>Print and media</t>
        </is>
      </c>
      <c r="D64" s="1" t="inlineStr">
        <is>
          <t>US-Northeast</t>
        </is>
      </c>
      <c r="E64" s="1" t="inlineStr">
        <is>
          <t>Warehouse management system connector</t>
        </is>
      </c>
      <c r="F64" s="1" t="n">
        <v>74</v>
      </c>
      <c r="G64" s="1" t="inlineStr">
        <is>
          <t>Verbal commitment</t>
        </is>
      </c>
      <c r="H64" s="1" t="n">
        <v>0.8</v>
      </c>
      <c r="I64" s="1" t="inlineStr">
        <is>
          <t>2026-10</t>
        </is>
      </c>
      <c r="J64" s="1" t="n">
        <v>2438400.68</v>
      </c>
      <c r="K64" s="1">
        <f>ROUND(J64*H64,2)</f>
        <v/>
      </c>
      <c r="L64" s="1" t="inlineStr">
        <is>
          <t>C. Bailey</t>
        </is>
      </c>
      <c r="M64" s="1" t="inlineStr">
        <is>
          <t>Introduce reference customer</t>
        </is>
      </c>
    </row>
    <row r="65">
      <c r="A65" s="1" t="inlineStr">
        <is>
          <t>OPP-2026-0064</t>
        </is>
      </c>
      <c r="B65" s="1" t="inlineStr">
        <is>
          <t>Elmsworth Publishing</t>
        </is>
      </c>
      <c r="C65" s="1" t="inlineStr">
        <is>
          <t>Print and media</t>
        </is>
      </c>
      <c r="D65" s="1" t="inlineStr">
        <is>
          <t>US-Northeast</t>
        </is>
      </c>
      <c r="E65" s="1" t="inlineStr">
        <is>
          <t>Opportunity charging dock</t>
        </is>
      </c>
      <c r="F65" s="1" t="n">
        <v>24</v>
      </c>
      <c r="G65" s="1" t="inlineStr">
        <is>
          <t>Discovery</t>
        </is>
      </c>
      <c r="H65" s="1" t="n">
        <v>0.2</v>
      </c>
      <c r="I65" s="1" t="inlineStr">
        <is>
          <t>2026-12</t>
        </is>
      </c>
      <c r="J65" s="1" t="n">
        <v>3560285.1</v>
      </c>
      <c r="K65" s="1">
        <f>ROUND(J65*H65,2)</f>
        <v/>
      </c>
      <c r="L65" s="1" t="inlineStr">
        <is>
          <t>C. Bailey</t>
        </is>
      </c>
      <c r="M65" s="1" t="inlineStr">
        <is>
          <t>Introduce reference customer</t>
        </is>
      </c>
    </row>
    <row r="66">
      <c r="A66" s="1" t="inlineStr">
        <is>
          <t>OPP-2026-0065</t>
        </is>
      </c>
      <c r="B66" s="1" t="inlineStr">
        <is>
          <t>Tamarack Electronics</t>
        </is>
      </c>
      <c r="C66" s="1" t="inlineStr">
        <is>
          <t>Consumer electronics</t>
        </is>
      </c>
      <c r="D66" s="1" t="inlineStr">
        <is>
          <t>US-Northwest</t>
        </is>
      </c>
      <c r="E66" s="1" t="inlineStr">
        <is>
          <t>Warehouse management system connector</t>
        </is>
      </c>
      <c r="F66" s="1" t="n">
        <v>83</v>
      </c>
      <c r="G66" s="1" t="inlineStr">
        <is>
          <t>Qualification</t>
        </is>
      </c>
      <c r="H66" s="1" t="n">
        <v>0.1</v>
      </c>
      <c r="I66" s="1" t="inlineStr">
        <is>
          <t>2027-06</t>
        </is>
      </c>
      <c r="J66" s="1" t="n">
        <v>2130695.22</v>
      </c>
      <c r="K66" s="1">
        <f>ROUND(J66*H66,2)</f>
        <v/>
      </c>
      <c r="L66" s="1" t="inlineStr">
        <is>
          <t>C. Bailey</t>
        </is>
      </c>
      <c r="M66" s="1" t="inlineStr">
        <is>
          <t>Await legal turn</t>
        </is>
      </c>
    </row>
    <row r="67">
      <c r="A67" s="1" t="inlineStr">
        <is>
          <t>OPP-2026-0066</t>
        </is>
      </c>
      <c r="B67" s="1" t="inlineStr">
        <is>
          <t>Asterion Logistics</t>
        </is>
      </c>
      <c r="C67" s="1" t="inlineStr">
        <is>
          <t>Third-party logistics</t>
        </is>
      </c>
      <c r="D67" s="1" t="inlineStr">
        <is>
          <t>US-West</t>
        </is>
      </c>
      <c r="E67" s="1" t="inlineStr">
        <is>
          <t>Autonomous mobile robot, 450 kg payload</t>
        </is>
      </c>
      <c r="F67" s="1" t="n">
        <v>83</v>
      </c>
      <c r="G67" s="1" t="inlineStr">
        <is>
          <t>Closed won</t>
        </is>
      </c>
      <c r="H67" s="1" t="n">
        <v>1</v>
      </c>
      <c r="I67" s="1" t="inlineStr">
        <is>
          <t>2027-06</t>
        </is>
      </c>
      <c r="J67" s="1" t="n">
        <v>560170.72</v>
      </c>
      <c r="K67" s="1">
        <f>ROUND(J67*H67,2)</f>
        <v/>
      </c>
      <c r="L67" s="1" t="inlineStr">
        <is>
          <t>T. Ferreira</t>
        </is>
      </c>
      <c r="M67" s="1" t="inlineStr">
        <is>
          <t>Close out or disqualify</t>
        </is>
      </c>
    </row>
    <row r="68">
      <c r="A68" s="1" t="inlineStr">
        <is>
          <t>OPP-2026-0067</t>
        </is>
      </c>
      <c r="B68" s="1" t="inlineStr">
        <is>
          <t>Keystone Paper &amp; Pack</t>
        </is>
      </c>
      <c r="C68" s="1" t="inlineStr">
        <is>
          <t>Packaging</t>
        </is>
      </c>
      <c r="D68" s="1" t="inlineStr">
        <is>
          <t>US-Northeast</t>
        </is>
      </c>
      <c r="E68" s="1" t="inlineStr">
        <is>
          <t>Warehouse management system connector</t>
        </is>
      </c>
      <c r="F68" s="1" t="n">
        <v>53</v>
      </c>
      <c r="G68" s="1" t="inlineStr">
        <is>
          <t>Verbal commitment</t>
        </is>
      </c>
      <c r="H68" s="1" t="n">
        <v>0.8</v>
      </c>
      <c r="I68" s="1" t="inlineStr">
        <is>
          <t>2027-05</t>
        </is>
      </c>
      <c r="J68" s="1" t="n">
        <v>1312459.67</v>
      </c>
      <c r="K68" s="1">
        <f>ROUND(J68*H68,2)</f>
        <v/>
      </c>
      <c r="L68" s="1" t="inlineStr">
        <is>
          <t>C. Bailey</t>
        </is>
      </c>
      <c r="M68" s="1" t="inlineStr">
        <is>
          <t>Send revised proposal</t>
        </is>
      </c>
    </row>
    <row r="69">
      <c r="A69" s="1" t="inlineStr">
        <is>
          <t>OPP-2026-0068</t>
        </is>
      </c>
      <c r="B69" s="1" t="inlineStr">
        <is>
          <t>Dorsey Grain Cooperative</t>
        </is>
      </c>
      <c r="C69" s="1" t="inlineStr">
        <is>
          <t>Agriculture</t>
        </is>
      </c>
      <c r="D69" s="1" t="inlineStr">
        <is>
          <t>US-Plains</t>
        </is>
      </c>
      <c r="E69" s="1" t="inlineStr">
        <is>
          <t>Remote operations desk coverage</t>
        </is>
      </c>
      <c r="F69" s="1" t="n">
        <v>95</v>
      </c>
      <c r="G69" s="1" t="inlineStr">
        <is>
          <t>Discovery</t>
        </is>
      </c>
      <c r="H69" s="1" t="n">
        <v>0.2</v>
      </c>
      <c r="I69" s="1" t="inlineStr">
        <is>
          <t>2027-04</t>
        </is>
      </c>
      <c r="J69" s="1" t="n">
        <v>1571470.56</v>
      </c>
      <c r="K69" s="1">
        <f>ROUND(J69*H69,2)</f>
        <v/>
      </c>
      <c r="L69" s="1" t="inlineStr">
        <is>
          <t>T. Ferreira</t>
        </is>
      </c>
      <c r="M69" s="1" t="inlineStr">
        <is>
          <t>Confirm capital approval</t>
        </is>
      </c>
    </row>
    <row r="70">
      <c r="A70" s="1" t="inlineStr">
        <is>
          <t>OPP-2026-0069</t>
        </is>
      </c>
      <c r="B70" s="1" t="inlineStr">
        <is>
          <t>Bellweather Auto Group</t>
        </is>
      </c>
      <c r="C70" s="1" t="inlineStr">
        <is>
          <t>Automotive retail</t>
        </is>
      </c>
      <c r="D70" s="1" t="inlineStr">
        <is>
          <t>US-Central</t>
        </is>
      </c>
      <c r="E70" s="1" t="inlineStr">
        <is>
          <t>Opportunity charging dock</t>
        </is>
      </c>
      <c r="F70" s="1" t="n">
        <v>88</v>
      </c>
      <c r="G70" s="1" t="inlineStr">
        <is>
          <t>Legal review</t>
        </is>
      </c>
      <c r="H70" s="1" t="n">
        <v>0.6</v>
      </c>
      <c r="I70" s="1" t="inlineStr">
        <is>
          <t>2027-01</t>
        </is>
      </c>
      <c r="J70" s="1" t="n">
        <v>2597951.19</v>
      </c>
      <c r="K70" s="1">
        <f>ROUND(J70*H70,2)</f>
        <v/>
      </c>
      <c r="L70" s="1" t="inlineStr">
        <is>
          <t>Y. Sandoval</t>
        </is>
      </c>
      <c r="M70" s="1" t="inlineStr">
        <is>
          <t>Close out or disqualify</t>
        </is>
      </c>
    </row>
    <row r="71">
      <c r="A71" s="1" t="inlineStr">
        <is>
          <t>OPP-2026-0070</t>
        </is>
      </c>
      <c r="B71" s="1" t="inlineStr">
        <is>
          <t>Fathom Mobility</t>
        </is>
      </c>
      <c r="C71" s="1" t="inlineStr">
        <is>
          <t>Automotive parts</t>
        </is>
      </c>
      <c r="D71" s="1" t="inlineStr">
        <is>
          <t>US-Southeast</t>
        </is>
      </c>
      <c r="E71" s="1" t="inlineStr">
        <is>
          <t>Remote operations desk coverage</t>
        </is>
      </c>
      <c r="F71" s="1" t="n">
        <v>19</v>
      </c>
      <c r="G71" s="1" t="inlineStr">
        <is>
          <t>Site survey</t>
        </is>
      </c>
      <c r="H71" s="1" t="n">
        <v>0.3</v>
      </c>
      <c r="I71" s="1" t="inlineStr">
        <is>
          <t>2026-10</t>
        </is>
      </c>
      <c r="J71" s="1" t="n">
        <v>3599853.17</v>
      </c>
      <c r="K71" s="1">
        <f>ROUND(J71*H71,2)</f>
        <v/>
      </c>
      <c r="L71" s="1" t="inlineStr">
        <is>
          <t>L. Ossipova</t>
        </is>
      </c>
      <c r="M71" s="1" t="inlineStr">
        <is>
          <t>Schedule site survey</t>
        </is>
      </c>
    </row>
    <row r="72">
      <c r="A72" s="1" t="inlineStr">
        <is>
          <t>OPP-2026-0071</t>
        </is>
      </c>
      <c r="B72" s="1" t="inlineStr">
        <is>
          <t>Dorsey Grain Cooperative</t>
        </is>
      </c>
      <c r="C72" s="1" t="inlineStr">
        <is>
          <t>Agriculture</t>
        </is>
      </c>
      <c r="D72" s="1" t="inlineStr">
        <is>
          <t>US-Plains</t>
        </is>
      </c>
      <c r="E72" s="1" t="inlineStr">
        <is>
          <t>Autonomous mobile robot, 220 kg payload</t>
        </is>
      </c>
      <c r="F72" s="1" t="n">
        <v>23</v>
      </c>
      <c r="G72" s="1" t="inlineStr">
        <is>
          <t>Verbal commitment</t>
        </is>
      </c>
      <c r="H72" s="1" t="n">
        <v>0.8</v>
      </c>
      <c r="I72" s="1" t="inlineStr">
        <is>
          <t>2027-03</t>
        </is>
      </c>
      <c r="J72" s="1" t="n">
        <v>2323724.68</v>
      </c>
      <c r="K72" s="1">
        <f>ROUND(J72*H72,2)</f>
        <v/>
      </c>
      <c r="L72" s="1" t="inlineStr">
        <is>
          <t>C. Bailey</t>
        </is>
      </c>
      <c r="M72" s="1" t="inlineStr">
        <is>
          <t>Close out or disqualify</t>
        </is>
      </c>
    </row>
    <row r="73">
      <c r="A73" s="1" t="inlineStr">
        <is>
          <t>OPP-2026-0072</t>
        </is>
      </c>
      <c r="B73" s="1" t="inlineStr">
        <is>
          <t>Larkspur Apparel</t>
        </is>
      </c>
      <c r="C73" s="1" t="inlineStr">
        <is>
          <t>Apparel retail</t>
        </is>
      </c>
      <c r="D73" s="1" t="inlineStr">
        <is>
          <t>US-Southeast</t>
        </is>
      </c>
      <c r="E73" s="1" t="inlineStr">
        <is>
          <t>Autonomous mobile robot, 220 kg payload</t>
        </is>
      </c>
      <c r="F73" s="1" t="n">
        <v>92</v>
      </c>
      <c r="G73" s="1" t="inlineStr">
        <is>
          <t>Proposal</t>
        </is>
      </c>
      <c r="H73" s="1" t="n">
        <v>0.45</v>
      </c>
      <c r="I73" s="1" t="inlineStr">
        <is>
          <t>2026-10</t>
        </is>
      </c>
      <c r="J73" s="1" t="n">
        <v>2906684.68</v>
      </c>
      <c r="K73" s="1">
        <f>ROUND(J73*H73,2)</f>
        <v/>
      </c>
      <c r="L73" s="1" t="inlineStr">
        <is>
          <t>Y. Sandoval</t>
        </is>
      </c>
      <c r="M73" s="1" t="inlineStr">
        <is>
          <t>Confirm capital approval</t>
        </is>
      </c>
    </row>
    <row r="74">
      <c r="A74" s="1" t="inlineStr">
        <is>
          <t>OPP-2026-0073</t>
        </is>
      </c>
      <c r="B74" s="1" t="inlineStr">
        <is>
          <t>Bellweather Auto Group</t>
        </is>
      </c>
      <c r="C74" s="1" t="inlineStr">
        <is>
          <t>Automotive retail</t>
        </is>
      </c>
      <c r="D74" s="1" t="inlineStr">
        <is>
          <t>US-Central</t>
        </is>
      </c>
      <c r="E74" s="1" t="inlineStr">
        <is>
          <t>Premium support and spares pool</t>
        </is>
      </c>
      <c r="F74" s="1" t="n">
        <v>44</v>
      </c>
      <c r="G74" s="1" t="inlineStr">
        <is>
          <t>Proposal</t>
        </is>
      </c>
      <c r="H74" s="1" t="n">
        <v>0.45</v>
      </c>
      <c r="I74" s="1" t="inlineStr">
        <is>
          <t>2027-01</t>
        </is>
      </c>
      <c r="J74" s="1" t="n">
        <v>2228162.16</v>
      </c>
      <c r="K74" s="1">
        <f>ROUND(J74*H74,2)</f>
        <v/>
      </c>
      <c r="L74" s="1" t="inlineStr">
        <is>
          <t>T. Ferreira</t>
        </is>
      </c>
      <c r="M74" s="1" t="inlineStr">
        <is>
          <t>Schedule site survey</t>
        </is>
      </c>
    </row>
    <row r="75">
      <c r="A75" s="1" t="inlineStr">
        <is>
          <t>OPP-2026-0074</t>
        </is>
      </c>
      <c r="B75" s="1" t="inlineStr">
        <is>
          <t>Dorsey Grain Cooperative</t>
        </is>
      </c>
      <c r="C75" s="1" t="inlineStr">
        <is>
          <t>Agriculture</t>
        </is>
      </c>
      <c r="D75" s="1" t="inlineStr">
        <is>
          <t>US-Plains</t>
        </is>
      </c>
      <c r="E75" s="1" t="inlineStr">
        <is>
          <t>Autonomous mobile robot, 450 kg payload</t>
        </is>
      </c>
      <c r="F75" s="1" t="n">
        <v>20</v>
      </c>
      <c r="G75" s="1" t="inlineStr">
        <is>
          <t>Site survey</t>
        </is>
      </c>
      <c r="H75" s="1" t="n">
        <v>0.3</v>
      </c>
      <c r="I75" s="1" t="inlineStr">
        <is>
          <t>2026-10</t>
        </is>
      </c>
      <c r="J75" s="1" t="n">
        <v>3314339.18</v>
      </c>
      <c r="K75" s="1">
        <f>ROUND(J75*H75,2)</f>
        <v/>
      </c>
      <c r="L75" s="1" t="inlineStr">
        <is>
          <t>L. Ossipova</t>
        </is>
      </c>
      <c r="M75" s="1" t="inlineStr">
        <is>
          <t>Close out or disqualify</t>
        </is>
      </c>
    </row>
    <row r="76">
      <c r="A76" s="1" t="inlineStr">
        <is>
          <t>OPP-2026-0075</t>
        </is>
      </c>
      <c r="B76" s="1" t="inlineStr">
        <is>
          <t>Crestline Fulfillment</t>
        </is>
      </c>
      <c r="C76" s="1" t="inlineStr">
        <is>
          <t>E-commerce fulfillment</t>
        </is>
      </c>
      <c r="D76" s="1" t="inlineStr">
        <is>
          <t>US-West</t>
        </is>
      </c>
      <c r="E76" s="1" t="inlineStr">
        <is>
          <t>Safety scanner retrofit kit</t>
        </is>
      </c>
      <c r="F76" s="1" t="n">
        <v>34</v>
      </c>
      <c r="G76" s="1" t="inlineStr">
        <is>
          <t>Closed lost</t>
        </is>
      </c>
      <c r="H76" s="1" t="n">
        <v>0</v>
      </c>
      <c r="I76" s="1" t="inlineStr">
        <is>
          <t>2027-06</t>
        </is>
      </c>
      <c r="J76" s="1" t="n">
        <v>903113.78</v>
      </c>
      <c r="K76" s="1">
        <f>ROUND(J76*H76,2)</f>
        <v/>
      </c>
      <c r="L76" s="1" t="inlineStr">
        <is>
          <t>Y. Sandoval</t>
        </is>
      </c>
      <c r="M76" s="1" t="inlineStr">
        <is>
          <t>Close out or disqualify</t>
        </is>
      </c>
    </row>
    <row r="77">
      <c r="A77" s="1" t="inlineStr">
        <is>
          <t>OPP-2026-0076</t>
        </is>
      </c>
      <c r="B77" s="1" t="inlineStr">
        <is>
          <t>Blue Mesa Components</t>
        </is>
      </c>
      <c r="C77" s="1" t="inlineStr">
        <is>
          <t>Industrial distribution</t>
        </is>
      </c>
      <c r="D77" s="1" t="inlineStr">
        <is>
          <t>US-Southwest</t>
        </is>
      </c>
      <c r="E77" s="1" t="inlineStr">
        <is>
          <t>Telemetry retention tier, extended</t>
        </is>
      </c>
      <c r="F77" s="1" t="n">
        <v>12</v>
      </c>
      <c r="G77" s="1" t="inlineStr">
        <is>
          <t>Closed lost</t>
        </is>
      </c>
      <c r="H77" s="1" t="n">
        <v>0</v>
      </c>
      <c r="I77" s="1" t="inlineStr">
        <is>
          <t>2027-07</t>
        </is>
      </c>
      <c r="J77" s="1" t="n">
        <v>321809.7</v>
      </c>
      <c r="K77" s="1">
        <f>ROUND(J77*H77,2)</f>
        <v/>
      </c>
      <c r="L77" s="1" t="inlineStr">
        <is>
          <t>Y. Sandoval</t>
        </is>
      </c>
      <c r="M77" s="1" t="inlineStr">
        <is>
          <t>Send revised proposal</t>
        </is>
      </c>
    </row>
    <row r="78">
      <c r="A78" s="1" t="inlineStr">
        <is>
          <t>OPP-2026-0077</t>
        </is>
      </c>
      <c r="B78" s="1" t="inlineStr">
        <is>
          <t>Larkspur Apparel</t>
        </is>
      </c>
      <c r="C78" s="1" t="inlineStr">
        <is>
          <t>Apparel retail</t>
        </is>
      </c>
      <c r="D78" s="1" t="inlineStr">
        <is>
          <t>US-Southeast</t>
        </is>
      </c>
      <c r="E78" s="1" t="inlineStr">
        <is>
          <t>Operator training programme</t>
        </is>
      </c>
      <c r="F78" s="1" t="n">
        <v>48</v>
      </c>
      <c r="G78" s="1" t="inlineStr">
        <is>
          <t>Discovery</t>
        </is>
      </c>
      <c r="H78" s="1" t="n">
        <v>0.2</v>
      </c>
      <c r="I78" s="1" t="inlineStr">
        <is>
          <t>2026-12</t>
        </is>
      </c>
      <c r="J78" s="1" t="n">
        <v>3042627.62</v>
      </c>
      <c r="K78" s="1">
        <f>ROUND(J78*H78,2)</f>
        <v/>
      </c>
      <c r="L78" s="1" t="inlineStr">
        <is>
          <t>L. Ossipova</t>
        </is>
      </c>
      <c r="M78" s="1" t="inlineStr">
        <is>
          <t>Schedule site survey</t>
        </is>
      </c>
    </row>
    <row r="79">
      <c r="A79" s="1" t="inlineStr">
        <is>
          <t>OPP-2026-0078</t>
        </is>
      </c>
      <c r="B79" s="1" t="inlineStr">
        <is>
          <t>Yarrow Home Goods</t>
        </is>
      </c>
      <c r="C79" s="1" t="inlineStr">
        <is>
          <t>Home goods retail</t>
        </is>
      </c>
      <c r="D79" s="1" t="inlineStr">
        <is>
          <t>US-Southeast</t>
        </is>
      </c>
      <c r="E79" s="1" t="inlineStr">
        <is>
          <t>Autonomous mobile robot, 450 kg payload</t>
        </is>
      </c>
      <c r="F79" s="1" t="n">
        <v>87</v>
      </c>
      <c r="G79" s="1" t="inlineStr">
        <is>
          <t>Closed won</t>
        </is>
      </c>
      <c r="H79" s="1" t="n">
        <v>1</v>
      </c>
      <c r="I79" s="1" t="inlineStr">
        <is>
          <t>2026-10</t>
        </is>
      </c>
      <c r="J79" s="1" t="n">
        <v>716218</v>
      </c>
      <c r="K79" s="1">
        <f>ROUND(J79*H79,2)</f>
        <v/>
      </c>
      <c r="L79" s="1" t="inlineStr">
        <is>
          <t>T. Ferreira</t>
        </is>
      </c>
      <c r="M79" s="1" t="inlineStr">
        <is>
          <t>Close out or disqualify</t>
        </is>
      </c>
    </row>
    <row r="80">
      <c r="A80" s="1" t="inlineStr">
        <is>
          <t>OPP-2026-0079</t>
        </is>
      </c>
      <c r="B80" s="1" t="inlineStr">
        <is>
          <t>Alderbrook Textiles</t>
        </is>
      </c>
      <c r="C80" s="1" t="inlineStr">
        <is>
          <t>Textiles</t>
        </is>
      </c>
      <c r="D80" s="1" t="inlineStr">
        <is>
          <t>US-Southeast</t>
        </is>
      </c>
      <c r="E80" s="1" t="inlineStr">
        <is>
          <t>Operator training programme</t>
        </is>
      </c>
      <c r="F80" s="1" t="n">
        <v>46</v>
      </c>
      <c r="G80" s="1" t="inlineStr">
        <is>
          <t>Verbal commitment</t>
        </is>
      </c>
      <c r="H80" s="1" t="n">
        <v>0.8</v>
      </c>
      <c r="I80" s="1" t="inlineStr">
        <is>
          <t>2026-12</t>
        </is>
      </c>
      <c r="J80" s="1" t="n">
        <v>3840678.18</v>
      </c>
      <c r="K80" s="1">
        <f>ROUND(J80*H80,2)</f>
        <v/>
      </c>
      <c r="L80" s="1" t="inlineStr">
        <is>
          <t>Y. Sandoval</t>
        </is>
      </c>
      <c r="M80" s="1" t="inlineStr">
        <is>
          <t>Schedule site survey</t>
        </is>
      </c>
    </row>
    <row r="81">
      <c r="A81" s="1" t="inlineStr">
        <is>
          <t>OPP-2026-0080</t>
        </is>
      </c>
      <c r="B81" s="1" t="inlineStr">
        <is>
          <t>Bellweather Auto Group</t>
        </is>
      </c>
      <c r="C81" s="1" t="inlineStr">
        <is>
          <t>Automotive retail</t>
        </is>
      </c>
      <c r="D81" s="1" t="inlineStr">
        <is>
          <t>US-Central</t>
        </is>
      </c>
      <c r="E81" s="1" t="inlineStr">
        <is>
          <t>Fleet orchestration platform, annual site licence</t>
        </is>
      </c>
      <c r="F81" s="1" t="n">
        <v>31</v>
      </c>
      <c r="G81" s="1" t="inlineStr">
        <is>
          <t>Qualification</t>
        </is>
      </c>
      <c r="H81" s="1" t="n">
        <v>0.1</v>
      </c>
      <c r="I81" s="1" t="inlineStr">
        <is>
          <t>2027-06</t>
        </is>
      </c>
      <c r="J81" s="1" t="n">
        <v>1708425.06</v>
      </c>
      <c r="K81" s="1">
        <f>ROUND(J81*H81,2)</f>
        <v/>
      </c>
      <c r="L81" s="1" t="inlineStr">
        <is>
          <t>C. Bailey</t>
        </is>
      </c>
      <c r="M81" s="1" t="inlineStr">
        <is>
          <t>Introduce reference customer</t>
        </is>
      </c>
    </row>
    <row r="82">
      <c r="A82" s="1" t="inlineStr">
        <is>
          <t>OPP-2026-0081</t>
        </is>
      </c>
      <c r="B82" s="1" t="inlineStr">
        <is>
          <t>Yarrow Home Goods</t>
        </is>
      </c>
      <c r="C82" s="1" t="inlineStr">
        <is>
          <t>Home goods retail</t>
        </is>
      </c>
      <c r="D82" s="1" t="inlineStr">
        <is>
          <t>US-Southeast</t>
        </is>
      </c>
      <c r="E82" s="1" t="inlineStr">
        <is>
          <t>Premium support and spares pool</t>
        </is>
      </c>
      <c r="F82" s="1" t="n">
        <v>85</v>
      </c>
      <c r="G82" s="1" t="inlineStr">
        <is>
          <t>Legal review</t>
        </is>
      </c>
      <c r="H82" s="1" t="n">
        <v>0.6</v>
      </c>
      <c r="I82" s="1" t="inlineStr">
        <is>
          <t>2027-07</t>
        </is>
      </c>
      <c r="J82" s="1" t="n">
        <v>1706621.59</v>
      </c>
      <c r="K82" s="1">
        <f>ROUND(J82*H82,2)</f>
        <v/>
      </c>
      <c r="L82" s="1" t="inlineStr">
        <is>
          <t>C. Bailey</t>
        </is>
      </c>
      <c r="M82" s="1" t="inlineStr">
        <is>
          <t>Await legal turn</t>
        </is>
      </c>
    </row>
    <row r="83">
      <c r="A83" s="1" t="inlineStr">
        <is>
          <t>OPP-2026-0082</t>
        </is>
      </c>
      <c r="B83" s="1" t="inlineStr">
        <is>
          <t>Granite Peak Distribution</t>
        </is>
      </c>
      <c r="C83" s="1" t="inlineStr">
        <is>
          <t>Building products</t>
        </is>
      </c>
      <c r="D83" s="1" t="inlineStr">
        <is>
          <t>US-Mountain</t>
        </is>
      </c>
      <c r="E83" s="1" t="inlineStr">
        <is>
          <t>Safety scanner retrofit kit</t>
        </is>
      </c>
      <c r="F83" s="1" t="n">
        <v>11</v>
      </c>
      <c r="G83" s="1" t="inlineStr">
        <is>
          <t>Verbal commitment</t>
        </is>
      </c>
      <c r="H83" s="1" t="n">
        <v>0.8</v>
      </c>
      <c r="I83" s="1" t="inlineStr">
        <is>
          <t>2026-11</t>
        </is>
      </c>
      <c r="J83" s="1" t="n">
        <v>3148466.74</v>
      </c>
      <c r="K83" s="1">
        <f>ROUND(J83*H83,2)</f>
        <v/>
      </c>
      <c r="L83" s="1" t="inlineStr">
        <is>
          <t>Y. Sandoval</t>
        </is>
      </c>
      <c r="M83" s="1" t="inlineStr">
        <is>
          <t>Confirm capital approval</t>
        </is>
      </c>
    </row>
    <row r="84">
      <c r="A84" s="1" t="inlineStr">
        <is>
          <t>OPP-2026-0083</t>
        </is>
      </c>
      <c r="B84" s="1" t="inlineStr">
        <is>
          <t>Harborline Systems</t>
        </is>
      </c>
      <c r="C84" s="1" t="inlineStr">
        <is>
          <t>Marine logistics</t>
        </is>
      </c>
      <c r="D84" s="1" t="inlineStr">
        <is>
          <t>US-Northeast</t>
        </is>
      </c>
      <c r="E84" s="1" t="inlineStr">
        <is>
          <t>Autonomous mobile robot, 450 kg payload</t>
        </is>
      </c>
      <c r="F84" s="1" t="n">
        <v>49</v>
      </c>
      <c r="G84" s="1" t="inlineStr">
        <is>
          <t>Closed won</t>
        </is>
      </c>
      <c r="H84" s="1" t="n">
        <v>1</v>
      </c>
      <c r="I84" s="1" t="inlineStr">
        <is>
          <t>2027-05</t>
        </is>
      </c>
      <c r="J84" s="1" t="n">
        <v>2711159.87</v>
      </c>
      <c r="K84" s="1">
        <f>ROUND(J84*H84,2)</f>
        <v/>
      </c>
      <c r="L84" s="1" t="inlineStr">
        <is>
          <t>Y. Sandoval</t>
        </is>
      </c>
      <c r="M84" s="1" t="inlineStr">
        <is>
          <t>Confirm capital approval</t>
        </is>
      </c>
    </row>
    <row r="85">
      <c r="A85" s="1" t="inlineStr">
        <is>
          <t>OPP-2026-0084</t>
        </is>
      </c>
      <c r="B85" s="1" t="inlineStr">
        <is>
          <t>Bellweather Auto Group</t>
        </is>
      </c>
      <c r="C85" s="1" t="inlineStr">
        <is>
          <t>Automotive retail</t>
        </is>
      </c>
      <c r="D85" s="1" t="inlineStr">
        <is>
          <t>US-Central</t>
        </is>
      </c>
      <c r="E85" s="1" t="inlineStr">
        <is>
          <t>Autonomous mobile robot, 450 kg payload</t>
        </is>
      </c>
      <c r="F85" s="1" t="n">
        <v>15</v>
      </c>
      <c r="G85" s="1" t="inlineStr">
        <is>
          <t>Site survey</t>
        </is>
      </c>
      <c r="H85" s="1" t="n">
        <v>0.3</v>
      </c>
      <c r="I85" s="1" t="inlineStr">
        <is>
          <t>2026-10</t>
        </is>
      </c>
      <c r="J85" s="1" t="n">
        <v>558498.8199999999</v>
      </c>
      <c r="K85" s="1">
        <f>ROUND(J85*H85,2)</f>
        <v/>
      </c>
      <c r="L85" s="1" t="inlineStr">
        <is>
          <t>T. Ferreira</t>
        </is>
      </c>
      <c r="M85" s="1" t="inlineStr">
        <is>
          <t>Await legal turn</t>
        </is>
      </c>
    </row>
    <row r="86">
      <c r="A86" s="1" t="inlineStr">
        <is>
          <t>OPP-2026-0085</t>
        </is>
      </c>
      <c r="B86" s="1" t="inlineStr">
        <is>
          <t>Crestline Fulfillment</t>
        </is>
      </c>
      <c r="C86" s="1" t="inlineStr">
        <is>
          <t>E-commerce fulfillment</t>
        </is>
      </c>
      <c r="D86" s="1" t="inlineStr">
        <is>
          <t>US-West</t>
        </is>
      </c>
      <c r="E86" s="1" t="inlineStr">
        <is>
          <t>Remote operations desk coverage</t>
        </is>
      </c>
      <c r="F86" s="1" t="n">
        <v>39</v>
      </c>
      <c r="G86" s="1" t="inlineStr">
        <is>
          <t>Discovery</t>
        </is>
      </c>
      <c r="H86" s="1" t="n">
        <v>0.2</v>
      </c>
      <c r="I86" s="1" t="inlineStr">
        <is>
          <t>2027-01</t>
        </is>
      </c>
      <c r="J86" s="1" t="n">
        <v>3324498.64</v>
      </c>
      <c r="K86" s="1">
        <f>ROUND(J86*H86,2)</f>
        <v/>
      </c>
      <c r="L86" s="1" t="inlineStr">
        <is>
          <t>Y. Sandoval</t>
        </is>
      </c>
      <c r="M86" s="1" t="inlineStr">
        <is>
          <t>Await legal turn</t>
        </is>
      </c>
    </row>
    <row r="87">
      <c r="A87" s="1" t="inlineStr">
        <is>
          <t>OPP-2026-0086</t>
        </is>
      </c>
      <c r="B87" s="1" t="inlineStr">
        <is>
          <t>Dunbar Industrial</t>
        </is>
      </c>
      <c r="C87" s="1" t="inlineStr">
        <is>
          <t>Heavy manufacturing</t>
        </is>
      </c>
      <c r="D87" s="1" t="inlineStr">
        <is>
          <t>US-Midwest</t>
        </is>
      </c>
      <c r="E87" s="1" t="inlineStr">
        <is>
          <t>Remote operations desk coverage</t>
        </is>
      </c>
      <c r="F87" s="1" t="n">
        <v>5</v>
      </c>
      <c r="G87" s="1" t="inlineStr">
        <is>
          <t>Proposal</t>
        </is>
      </c>
      <c r="H87" s="1" t="n">
        <v>0.45</v>
      </c>
      <c r="I87" s="1" t="inlineStr">
        <is>
          <t>2027-05</t>
        </is>
      </c>
      <c r="J87" s="1" t="n">
        <v>2532221.6</v>
      </c>
      <c r="K87" s="1">
        <f>ROUND(J87*H87,2)</f>
        <v/>
      </c>
      <c r="L87" s="1" t="inlineStr">
        <is>
          <t>T. Ferreira</t>
        </is>
      </c>
      <c r="M87" s="1" t="inlineStr">
        <is>
          <t>Schedule site survey</t>
        </is>
      </c>
    </row>
    <row r="88">
      <c r="A88" s="1" t="inlineStr">
        <is>
          <t>OPP-2026-0087</t>
        </is>
      </c>
      <c r="B88" s="1" t="inlineStr">
        <is>
          <t>Northfield Beverage</t>
        </is>
      </c>
      <c r="C88" s="1" t="inlineStr">
        <is>
          <t>Beverage</t>
        </is>
      </c>
      <c r="D88" s="1" t="inlineStr">
        <is>
          <t>US-Midwest</t>
        </is>
      </c>
      <c r="E88" s="1" t="inlineStr">
        <is>
          <t>Operator training programme</t>
        </is>
      </c>
      <c r="F88" s="1" t="n">
        <v>77</v>
      </c>
      <c r="G88" s="1" t="inlineStr">
        <is>
          <t>Discovery</t>
        </is>
      </c>
      <c r="H88" s="1" t="n">
        <v>0.2</v>
      </c>
      <c r="I88" s="1" t="inlineStr">
        <is>
          <t>2026-12</t>
        </is>
      </c>
      <c r="J88" s="1" t="n">
        <v>261282.96</v>
      </c>
      <c r="K88" s="1">
        <f>ROUND(J88*H88,2)</f>
        <v/>
      </c>
      <c r="L88" s="1" t="inlineStr">
        <is>
          <t>C. Bailey</t>
        </is>
      </c>
      <c r="M88" s="1" t="inlineStr">
        <is>
          <t>Send revised proposal</t>
        </is>
      </c>
    </row>
    <row r="89">
      <c r="A89" s="1" t="inlineStr">
        <is>
          <t>OPP-2026-0088</t>
        </is>
      </c>
      <c r="B89" s="1" t="inlineStr">
        <is>
          <t>Pioneer Freight Union</t>
        </is>
      </c>
      <c r="C89" s="1" t="inlineStr">
        <is>
          <t>Freight brokerage</t>
        </is>
      </c>
      <c r="D89" s="1" t="inlineStr">
        <is>
          <t>US-Central</t>
        </is>
      </c>
      <c r="E89" s="1" t="inlineStr">
        <is>
          <t>Opportunity charging dock</t>
        </is>
      </c>
      <c r="F89" s="1" t="n">
        <v>80</v>
      </c>
      <c r="G89" s="1" t="inlineStr">
        <is>
          <t>Verbal commitment</t>
        </is>
      </c>
      <c r="H89" s="1" t="n">
        <v>0.8</v>
      </c>
      <c r="I89" s="1" t="inlineStr">
        <is>
          <t>2027-02</t>
        </is>
      </c>
      <c r="J89" s="1" t="n">
        <v>2609023.14</v>
      </c>
      <c r="K89" s="1">
        <f>ROUND(J89*H89,2)</f>
        <v/>
      </c>
      <c r="L89" s="1" t="inlineStr">
        <is>
          <t>Y. Sandoval</t>
        </is>
      </c>
      <c r="M89" s="1" t="inlineStr">
        <is>
          <t>Confirm capital approval</t>
        </is>
      </c>
    </row>
    <row r="90">
      <c r="A90" s="1" t="inlineStr">
        <is>
          <t>OPP-2026-0089</t>
        </is>
      </c>
      <c r="B90" s="1" t="inlineStr">
        <is>
          <t>Keystone Paper &amp; Pack</t>
        </is>
      </c>
      <c r="C90" s="1" t="inlineStr">
        <is>
          <t>Packaging</t>
        </is>
      </c>
      <c r="D90" s="1" t="inlineStr">
        <is>
          <t>US-Northeast</t>
        </is>
      </c>
      <c r="E90" s="1" t="inlineStr">
        <is>
          <t>Remote operations desk coverage</t>
        </is>
      </c>
      <c r="F90" s="1" t="n">
        <v>21</v>
      </c>
      <c r="G90" s="1" t="inlineStr">
        <is>
          <t>Legal review</t>
        </is>
      </c>
      <c r="H90" s="1" t="n">
        <v>0.6</v>
      </c>
      <c r="I90" s="1" t="inlineStr">
        <is>
          <t>2027-03</t>
        </is>
      </c>
      <c r="J90" s="1" t="n">
        <v>3852217.3</v>
      </c>
      <c r="K90" s="1">
        <f>ROUND(J90*H90,2)</f>
        <v/>
      </c>
      <c r="L90" s="1" t="inlineStr">
        <is>
          <t>Y. Sandoval</t>
        </is>
      </c>
      <c r="M90" s="1" t="inlineStr">
        <is>
          <t>Confirm capital approval</t>
        </is>
      </c>
    </row>
    <row r="91">
      <c r="A91" s="1" t="inlineStr">
        <is>
          <t>OPP-2026-0090</t>
        </is>
      </c>
      <c r="B91" s="1" t="inlineStr">
        <is>
          <t>Westlake Chemical Depot</t>
        </is>
      </c>
      <c r="C91" s="1" t="inlineStr">
        <is>
          <t>Specialty chemicals</t>
        </is>
      </c>
      <c r="D91" s="1" t="inlineStr">
        <is>
          <t>US-Gulf</t>
        </is>
      </c>
      <c r="E91" s="1" t="inlineStr">
        <is>
          <t>Safety scanner retrofit kit</t>
        </is>
      </c>
      <c r="F91" s="1" t="n">
        <v>71</v>
      </c>
      <c r="G91" s="1" t="inlineStr">
        <is>
          <t>Closed won</t>
        </is>
      </c>
      <c r="H91" s="1" t="n">
        <v>1</v>
      </c>
      <c r="I91" s="1" t="inlineStr">
        <is>
          <t>2027-02</t>
        </is>
      </c>
      <c r="J91" s="1" t="n">
        <v>2741897.9</v>
      </c>
      <c r="K91" s="1">
        <f>ROUND(J91*H91,2)</f>
        <v/>
      </c>
      <c r="L91" s="1" t="inlineStr">
        <is>
          <t>T. Ferreira</t>
        </is>
      </c>
      <c r="M91" s="1" t="inlineStr">
        <is>
          <t>Await legal turn</t>
        </is>
      </c>
    </row>
    <row r="92">
      <c r="A92" s="1" t="inlineStr">
        <is>
          <t>OPP-2026-0091</t>
        </is>
      </c>
      <c r="B92" s="1" t="inlineStr">
        <is>
          <t>Asterion Logistics</t>
        </is>
      </c>
      <c r="C92" s="1" t="inlineStr">
        <is>
          <t>Third-party logistics</t>
        </is>
      </c>
      <c r="D92" s="1" t="inlineStr">
        <is>
          <t>US-West</t>
        </is>
      </c>
      <c r="E92" s="1" t="inlineStr">
        <is>
          <t>Autonomous mobile robot, 450 kg payload</t>
        </is>
      </c>
      <c r="F92" s="1" t="n">
        <v>16</v>
      </c>
      <c r="G92" s="1" t="inlineStr">
        <is>
          <t>Discovery</t>
        </is>
      </c>
      <c r="H92" s="1" t="n">
        <v>0.2</v>
      </c>
      <c r="I92" s="1" t="inlineStr">
        <is>
          <t>2027-05</t>
        </is>
      </c>
      <c r="J92" s="1" t="n">
        <v>2070798.49</v>
      </c>
      <c r="K92" s="1">
        <f>ROUND(J92*H92,2)</f>
        <v/>
      </c>
      <c r="L92" s="1" t="inlineStr">
        <is>
          <t>T. Ferreira</t>
        </is>
      </c>
      <c r="M92" s="1" t="inlineStr">
        <is>
          <t>Schedule site survey</t>
        </is>
      </c>
    </row>
    <row r="93">
      <c r="A93" s="1" t="inlineStr">
        <is>
          <t>OPP-2026-0092</t>
        </is>
      </c>
      <c r="B93" s="1" t="inlineStr">
        <is>
          <t>Redwood Optics</t>
        </is>
      </c>
      <c r="C93" s="1" t="inlineStr">
        <is>
          <t>Precision optics</t>
        </is>
      </c>
      <c r="D93" s="1" t="inlineStr">
        <is>
          <t>US-West</t>
        </is>
      </c>
      <c r="E93" s="1" t="inlineStr">
        <is>
          <t>Fleet orchestration platform, annual site licence</t>
        </is>
      </c>
      <c r="F93" s="1" t="n">
        <v>19</v>
      </c>
      <c r="G93" s="1" t="inlineStr">
        <is>
          <t>Verbal commitment</t>
        </is>
      </c>
      <c r="H93" s="1" t="n">
        <v>0.8</v>
      </c>
      <c r="I93" s="1" t="inlineStr">
        <is>
          <t>2026-09</t>
        </is>
      </c>
      <c r="J93" s="1" t="n">
        <v>3064564.19</v>
      </c>
      <c r="K93" s="1">
        <f>ROUND(J93*H93,2)</f>
        <v/>
      </c>
      <c r="L93" s="1" t="inlineStr">
        <is>
          <t>Y. Sandoval</t>
        </is>
      </c>
      <c r="M93" s="1" t="inlineStr">
        <is>
          <t>Close out or disqualify</t>
        </is>
      </c>
    </row>
    <row r="94">
      <c r="A94" s="1" t="inlineStr">
        <is>
          <t>OPP-2026-0093</t>
        </is>
      </c>
      <c r="B94" s="1" t="inlineStr">
        <is>
          <t>Orchard Grove Foods</t>
        </is>
      </c>
      <c r="C94" s="1" t="inlineStr">
        <is>
          <t>Food processing</t>
        </is>
      </c>
      <c r="D94" s="1" t="inlineStr">
        <is>
          <t>US-West</t>
        </is>
      </c>
      <c r="E94" s="1" t="inlineStr">
        <is>
          <t>Telemetry retention tier, extended</t>
        </is>
      </c>
      <c r="F94" s="1" t="n">
        <v>66</v>
      </c>
      <c r="G94" s="1" t="inlineStr">
        <is>
          <t>Closed lost</t>
        </is>
      </c>
      <c r="H94" s="1" t="n">
        <v>0</v>
      </c>
      <c r="I94" s="1" t="inlineStr">
        <is>
          <t>2027-03</t>
        </is>
      </c>
      <c r="J94" s="1" t="n">
        <v>384800.05</v>
      </c>
      <c r="K94" s="1">
        <f>ROUND(J94*H94,2)</f>
        <v/>
      </c>
      <c r="L94" s="1" t="inlineStr">
        <is>
          <t>L. Ossipova</t>
        </is>
      </c>
      <c r="M94" s="1" t="inlineStr">
        <is>
          <t>Close out or disqualify</t>
        </is>
      </c>
    </row>
    <row r="95">
      <c r="A95" s="1" t="inlineStr">
        <is>
          <t>OPP-2026-0094</t>
        </is>
      </c>
      <c r="B95" s="1" t="inlineStr">
        <is>
          <t>Pioneer Freight Union</t>
        </is>
      </c>
      <c r="C95" s="1" t="inlineStr">
        <is>
          <t>Freight brokerage</t>
        </is>
      </c>
      <c r="D95" s="1" t="inlineStr">
        <is>
          <t>US-Central</t>
        </is>
      </c>
      <c r="E95" s="1" t="inlineStr">
        <is>
          <t>Autonomous mobile robot, 220 kg payload</t>
        </is>
      </c>
      <c r="F95" s="1" t="n">
        <v>27</v>
      </c>
      <c r="G95" s="1" t="inlineStr">
        <is>
          <t>Verbal commitment</t>
        </is>
      </c>
      <c r="H95" s="1" t="n">
        <v>0.8</v>
      </c>
      <c r="I95" s="1" t="inlineStr">
        <is>
          <t>2027-06</t>
        </is>
      </c>
      <c r="J95" s="1" t="n">
        <v>3201058.86</v>
      </c>
      <c r="K95" s="1">
        <f>ROUND(J95*H95,2)</f>
        <v/>
      </c>
      <c r="L95" s="1" t="inlineStr">
        <is>
          <t>L. Ossipova</t>
        </is>
      </c>
      <c r="M95" s="1" t="inlineStr">
        <is>
          <t>Schedule site survey</t>
        </is>
      </c>
    </row>
    <row r="96">
      <c r="A96" s="1" t="inlineStr">
        <is>
          <t>OPP-2026-0095</t>
        </is>
      </c>
      <c r="B96" s="1" t="inlineStr">
        <is>
          <t>Northfield Beverage</t>
        </is>
      </c>
      <c r="C96" s="1" t="inlineStr">
        <is>
          <t>Beverage</t>
        </is>
      </c>
      <c r="D96" s="1" t="inlineStr">
        <is>
          <t>US-Midwest</t>
        </is>
      </c>
      <c r="E96" s="1" t="inlineStr">
        <is>
          <t>Deployment and commissioning services</t>
        </is>
      </c>
      <c r="F96" s="1" t="n">
        <v>41</v>
      </c>
      <c r="G96" s="1" t="inlineStr">
        <is>
          <t>Closed won</t>
        </is>
      </c>
      <c r="H96" s="1" t="n">
        <v>1</v>
      </c>
      <c r="I96" s="1" t="inlineStr">
        <is>
          <t>2027-06</t>
        </is>
      </c>
      <c r="J96" s="1" t="n">
        <v>1148799.19</v>
      </c>
      <c r="K96" s="1">
        <f>ROUND(J96*H96,2)</f>
        <v/>
      </c>
      <c r="L96" s="1" t="inlineStr">
        <is>
          <t>Y. Sandoval</t>
        </is>
      </c>
      <c r="M96" s="1" t="inlineStr">
        <is>
          <t>Await legal turn</t>
        </is>
      </c>
    </row>
    <row r="97">
      <c r="A97" s="1" t="inlineStr">
        <is>
          <t>OPP-2026-0096</t>
        </is>
      </c>
      <c r="B97" s="1" t="inlineStr">
        <is>
          <t>Redwood Optics</t>
        </is>
      </c>
      <c r="C97" s="1" t="inlineStr">
        <is>
          <t>Precision optics</t>
        </is>
      </c>
      <c r="D97" s="1" t="inlineStr">
        <is>
          <t>US-West</t>
        </is>
      </c>
      <c r="E97" s="1" t="inlineStr">
        <is>
          <t>Fleet orchestration expansion pack, per robot</t>
        </is>
      </c>
      <c r="F97" s="1" t="n">
        <v>74</v>
      </c>
      <c r="G97" s="1" t="inlineStr">
        <is>
          <t>Qualification</t>
        </is>
      </c>
      <c r="H97" s="1" t="n">
        <v>0.1</v>
      </c>
      <c r="I97" s="1" t="inlineStr">
        <is>
          <t>2026-09</t>
        </is>
      </c>
      <c r="J97" s="1" t="n">
        <v>3775248.44</v>
      </c>
      <c r="K97" s="1">
        <f>ROUND(J97*H97,2)</f>
        <v/>
      </c>
      <c r="L97" s="1" t="inlineStr">
        <is>
          <t>T. Ferreira</t>
        </is>
      </c>
      <c r="M97" s="1" t="inlineStr">
        <is>
          <t>Confirm capital approval</t>
        </is>
      </c>
    </row>
    <row r="98">
      <c r="A98" s="1" t="inlineStr">
        <is>
          <t>OPP-2026-0097</t>
        </is>
      </c>
      <c r="B98" s="1" t="inlineStr">
        <is>
          <t>Calder Marine Supply</t>
        </is>
      </c>
      <c r="C98" s="1" t="inlineStr">
        <is>
          <t>Marine supply</t>
        </is>
      </c>
      <c r="D98" s="1" t="inlineStr">
        <is>
          <t>US-Gulf</t>
        </is>
      </c>
      <c r="E98" s="1" t="inlineStr">
        <is>
          <t>Opportunity charging dock</t>
        </is>
      </c>
      <c r="F98" s="1" t="n">
        <v>21</v>
      </c>
      <c r="G98" s="1" t="inlineStr">
        <is>
          <t>Legal review</t>
        </is>
      </c>
      <c r="H98" s="1" t="n">
        <v>0.6</v>
      </c>
      <c r="I98" s="1" t="inlineStr">
        <is>
          <t>2027-07</t>
        </is>
      </c>
      <c r="J98" s="1" t="n">
        <v>2189894.78</v>
      </c>
      <c r="K98" s="1">
        <f>ROUND(J98*H98,2)</f>
        <v/>
      </c>
      <c r="L98" s="1" t="inlineStr">
        <is>
          <t>Y. Sandoval</t>
        </is>
      </c>
      <c r="M98" s="1" t="inlineStr">
        <is>
          <t>Confirm capital approval</t>
        </is>
      </c>
    </row>
    <row r="99">
      <c r="A99" s="1" t="inlineStr">
        <is>
          <t>OPP-2026-0098</t>
        </is>
      </c>
      <c r="B99" s="1" t="inlineStr">
        <is>
          <t>Fathom Mobility</t>
        </is>
      </c>
      <c r="C99" s="1" t="inlineStr">
        <is>
          <t>Automotive parts</t>
        </is>
      </c>
      <c r="D99" s="1" t="inlineStr">
        <is>
          <t>US-Southeast</t>
        </is>
      </c>
      <c r="E99" s="1" t="inlineStr">
        <is>
          <t>Telemetry retention tier, extended</t>
        </is>
      </c>
      <c r="F99" s="1" t="n">
        <v>87</v>
      </c>
      <c r="G99" s="1" t="inlineStr">
        <is>
          <t>Discovery</t>
        </is>
      </c>
      <c r="H99" s="1" t="n">
        <v>0.2</v>
      </c>
      <c r="I99" s="1" t="inlineStr">
        <is>
          <t>2027-06</t>
        </is>
      </c>
      <c r="J99" s="1" t="n">
        <v>948876.13</v>
      </c>
      <c r="K99" s="1">
        <f>ROUND(J99*H99,2)</f>
        <v/>
      </c>
      <c r="L99" s="1" t="inlineStr">
        <is>
          <t>L. Ossipova</t>
        </is>
      </c>
      <c r="M99" s="1" t="inlineStr">
        <is>
          <t>Introduce reference customer</t>
        </is>
      </c>
    </row>
    <row r="100">
      <c r="A100" s="1" t="inlineStr">
        <is>
          <t>OPP-2026-0099</t>
        </is>
      </c>
      <c r="B100" s="1" t="inlineStr">
        <is>
          <t>Keystone Paper &amp; Pack</t>
        </is>
      </c>
      <c r="C100" s="1" t="inlineStr">
        <is>
          <t>Packaging</t>
        </is>
      </c>
      <c r="D100" s="1" t="inlineStr">
        <is>
          <t>US-Northeast</t>
        </is>
      </c>
      <c r="E100" s="1" t="inlineStr">
        <is>
          <t>Safety scanner retrofit kit</t>
        </is>
      </c>
      <c r="F100" s="1" t="n">
        <v>54</v>
      </c>
      <c r="G100" s="1" t="inlineStr">
        <is>
          <t>Closed lost</t>
        </is>
      </c>
      <c r="H100" s="1" t="n">
        <v>0</v>
      </c>
      <c r="I100" s="1" t="inlineStr">
        <is>
          <t>2026-07</t>
        </is>
      </c>
      <c r="J100" s="1" t="n">
        <v>749749.91</v>
      </c>
      <c r="K100" s="1">
        <f>ROUND(J100*H100,2)</f>
        <v/>
      </c>
      <c r="L100" s="1" t="inlineStr">
        <is>
          <t>L. Ossipova</t>
        </is>
      </c>
      <c r="M100" s="1" t="inlineStr">
        <is>
          <t>Await legal turn</t>
        </is>
      </c>
    </row>
    <row r="101">
      <c r="A101" s="1" t="inlineStr">
        <is>
          <t>OPP-2026-0100</t>
        </is>
      </c>
      <c r="B101" s="1" t="inlineStr">
        <is>
          <t>Calder Marine Supply</t>
        </is>
      </c>
      <c r="C101" s="1" t="inlineStr">
        <is>
          <t>Marine supply</t>
        </is>
      </c>
      <c r="D101" s="1" t="inlineStr">
        <is>
          <t>US-Gulf</t>
        </is>
      </c>
      <c r="E101" s="1" t="inlineStr">
        <is>
          <t>Premium support and spares pool</t>
        </is>
      </c>
      <c r="F101" s="1" t="n">
        <v>57</v>
      </c>
      <c r="G101" s="1" t="inlineStr">
        <is>
          <t>Closed won</t>
        </is>
      </c>
      <c r="H101" s="1" t="n">
        <v>1</v>
      </c>
      <c r="I101" s="1" t="inlineStr">
        <is>
          <t>2027-05</t>
        </is>
      </c>
      <c r="J101" s="1" t="n">
        <v>1751547.14</v>
      </c>
      <c r="K101" s="1">
        <f>ROUND(J101*H101,2)</f>
        <v/>
      </c>
      <c r="L101" s="1" t="inlineStr">
        <is>
          <t>C. Bailey</t>
        </is>
      </c>
      <c r="M101" s="1" t="inlineStr">
        <is>
          <t>Send revised proposal</t>
        </is>
      </c>
    </row>
    <row r="102">
      <c r="A102" s="1" t="inlineStr">
        <is>
          <t>OPP-2026-0101</t>
        </is>
      </c>
      <c r="B102" s="1" t="inlineStr">
        <is>
          <t>Quarrybridge Materials</t>
        </is>
      </c>
      <c r="C102" s="1" t="inlineStr">
        <is>
          <t>Aggregates</t>
        </is>
      </c>
      <c r="D102" s="1" t="inlineStr">
        <is>
          <t>US-Mountain</t>
        </is>
      </c>
      <c r="E102" s="1" t="inlineStr">
        <is>
          <t>Fleet orchestration platform, annual site licence</t>
        </is>
      </c>
      <c r="F102" s="1" t="n">
        <v>95</v>
      </c>
      <c r="G102" s="1" t="inlineStr">
        <is>
          <t>Site survey</t>
        </is>
      </c>
      <c r="H102" s="1" t="n">
        <v>0.3</v>
      </c>
      <c r="I102" s="1" t="inlineStr">
        <is>
          <t>2027-05</t>
        </is>
      </c>
      <c r="J102" s="1" t="n">
        <v>809670.62</v>
      </c>
      <c r="K102" s="1">
        <f>ROUND(J102*H102,2)</f>
        <v/>
      </c>
      <c r="L102" s="1" t="inlineStr">
        <is>
          <t>Y. Sandoval</t>
        </is>
      </c>
      <c r="M102" s="1" t="inlineStr">
        <is>
          <t>Send revised proposal</t>
        </is>
      </c>
    </row>
    <row r="103">
      <c r="A103" s="1" t="inlineStr">
        <is>
          <t>OPP-2026-0102</t>
        </is>
      </c>
      <c r="B103" s="1" t="inlineStr">
        <is>
          <t>Orchard Grove Foods</t>
        </is>
      </c>
      <c r="C103" s="1" t="inlineStr">
        <is>
          <t>Food processing</t>
        </is>
      </c>
      <c r="D103" s="1" t="inlineStr">
        <is>
          <t>US-West</t>
        </is>
      </c>
      <c r="E103" s="1" t="inlineStr">
        <is>
          <t>Autonomous mobile robot, 220 kg payload</t>
        </is>
      </c>
      <c r="F103" s="1" t="n">
        <v>12</v>
      </c>
      <c r="G103" s="1" t="inlineStr">
        <is>
          <t>Qualification</t>
        </is>
      </c>
      <c r="H103" s="1" t="n">
        <v>0.1</v>
      </c>
      <c r="I103" s="1" t="inlineStr">
        <is>
          <t>2026-09</t>
        </is>
      </c>
      <c r="J103" s="1" t="n">
        <v>2344250.72</v>
      </c>
      <c r="K103" s="1">
        <f>ROUND(J103*H103,2)</f>
        <v/>
      </c>
      <c r="L103" s="1" t="inlineStr">
        <is>
          <t>Y. Sandoval</t>
        </is>
      </c>
      <c r="M103" s="1" t="inlineStr">
        <is>
          <t>Close out or disqualify</t>
        </is>
      </c>
    </row>
    <row r="104">
      <c r="A104" s="1" t="inlineStr">
        <is>
          <t>OPP-2026-0103</t>
        </is>
      </c>
      <c r="B104" s="1" t="inlineStr">
        <is>
          <t>Crestline Fulfillment</t>
        </is>
      </c>
      <c r="C104" s="1" t="inlineStr">
        <is>
          <t>E-commerce fulfillment</t>
        </is>
      </c>
      <c r="D104" s="1" t="inlineStr">
        <is>
          <t>US-West</t>
        </is>
      </c>
      <c r="E104" s="1" t="inlineStr">
        <is>
          <t>Deployment and commissioning services</t>
        </is>
      </c>
      <c r="F104" s="1" t="n">
        <v>8</v>
      </c>
      <c r="G104" s="1" t="inlineStr">
        <is>
          <t>Closed lost</t>
        </is>
      </c>
      <c r="H104" s="1" t="n">
        <v>0</v>
      </c>
      <c r="I104" s="1" t="inlineStr">
        <is>
          <t>2027-06</t>
        </is>
      </c>
      <c r="J104" s="1" t="n">
        <v>639610.65</v>
      </c>
      <c r="K104" s="1">
        <f>ROUND(J104*H104,2)</f>
        <v/>
      </c>
      <c r="L104" s="1" t="inlineStr">
        <is>
          <t>T. Ferreira</t>
        </is>
      </c>
      <c r="M104" s="1" t="inlineStr">
        <is>
          <t>Confirm capital approval</t>
        </is>
      </c>
    </row>
    <row r="105">
      <c r="A105" s="1" t="inlineStr">
        <is>
          <t>OPP-2026-0104</t>
        </is>
      </c>
      <c r="B105" s="1" t="inlineStr">
        <is>
          <t>Orchard Grove Foods</t>
        </is>
      </c>
      <c r="C105" s="1" t="inlineStr">
        <is>
          <t>Food processing</t>
        </is>
      </c>
      <c r="D105" s="1" t="inlineStr">
        <is>
          <t>US-West</t>
        </is>
      </c>
      <c r="E105" s="1" t="inlineStr">
        <is>
          <t>Remote operations desk coverage</t>
        </is>
      </c>
      <c r="F105" s="1" t="n">
        <v>50</v>
      </c>
      <c r="G105" s="1" t="inlineStr">
        <is>
          <t>Legal review</t>
        </is>
      </c>
      <c r="H105" s="1" t="n">
        <v>0.6</v>
      </c>
      <c r="I105" s="1" t="inlineStr">
        <is>
          <t>2026-11</t>
        </is>
      </c>
      <c r="J105" s="1" t="n">
        <v>276752.7</v>
      </c>
      <c r="K105" s="1">
        <f>ROUND(J105*H105,2)</f>
        <v/>
      </c>
      <c r="L105" s="1" t="inlineStr">
        <is>
          <t>C. Bailey</t>
        </is>
      </c>
      <c r="M105" s="1" t="inlineStr">
        <is>
          <t>Schedule site survey</t>
        </is>
      </c>
    </row>
    <row r="106">
      <c r="A106" s="1" t="inlineStr">
        <is>
          <t>OPP-2026-0105</t>
        </is>
      </c>
      <c r="B106" s="1" t="inlineStr">
        <is>
          <t>Keystone Paper &amp; Pack</t>
        </is>
      </c>
      <c r="C106" s="1" t="inlineStr">
        <is>
          <t>Packaging</t>
        </is>
      </c>
      <c r="D106" s="1" t="inlineStr">
        <is>
          <t>US-Northeast</t>
        </is>
      </c>
      <c r="E106" s="1" t="inlineStr">
        <is>
          <t>Fleet orchestration platform, annual site licence</t>
        </is>
      </c>
      <c r="F106" s="1" t="n">
        <v>54</v>
      </c>
      <c r="G106" s="1" t="inlineStr">
        <is>
          <t>Legal review</t>
        </is>
      </c>
      <c r="H106" s="1" t="n">
        <v>0.6</v>
      </c>
      <c r="I106" s="1" t="inlineStr">
        <is>
          <t>2027-06</t>
        </is>
      </c>
      <c r="J106" s="1" t="n">
        <v>3874249.63</v>
      </c>
      <c r="K106" s="1">
        <f>ROUND(J106*H106,2)</f>
        <v/>
      </c>
      <c r="L106" s="1" t="inlineStr">
        <is>
          <t>C. Bailey</t>
        </is>
      </c>
      <c r="M106" s="1" t="inlineStr">
        <is>
          <t>Introduce reference customer</t>
        </is>
      </c>
    </row>
    <row r="107">
      <c r="A107" s="1" t="inlineStr">
        <is>
          <t>OPP-2026-0106</t>
        </is>
      </c>
      <c r="B107" s="1" t="inlineStr">
        <is>
          <t>Westlake Chemical Depot</t>
        </is>
      </c>
      <c r="C107" s="1" t="inlineStr">
        <is>
          <t>Specialty chemicals</t>
        </is>
      </c>
      <c r="D107" s="1" t="inlineStr">
        <is>
          <t>US-Gulf</t>
        </is>
      </c>
      <c r="E107" s="1" t="inlineStr">
        <is>
          <t>Telemetry retention tier, extended</t>
        </is>
      </c>
      <c r="F107" s="1" t="n">
        <v>79</v>
      </c>
      <c r="G107" s="1" t="inlineStr">
        <is>
          <t>Discovery</t>
        </is>
      </c>
      <c r="H107" s="1" t="n">
        <v>0.2</v>
      </c>
      <c r="I107" s="1" t="inlineStr">
        <is>
          <t>2027-01</t>
        </is>
      </c>
      <c r="J107" s="1" t="n">
        <v>282713.92</v>
      </c>
      <c r="K107" s="1">
        <f>ROUND(J107*H107,2)</f>
        <v/>
      </c>
      <c r="L107" s="1" t="inlineStr">
        <is>
          <t>T. Ferreira</t>
        </is>
      </c>
      <c r="M107" s="1" t="inlineStr">
        <is>
          <t>Confirm capital approval</t>
        </is>
      </c>
    </row>
    <row r="108">
      <c r="A108" s="1" t="inlineStr">
        <is>
          <t>OPP-2026-0107</t>
        </is>
      </c>
      <c r="B108" s="1" t="inlineStr">
        <is>
          <t>Tamarack Electronics</t>
        </is>
      </c>
      <c r="C108" s="1" t="inlineStr">
        <is>
          <t>Consumer electronics</t>
        </is>
      </c>
      <c r="D108" s="1" t="inlineStr">
        <is>
          <t>US-Northwest</t>
        </is>
      </c>
      <c r="E108" s="1" t="inlineStr">
        <is>
          <t>Remote operations desk coverage</t>
        </is>
      </c>
      <c r="F108" s="1" t="n">
        <v>4</v>
      </c>
      <c r="G108" s="1" t="inlineStr">
        <is>
          <t>Legal review</t>
        </is>
      </c>
      <c r="H108" s="1" t="n">
        <v>0.6</v>
      </c>
      <c r="I108" s="1" t="inlineStr">
        <is>
          <t>2027-01</t>
        </is>
      </c>
      <c r="J108" s="1" t="n">
        <v>612065.3100000001</v>
      </c>
      <c r="K108" s="1">
        <f>ROUND(J108*H108,2)</f>
        <v/>
      </c>
      <c r="L108" s="1" t="inlineStr">
        <is>
          <t>C. Bailey</t>
        </is>
      </c>
      <c r="M108" s="1" t="inlineStr">
        <is>
          <t>Confirm capital approval</t>
        </is>
      </c>
    </row>
    <row r="109">
      <c r="A109" s="1" t="inlineStr">
        <is>
          <t>OPP-2026-0108</t>
        </is>
      </c>
      <c r="B109" s="1" t="inlineStr">
        <is>
          <t>Fathom Mobility</t>
        </is>
      </c>
      <c r="C109" s="1" t="inlineStr">
        <is>
          <t>Automotive parts</t>
        </is>
      </c>
      <c r="D109" s="1" t="inlineStr">
        <is>
          <t>US-Southeast</t>
        </is>
      </c>
      <c r="E109" s="1" t="inlineStr">
        <is>
          <t>Fleet orchestration expansion pack, per robot</t>
        </is>
      </c>
      <c r="F109" s="1" t="n">
        <v>12</v>
      </c>
      <c r="G109" s="1" t="inlineStr">
        <is>
          <t>Discovery</t>
        </is>
      </c>
      <c r="H109" s="1" t="n">
        <v>0.2</v>
      </c>
      <c r="I109" s="1" t="inlineStr">
        <is>
          <t>2027-06</t>
        </is>
      </c>
      <c r="J109" s="1" t="n">
        <v>2748964.57</v>
      </c>
      <c r="K109" s="1">
        <f>ROUND(J109*H109,2)</f>
        <v/>
      </c>
      <c r="L109" s="1" t="inlineStr">
        <is>
          <t>L. Ossipova</t>
        </is>
      </c>
      <c r="M109" s="1" t="inlineStr">
        <is>
          <t>Send revised proposal</t>
        </is>
      </c>
    </row>
    <row r="110">
      <c r="A110" s="1" t="inlineStr">
        <is>
          <t>OPP-2026-0109</t>
        </is>
      </c>
      <c r="B110" s="1" t="inlineStr">
        <is>
          <t>Crestline Fulfillment</t>
        </is>
      </c>
      <c r="C110" s="1" t="inlineStr">
        <is>
          <t>E-commerce fulfillment</t>
        </is>
      </c>
      <c r="D110" s="1" t="inlineStr">
        <is>
          <t>US-West</t>
        </is>
      </c>
      <c r="E110" s="1" t="inlineStr">
        <is>
          <t>Fleet orchestration platform, annual site licence</t>
        </is>
      </c>
      <c r="F110" s="1" t="n">
        <v>66</v>
      </c>
      <c r="G110" s="1" t="inlineStr">
        <is>
          <t>Closed won</t>
        </is>
      </c>
      <c r="H110" s="1" t="n">
        <v>1</v>
      </c>
      <c r="I110" s="1" t="inlineStr">
        <is>
          <t>2026-07</t>
        </is>
      </c>
      <c r="J110" s="1" t="n">
        <v>1151278.44</v>
      </c>
      <c r="K110" s="1">
        <f>ROUND(J110*H110,2)</f>
        <v/>
      </c>
      <c r="L110" s="1" t="inlineStr">
        <is>
          <t>C. Bailey</t>
        </is>
      </c>
      <c r="M110" s="1" t="inlineStr">
        <is>
          <t>Close out or disqualify</t>
        </is>
      </c>
    </row>
    <row r="111">
      <c r="A111" s="1" t="inlineStr">
        <is>
          <t>OPP-2026-0110</t>
        </is>
      </c>
      <c r="B111" s="1" t="inlineStr">
        <is>
          <t>Ironvale Grocery Group</t>
        </is>
      </c>
      <c r="C111" s="1" t="inlineStr">
        <is>
          <t>Grocery retail</t>
        </is>
      </c>
      <c r="D111" s="1" t="inlineStr">
        <is>
          <t>US-Midwest</t>
        </is>
      </c>
      <c r="E111" s="1" t="inlineStr">
        <is>
          <t>Fleet orchestration expansion pack, per robot</t>
        </is>
      </c>
      <c r="F111" s="1" t="n">
        <v>20</v>
      </c>
      <c r="G111" s="1" t="inlineStr">
        <is>
          <t>Discovery</t>
        </is>
      </c>
      <c r="H111" s="1" t="n">
        <v>0.2</v>
      </c>
      <c r="I111" s="1" t="inlineStr">
        <is>
          <t>2026-11</t>
        </is>
      </c>
      <c r="J111" s="1" t="n">
        <v>1515128.48</v>
      </c>
      <c r="K111" s="1">
        <f>ROUND(J111*H111,2)</f>
        <v/>
      </c>
      <c r="L111" s="1" t="inlineStr">
        <is>
          <t>L. Ossipova</t>
        </is>
      </c>
      <c r="M111" s="1" t="inlineStr">
        <is>
          <t>Confirm capital approval</t>
        </is>
      </c>
    </row>
    <row r="112">
      <c r="A112" s="1" t="inlineStr">
        <is>
          <t>OPP-2026-0111</t>
        </is>
      </c>
      <c r="B112" s="1" t="inlineStr">
        <is>
          <t>Calder Marine Supply</t>
        </is>
      </c>
      <c r="C112" s="1" t="inlineStr">
        <is>
          <t>Marine supply</t>
        </is>
      </c>
      <c r="D112" s="1" t="inlineStr">
        <is>
          <t>US-Gulf</t>
        </is>
      </c>
      <c r="E112" s="1" t="inlineStr">
        <is>
          <t>Premium support and spares pool</t>
        </is>
      </c>
      <c r="F112" s="1" t="n">
        <v>90</v>
      </c>
      <c r="G112" s="1" t="inlineStr">
        <is>
          <t>Verbal commitment</t>
        </is>
      </c>
      <c r="H112" s="1" t="n">
        <v>0.8</v>
      </c>
      <c r="I112" s="1" t="inlineStr">
        <is>
          <t>2026-12</t>
        </is>
      </c>
      <c r="J112" s="1" t="n">
        <v>273483.68</v>
      </c>
      <c r="K112" s="1">
        <f>ROUND(J112*H112,2)</f>
        <v/>
      </c>
      <c r="L112" s="1" t="inlineStr">
        <is>
          <t>T. Ferreira</t>
        </is>
      </c>
      <c r="M112" s="1" t="inlineStr">
        <is>
          <t>Confirm capital approval</t>
        </is>
      </c>
    </row>
    <row r="113">
      <c r="A113" s="1" t="inlineStr">
        <is>
          <t>OPP-2026-0112</t>
        </is>
      </c>
      <c r="B113" s="1" t="inlineStr">
        <is>
          <t>Meridian Dynamics</t>
        </is>
      </c>
      <c r="C113" s="1" t="inlineStr">
        <is>
          <t>Aerospace supply</t>
        </is>
      </c>
      <c r="D113" s="1" t="inlineStr">
        <is>
          <t>US-Southwest</t>
        </is>
      </c>
      <c r="E113" s="1" t="inlineStr">
        <is>
          <t>Autonomous mobile robot, 220 kg payload</t>
        </is>
      </c>
      <c r="F113" s="1" t="n">
        <v>14</v>
      </c>
      <c r="G113" s="1" t="inlineStr">
        <is>
          <t>Verbal commitment</t>
        </is>
      </c>
      <c r="H113" s="1" t="n">
        <v>0.8</v>
      </c>
      <c r="I113" s="1" t="inlineStr">
        <is>
          <t>2027-03</t>
        </is>
      </c>
      <c r="J113" s="1" t="n">
        <v>1670015.67</v>
      </c>
      <c r="K113" s="1">
        <f>ROUND(J113*H113,2)</f>
        <v/>
      </c>
      <c r="L113" s="1" t="inlineStr">
        <is>
          <t>L. Ossipova</t>
        </is>
      </c>
      <c r="M113" s="1" t="inlineStr">
        <is>
          <t>Schedule site survey</t>
        </is>
      </c>
    </row>
    <row r="114">
      <c r="A114" s="1" t="inlineStr">
        <is>
          <t>OPP-2026-0113</t>
        </is>
      </c>
      <c r="B114" s="1" t="inlineStr">
        <is>
          <t>Asterion Logistics</t>
        </is>
      </c>
      <c r="C114" s="1" t="inlineStr">
        <is>
          <t>Third-party logistics</t>
        </is>
      </c>
      <c r="D114" s="1" t="inlineStr">
        <is>
          <t>US-West</t>
        </is>
      </c>
      <c r="E114" s="1" t="inlineStr">
        <is>
          <t>Autonomous mobile robot, 220 kg payload</t>
        </is>
      </c>
      <c r="F114" s="1" t="n">
        <v>87</v>
      </c>
      <c r="G114" s="1" t="inlineStr">
        <is>
          <t>Site survey</t>
        </is>
      </c>
      <c r="H114" s="1" t="n">
        <v>0.3</v>
      </c>
      <c r="I114" s="1" t="inlineStr">
        <is>
          <t>2027-07</t>
        </is>
      </c>
      <c r="J114" s="1" t="n">
        <v>755600.66</v>
      </c>
      <c r="K114" s="1">
        <f>ROUND(J114*H114,2)</f>
        <v/>
      </c>
      <c r="L114" s="1" t="inlineStr">
        <is>
          <t>C. Bailey</t>
        </is>
      </c>
      <c r="M114" s="1" t="inlineStr">
        <is>
          <t>Send revised proposal</t>
        </is>
      </c>
    </row>
    <row r="115">
      <c r="A115" s="1" t="inlineStr">
        <is>
          <t>OPP-2026-0114</t>
        </is>
      </c>
      <c r="B115" s="1" t="inlineStr">
        <is>
          <t>Fathom Mobility</t>
        </is>
      </c>
      <c r="C115" s="1" t="inlineStr">
        <is>
          <t>Automotive parts</t>
        </is>
      </c>
      <c r="D115" s="1" t="inlineStr">
        <is>
          <t>US-Southeast</t>
        </is>
      </c>
      <c r="E115" s="1" t="inlineStr">
        <is>
          <t>Remote operations desk coverage</t>
        </is>
      </c>
      <c r="F115" s="1" t="n">
        <v>75</v>
      </c>
      <c r="G115" s="1" t="inlineStr">
        <is>
          <t>Closed lost</t>
        </is>
      </c>
      <c r="H115" s="1" t="n">
        <v>0</v>
      </c>
      <c r="I115" s="1" t="inlineStr">
        <is>
          <t>2026-07</t>
        </is>
      </c>
      <c r="J115" s="1" t="n">
        <v>2416282.07</v>
      </c>
      <c r="K115" s="1">
        <f>ROUND(J115*H115,2)</f>
        <v/>
      </c>
      <c r="L115" s="1" t="inlineStr">
        <is>
          <t>T. Ferreira</t>
        </is>
      </c>
      <c r="M115" s="1" t="inlineStr">
        <is>
          <t>Schedule site survey</t>
        </is>
      </c>
    </row>
    <row r="116">
      <c r="A116" s="1" t="inlineStr">
        <is>
          <t>OPP-2026-0115</t>
        </is>
      </c>
      <c r="B116" s="1" t="inlineStr">
        <is>
          <t>Northfield Beverage</t>
        </is>
      </c>
      <c r="C116" s="1" t="inlineStr">
        <is>
          <t>Beverage</t>
        </is>
      </c>
      <c r="D116" s="1" t="inlineStr">
        <is>
          <t>US-Midwest</t>
        </is>
      </c>
      <c r="E116" s="1" t="inlineStr">
        <is>
          <t>Safety scanner retrofit kit</t>
        </is>
      </c>
      <c r="F116" s="1" t="n">
        <v>13</v>
      </c>
      <c r="G116" s="1" t="inlineStr">
        <is>
          <t>Closed won</t>
        </is>
      </c>
      <c r="H116" s="1" t="n">
        <v>1</v>
      </c>
      <c r="I116" s="1" t="inlineStr">
        <is>
          <t>2026-08</t>
        </is>
      </c>
      <c r="J116" s="1" t="n">
        <v>1806852.46</v>
      </c>
      <c r="K116" s="1">
        <f>ROUND(J116*H116,2)</f>
        <v/>
      </c>
      <c r="L116" s="1" t="inlineStr">
        <is>
          <t>T. Ferreira</t>
        </is>
      </c>
      <c r="M116" s="1" t="inlineStr">
        <is>
          <t>Introduce reference customer</t>
        </is>
      </c>
    </row>
    <row r="117">
      <c r="A117" s="1" t="inlineStr">
        <is>
          <t>OPP-2026-0116</t>
        </is>
      </c>
      <c r="B117" s="1" t="inlineStr">
        <is>
          <t>Union Vale Pharma</t>
        </is>
      </c>
      <c r="C117" s="1" t="inlineStr">
        <is>
          <t>Pharmaceutical</t>
        </is>
      </c>
      <c r="D117" s="1" t="inlineStr">
        <is>
          <t>US-Northeast</t>
        </is>
      </c>
      <c r="E117" s="1" t="inlineStr">
        <is>
          <t>Operator training programme</t>
        </is>
      </c>
      <c r="F117" s="1" t="n">
        <v>91</v>
      </c>
      <c r="G117" s="1" t="inlineStr">
        <is>
          <t>Proposal</t>
        </is>
      </c>
      <c r="H117" s="1" t="n">
        <v>0.45</v>
      </c>
      <c r="I117" s="1" t="inlineStr">
        <is>
          <t>2026-10</t>
        </is>
      </c>
      <c r="J117" s="1" t="n">
        <v>352218.97</v>
      </c>
      <c r="K117" s="1">
        <f>ROUND(J117*H117,2)</f>
        <v/>
      </c>
      <c r="L117" s="1" t="inlineStr">
        <is>
          <t>C. Bailey</t>
        </is>
      </c>
      <c r="M117" s="1" t="inlineStr">
        <is>
          <t>Await legal turn</t>
        </is>
      </c>
    </row>
    <row r="118">
      <c r="A118" s="1" t="inlineStr">
        <is>
          <t>OPP-2026-0117</t>
        </is>
      </c>
      <c r="B118" s="1" t="inlineStr">
        <is>
          <t>Larkspur Apparel</t>
        </is>
      </c>
      <c r="C118" s="1" t="inlineStr">
        <is>
          <t>Apparel retail</t>
        </is>
      </c>
      <c r="D118" s="1" t="inlineStr">
        <is>
          <t>US-Southeast</t>
        </is>
      </c>
      <c r="E118" s="1" t="inlineStr">
        <is>
          <t>Fleet orchestration expansion pack, per robot</t>
        </is>
      </c>
      <c r="F118" s="1" t="n">
        <v>74</v>
      </c>
      <c r="G118" s="1" t="inlineStr">
        <is>
          <t>Site survey</t>
        </is>
      </c>
      <c r="H118" s="1" t="n">
        <v>0.3</v>
      </c>
      <c r="I118" s="1" t="inlineStr">
        <is>
          <t>2027-07</t>
        </is>
      </c>
      <c r="J118" s="1" t="n">
        <v>1455857.63</v>
      </c>
      <c r="K118" s="1">
        <f>ROUND(J118*H118,2)</f>
        <v/>
      </c>
      <c r="L118" s="1" t="inlineStr">
        <is>
          <t>T. Ferreira</t>
        </is>
      </c>
      <c r="M118" s="1" t="inlineStr">
        <is>
          <t>Introduce reference customer</t>
        </is>
      </c>
    </row>
    <row r="119">
      <c r="A119" s="1" t="inlineStr">
        <is>
          <t>OPP-2026-0118</t>
        </is>
      </c>
      <c r="B119" s="1" t="inlineStr">
        <is>
          <t>Zephyr Air Cargo</t>
        </is>
      </c>
      <c r="C119" s="1" t="inlineStr">
        <is>
          <t>Air cargo</t>
        </is>
      </c>
      <c r="D119" s="1" t="inlineStr">
        <is>
          <t>US-Northeast</t>
        </is>
      </c>
      <c r="E119" s="1" t="inlineStr">
        <is>
          <t>Remote operations desk coverage</t>
        </is>
      </c>
      <c r="F119" s="1" t="n">
        <v>76</v>
      </c>
      <c r="G119" s="1" t="inlineStr">
        <is>
          <t>Verbal commitment</t>
        </is>
      </c>
      <c r="H119" s="1" t="n">
        <v>0.8</v>
      </c>
      <c r="I119" s="1" t="inlineStr">
        <is>
          <t>2026-11</t>
        </is>
      </c>
      <c r="J119" s="1" t="n">
        <v>2908406.03</v>
      </c>
      <c r="K119" s="1">
        <f>ROUND(J119*H119,2)</f>
        <v/>
      </c>
      <c r="L119" s="1" t="inlineStr">
        <is>
          <t>C. Bailey</t>
        </is>
      </c>
      <c r="M119" s="1" t="inlineStr">
        <is>
          <t>Close out or disqualify</t>
        </is>
      </c>
    </row>
    <row r="120">
      <c r="A120" s="1" t="inlineStr">
        <is>
          <t>OPP-2026-0119</t>
        </is>
      </c>
      <c r="B120" s="1" t="inlineStr">
        <is>
          <t>Dunbar Industrial</t>
        </is>
      </c>
      <c r="C120" s="1" t="inlineStr">
        <is>
          <t>Heavy manufacturing</t>
        </is>
      </c>
      <c r="D120" s="1" t="inlineStr">
        <is>
          <t>US-Midwest</t>
        </is>
      </c>
      <c r="E120" s="1" t="inlineStr">
        <is>
          <t>Autonomous mobile robot, 220 kg payload</t>
        </is>
      </c>
      <c r="F120" s="1" t="n">
        <v>85</v>
      </c>
      <c r="G120" s="1" t="inlineStr">
        <is>
          <t>Proposal</t>
        </is>
      </c>
      <c r="H120" s="1" t="n">
        <v>0.45</v>
      </c>
      <c r="I120" s="1" t="inlineStr">
        <is>
          <t>2026-08</t>
        </is>
      </c>
      <c r="J120" s="1" t="n">
        <v>865053.36</v>
      </c>
      <c r="K120" s="1">
        <f>ROUND(J120*H120,2)</f>
        <v/>
      </c>
      <c r="L120" s="1" t="inlineStr">
        <is>
          <t>Y. Sandoval</t>
        </is>
      </c>
      <c r="M120" s="1" t="inlineStr">
        <is>
          <t>Introduce reference customer</t>
        </is>
      </c>
    </row>
    <row r="121">
      <c r="A121" s="1" t="inlineStr">
        <is>
          <t>OPP-2026-0120</t>
        </is>
      </c>
      <c r="B121" s="1" t="inlineStr">
        <is>
          <t>Larkspur Apparel</t>
        </is>
      </c>
      <c r="C121" s="1" t="inlineStr">
        <is>
          <t>Apparel retail</t>
        </is>
      </c>
      <c r="D121" s="1" t="inlineStr">
        <is>
          <t>US-Southeast</t>
        </is>
      </c>
      <c r="E121" s="1" t="inlineStr">
        <is>
          <t>Warehouse management system connector</t>
        </is>
      </c>
      <c r="F121" s="1" t="n">
        <v>96</v>
      </c>
      <c r="G121" s="1" t="inlineStr">
        <is>
          <t>Discovery</t>
        </is>
      </c>
      <c r="H121" s="1" t="n">
        <v>0.2</v>
      </c>
      <c r="I121" s="1" t="inlineStr">
        <is>
          <t>2027-04</t>
        </is>
      </c>
      <c r="J121" s="1" t="n">
        <v>1382860.62</v>
      </c>
      <c r="K121" s="1">
        <f>ROUND(J121*H121,2)</f>
        <v/>
      </c>
      <c r="L121" s="1" t="inlineStr">
        <is>
          <t>T. Ferreira</t>
        </is>
      </c>
      <c r="M121" s="1" t="inlineStr">
        <is>
          <t>Schedule site survey</t>
        </is>
      </c>
    </row>
    <row r="122">
      <c r="A122" s="1" t="inlineStr">
        <is>
          <t>OPP-2026-0121</t>
        </is>
      </c>
      <c r="B122" s="1" t="inlineStr">
        <is>
          <t>Blue Mesa Components</t>
        </is>
      </c>
      <c r="C122" s="1" t="inlineStr">
        <is>
          <t>Industrial distribution</t>
        </is>
      </c>
      <c r="D122" s="1" t="inlineStr">
        <is>
          <t>US-Southwest</t>
        </is>
      </c>
      <c r="E122" s="1" t="inlineStr">
        <is>
          <t>Autonomous mobile robot, 450 kg payload</t>
        </is>
      </c>
      <c r="F122" s="1" t="n">
        <v>23</v>
      </c>
      <c r="G122" s="1" t="inlineStr">
        <is>
          <t>Closed lost</t>
        </is>
      </c>
      <c r="H122" s="1" t="n">
        <v>0</v>
      </c>
      <c r="I122" s="1" t="inlineStr">
        <is>
          <t>2026-10</t>
        </is>
      </c>
      <c r="J122" s="1" t="n">
        <v>1152741.17</v>
      </c>
      <c r="K122" s="1">
        <f>ROUND(J122*H122,2)</f>
        <v/>
      </c>
      <c r="L122" s="1" t="inlineStr">
        <is>
          <t>Y. Sandoval</t>
        </is>
      </c>
      <c r="M122" s="1" t="inlineStr">
        <is>
          <t>Close out or disqualify</t>
        </is>
      </c>
    </row>
    <row r="123">
      <c r="A123" s="1" t="inlineStr">
        <is>
          <t>OPP-2026-0122</t>
        </is>
      </c>
      <c r="B123" s="1" t="inlineStr">
        <is>
          <t>Juniper Health Supply</t>
        </is>
      </c>
      <c r="C123" s="1" t="inlineStr">
        <is>
          <t>Medical distribution</t>
        </is>
      </c>
      <c r="D123" s="1" t="inlineStr">
        <is>
          <t>US-West</t>
        </is>
      </c>
      <c r="E123" s="1" t="inlineStr">
        <is>
          <t>Autonomous mobile robot, 220 kg payload</t>
        </is>
      </c>
      <c r="F123" s="1" t="n">
        <v>31</v>
      </c>
      <c r="G123" s="1" t="inlineStr">
        <is>
          <t>Legal review</t>
        </is>
      </c>
      <c r="H123" s="1" t="n">
        <v>0.6</v>
      </c>
      <c r="I123" s="1" t="inlineStr">
        <is>
          <t>2027-05</t>
        </is>
      </c>
      <c r="J123" s="1" t="n">
        <v>462549.03</v>
      </c>
      <c r="K123" s="1">
        <f>ROUND(J123*H123,2)</f>
        <v/>
      </c>
      <c r="L123" s="1" t="inlineStr">
        <is>
          <t>T. Ferreira</t>
        </is>
      </c>
      <c r="M123" s="1" t="inlineStr">
        <is>
          <t>Schedule site survey</t>
        </is>
      </c>
    </row>
    <row r="124">
      <c r="A124" s="1" t="inlineStr">
        <is>
          <t>OPP-2026-0123</t>
        </is>
      </c>
      <c r="B124" s="1" t="inlineStr">
        <is>
          <t>Asterion Logistics</t>
        </is>
      </c>
      <c r="C124" s="1" t="inlineStr">
        <is>
          <t>Third-party logistics</t>
        </is>
      </c>
      <c r="D124" s="1" t="inlineStr">
        <is>
          <t>US-West</t>
        </is>
      </c>
      <c r="E124" s="1" t="inlineStr">
        <is>
          <t>Warehouse management system connector</t>
        </is>
      </c>
      <c r="F124" s="1" t="n">
        <v>81</v>
      </c>
      <c r="G124" s="1" t="inlineStr">
        <is>
          <t>Verbal commitment</t>
        </is>
      </c>
      <c r="H124" s="1" t="n">
        <v>0.8</v>
      </c>
      <c r="I124" s="1" t="inlineStr">
        <is>
          <t>2026-07</t>
        </is>
      </c>
      <c r="J124" s="1" t="n">
        <v>570662.03</v>
      </c>
      <c r="K124" s="1">
        <f>ROUND(J124*H124,2)</f>
        <v/>
      </c>
      <c r="L124" s="1" t="inlineStr">
        <is>
          <t>C. Bailey</t>
        </is>
      </c>
      <c r="M124" s="1" t="inlineStr">
        <is>
          <t>Confirm capital approval</t>
        </is>
      </c>
    </row>
    <row r="125">
      <c r="A125" s="1" t="inlineStr">
        <is>
          <t>OPP-2026-0124</t>
        </is>
      </c>
      <c r="B125" s="1" t="inlineStr">
        <is>
          <t>Quarrybridge Materials</t>
        </is>
      </c>
      <c r="C125" s="1" t="inlineStr">
        <is>
          <t>Aggregates</t>
        </is>
      </c>
      <c r="D125" s="1" t="inlineStr">
        <is>
          <t>US-Mountain</t>
        </is>
      </c>
      <c r="E125" s="1" t="inlineStr">
        <is>
          <t>Remote operations desk coverage</t>
        </is>
      </c>
      <c r="F125" s="1" t="n">
        <v>64</v>
      </c>
      <c r="G125" s="1" t="inlineStr">
        <is>
          <t>Qualification</t>
        </is>
      </c>
      <c r="H125" s="1" t="n">
        <v>0.1</v>
      </c>
      <c r="I125" s="1" t="inlineStr">
        <is>
          <t>2026-12</t>
        </is>
      </c>
      <c r="J125" s="1" t="n">
        <v>2538125.47</v>
      </c>
      <c r="K125" s="1">
        <f>ROUND(J125*H125,2)</f>
        <v/>
      </c>
      <c r="L125" s="1" t="inlineStr">
        <is>
          <t>T. Ferreira</t>
        </is>
      </c>
      <c r="M125" s="1" t="inlineStr">
        <is>
          <t>Close out or disqualify</t>
        </is>
      </c>
    </row>
    <row r="126">
      <c r="A126" s="1" t="inlineStr">
        <is>
          <t>OPP-2026-0125</t>
        </is>
      </c>
      <c r="B126" s="1" t="inlineStr">
        <is>
          <t>Orchard Grove Foods</t>
        </is>
      </c>
      <c r="C126" s="1" t="inlineStr">
        <is>
          <t>Food processing</t>
        </is>
      </c>
      <c r="D126" s="1" t="inlineStr">
        <is>
          <t>US-West</t>
        </is>
      </c>
      <c r="E126" s="1" t="inlineStr">
        <is>
          <t>Operator training programme</t>
        </is>
      </c>
      <c r="F126" s="1" t="n">
        <v>95</v>
      </c>
      <c r="G126" s="1" t="inlineStr">
        <is>
          <t>Closed lost</t>
        </is>
      </c>
      <c r="H126" s="1" t="n">
        <v>0</v>
      </c>
      <c r="I126" s="1" t="inlineStr">
        <is>
          <t>2026-09</t>
        </is>
      </c>
      <c r="J126" s="1" t="n">
        <v>1113854.9</v>
      </c>
      <c r="K126" s="1">
        <f>ROUND(J126*H126,2)</f>
        <v/>
      </c>
      <c r="L126" s="1" t="inlineStr">
        <is>
          <t>T. Ferreira</t>
        </is>
      </c>
      <c r="M126" s="1" t="inlineStr">
        <is>
          <t>Send revised proposal</t>
        </is>
      </c>
    </row>
    <row r="127">
      <c r="A127" s="1" t="inlineStr">
        <is>
          <t>OPP-2026-0126</t>
        </is>
      </c>
      <c r="B127" s="1" t="inlineStr">
        <is>
          <t>Bellweather Auto Group</t>
        </is>
      </c>
      <c r="C127" s="1" t="inlineStr">
        <is>
          <t>Automotive retail</t>
        </is>
      </c>
      <c r="D127" s="1" t="inlineStr">
        <is>
          <t>US-Central</t>
        </is>
      </c>
      <c r="E127" s="1" t="inlineStr">
        <is>
          <t>Autonomous mobile robot, 220 kg payload</t>
        </is>
      </c>
      <c r="F127" s="1" t="n">
        <v>10</v>
      </c>
      <c r="G127" s="1" t="inlineStr">
        <is>
          <t>Qualification</t>
        </is>
      </c>
      <c r="H127" s="1" t="n">
        <v>0.1</v>
      </c>
      <c r="I127" s="1" t="inlineStr">
        <is>
          <t>2026-07</t>
        </is>
      </c>
      <c r="J127" s="1" t="n">
        <v>3497498.09</v>
      </c>
      <c r="K127" s="1">
        <f>ROUND(J127*H127,2)</f>
        <v/>
      </c>
      <c r="L127" s="1" t="inlineStr">
        <is>
          <t>Y. Sandoval</t>
        </is>
      </c>
      <c r="M127" s="1" t="inlineStr">
        <is>
          <t>Send revised proposal</t>
        </is>
      </c>
    </row>
    <row r="128">
      <c r="A128" s="1" t="inlineStr">
        <is>
          <t>OPP-2026-0127</t>
        </is>
      </c>
      <c r="B128" s="1" t="inlineStr">
        <is>
          <t>Keystone Paper &amp; Pack</t>
        </is>
      </c>
      <c r="C128" s="1" t="inlineStr">
        <is>
          <t>Packaging</t>
        </is>
      </c>
      <c r="D128" s="1" t="inlineStr">
        <is>
          <t>US-Northeast</t>
        </is>
      </c>
      <c r="E128" s="1" t="inlineStr">
        <is>
          <t>Opportunity charging dock</t>
        </is>
      </c>
      <c r="F128" s="1" t="n">
        <v>10</v>
      </c>
      <c r="G128" s="1" t="inlineStr">
        <is>
          <t>Site survey</t>
        </is>
      </c>
      <c r="H128" s="1" t="n">
        <v>0.3</v>
      </c>
      <c r="I128" s="1" t="inlineStr">
        <is>
          <t>2027-05</t>
        </is>
      </c>
      <c r="J128" s="1" t="n">
        <v>1462135.39</v>
      </c>
      <c r="K128" s="1">
        <f>ROUND(J128*H128,2)</f>
        <v/>
      </c>
      <c r="L128" s="1" t="inlineStr">
        <is>
          <t>Y. Sandoval</t>
        </is>
      </c>
      <c r="M128" s="1" t="inlineStr">
        <is>
          <t>Close out or disqualify</t>
        </is>
      </c>
    </row>
    <row r="129">
      <c r="A129" s="1" t="inlineStr">
        <is>
          <t>OPP-2026-0128</t>
        </is>
      </c>
      <c r="B129" s="1" t="inlineStr">
        <is>
          <t>Pioneer Freight Union</t>
        </is>
      </c>
      <c r="C129" s="1" t="inlineStr">
        <is>
          <t>Freight brokerage</t>
        </is>
      </c>
      <c r="D129" s="1" t="inlineStr">
        <is>
          <t>US-Central</t>
        </is>
      </c>
      <c r="E129" s="1" t="inlineStr">
        <is>
          <t>Safety scanner retrofit kit</t>
        </is>
      </c>
      <c r="F129" s="1" t="n">
        <v>6</v>
      </c>
      <c r="G129" s="1" t="inlineStr">
        <is>
          <t>Site survey</t>
        </is>
      </c>
      <c r="H129" s="1" t="n">
        <v>0.3</v>
      </c>
      <c r="I129" s="1" t="inlineStr">
        <is>
          <t>2027-03</t>
        </is>
      </c>
      <c r="J129" s="1" t="n">
        <v>200968.97</v>
      </c>
      <c r="K129" s="1">
        <f>ROUND(J129*H129,2)</f>
        <v/>
      </c>
      <c r="L129" s="1" t="inlineStr">
        <is>
          <t>T. Ferreira</t>
        </is>
      </c>
      <c r="M129" s="1" t="inlineStr">
        <is>
          <t>Send revised proposal</t>
        </is>
      </c>
    </row>
    <row r="130">
      <c r="A130" s="1" t="inlineStr">
        <is>
          <t>OPP-2026-0129</t>
        </is>
      </c>
      <c r="B130" s="1" t="inlineStr">
        <is>
          <t>Westlake Chemical Depot</t>
        </is>
      </c>
      <c r="C130" s="1" t="inlineStr">
        <is>
          <t>Specialty chemicals</t>
        </is>
      </c>
      <c r="D130" s="1" t="inlineStr">
        <is>
          <t>US-Gulf</t>
        </is>
      </c>
      <c r="E130" s="1" t="inlineStr">
        <is>
          <t>Autonomous mobile robot, 220 kg payload</t>
        </is>
      </c>
      <c r="F130" s="1" t="n">
        <v>73</v>
      </c>
      <c r="G130" s="1" t="inlineStr">
        <is>
          <t>Verbal commitment</t>
        </is>
      </c>
      <c r="H130" s="1" t="n">
        <v>0.8</v>
      </c>
      <c r="I130" s="1" t="inlineStr">
        <is>
          <t>2026-07</t>
        </is>
      </c>
      <c r="J130" s="1" t="n">
        <v>3669370.48</v>
      </c>
      <c r="K130" s="1">
        <f>ROUND(J130*H130,2)</f>
        <v/>
      </c>
      <c r="L130" s="1" t="inlineStr">
        <is>
          <t>T. Ferreira</t>
        </is>
      </c>
      <c r="M130" s="1" t="inlineStr">
        <is>
          <t>Send revised proposal</t>
        </is>
      </c>
    </row>
    <row r="131">
      <c r="A131" s="1" t="inlineStr">
        <is>
          <t>OPP-2026-0130</t>
        </is>
      </c>
      <c r="B131" s="1" t="inlineStr">
        <is>
          <t>Tamarack Electronics</t>
        </is>
      </c>
      <c r="C131" s="1" t="inlineStr">
        <is>
          <t>Consumer electronics</t>
        </is>
      </c>
      <c r="D131" s="1" t="inlineStr">
        <is>
          <t>US-Northwest</t>
        </is>
      </c>
      <c r="E131" s="1" t="inlineStr">
        <is>
          <t>Autonomous mobile robot, 220 kg payload</t>
        </is>
      </c>
      <c r="F131" s="1" t="n">
        <v>76</v>
      </c>
      <c r="G131" s="1" t="inlineStr">
        <is>
          <t>Closed won</t>
        </is>
      </c>
      <c r="H131" s="1" t="n">
        <v>1</v>
      </c>
      <c r="I131" s="1" t="inlineStr">
        <is>
          <t>2026-09</t>
        </is>
      </c>
      <c r="J131" s="1" t="n">
        <v>2129671.1</v>
      </c>
      <c r="K131" s="1">
        <f>ROUND(J131*H131,2)</f>
        <v/>
      </c>
      <c r="L131" s="1" t="inlineStr">
        <is>
          <t>L. Ossipova</t>
        </is>
      </c>
      <c r="M131" s="1" t="inlineStr">
        <is>
          <t>Introduce reference customer</t>
        </is>
      </c>
    </row>
    <row r="132">
      <c r="A132" s="1" t="inlineStr">
        <is>
          <t>OPP-2026-0131</t>
        </is>
      </c>
      <c r="B132" s="1" t="inlineStr">
        <is>
          <t>Pioneer Freight Union</t>
        </is>
      </c>
      <c r="C132" s="1" t="inlineStr">
        <is>
          <t>Freight brokerage</t>
        </is>
      </c>
      <c r="D132" s="1" t="inlineStr">
        <is>
          <t>US-Central</t>
        </is>
      </c>
      <c r="E132" s="1" t="inlineStr">
        <is>
          <t>Autonomous mobile robot, 220 kg payload</t>
        </is>
      </c>
      <c r="F132" s="1" t="n">
        <v>51</v>
      </c>
      <c r="G132" s="1" t="inlineStr">
        <is>
          <t>Closed lost</t>
        </is>
      </c>
      <c r="H132" s="1" t="n">
        <v>0</v>
      </c>
      <c r="I132" s="1" t="inlineStr">
        <is>
          <t>2027-01</t>
        </is>
      </c>
      <c r="J132" s="1" t="n">
        <v>2112090.44</v>
      </c>
      <c r="K132" s="1">
        <f>ROUND(J132*H132,2)</f>
        <v/>
      </c>
      <c r="L132" s="1" t="inlineStr">
        <is>
          <t>L. Ossipova</t>
        </is>
      </c>
      <c r="M132" s="1" t="inlineStr">
        <is>
          <t>Close out or disqualify</t>
        </is>
      </c>
    </row>
    <row r="133">
      <c r="A133" s="1" t="inlineStr">
        <is>
          <t>OPP-2026-0132</t>
        </is>
      </c>
      <c r="B133" s="1" t="inlineStr">
        <is>
          <t>Quarrybridge Materials</t>
        </is>
      </c>
      <c r="C133" s="1" t="inlineStr">
        <is>
          <t>Aggregates</t>
        </is>
      </c>
      <c r="D133" s="1" t="inlineStr">
        <is>
          <t>US-Mountain</t>
        </is>
      </c>
      <c r="E133" s="1" t="inlineStr">
        <is>
          <t>Telemetry retention tier, extended</t>
        </is>
      </c>
      <c r="F133" s="1" t="n">
        <v>35</v>
      </c>
      <c r="G133" s="1" t="inlineStr">
        <is>
          <t>Proposal</t>
        </is>
      </c>
      <c r="H133" s="1" t="n">
        <v>0.45</v>
      </c>
      <c r="I133" s="1" t="inlineStr">
        <is>
          <t>2027-06</t>
        </is>
      </c>
      <c r="J133" s="1" t="n">
        <v>355910.73</v>
      </c>
      <c r="K133" s="1">
        <f>ROUND(J133*H133,2)</f>
        <v/>
      </c>
      <c r="L133" s="1" t="inlineStr">
        <is>
          <t>C. Bailey</t>
        </is>
      </c>
      <c r="M133" s="1" t="inlineStr">
        <is>
          <t>Introduce reference customer</t>
        </is>
      </c>
    </row>
    <row r="134">
      <c r="A134" s="1" t="inlineStr">
        <is>
          <t>OPP-2026-0133</t>
        </is>
      </c>
      <c r="B134" s="1" t="inlineStr">
        <is>
          <t>Bellweather Auto Group</t>
        </is>
      </c>
      <c r="C134" s="1" t="inlineStr">
        <is>
          <t>Automotive retail</t>
        </is>
      </c>
      <c r="D134" s="1" t="inlineStr">
        <is>
          <t>US-Central</t>
        </is>
      </c>
      <c r="E134" s="1" t="inlineStr">
        <is>
          <t>Remote operations desk coverage</t>
        </is>
      </c>
      <c r="F134" s="1" t="n">
        <v>19</v>
      </c>
      <c r="G134" s="1" t="inlineStr">
        <is>
          <t>Closed lost</t>
        </is>
      </c>
      <c r="H134" s="1" t="n">
        <v>0</v>
      </c>
      <c r="I134" s="1" t="inlineStr">
        <is>
          <t>2026-11</t>
        </is>
      </c>
      <c r="J134" s="1" t="n">
        <v>1219268.94</v>
      </c>
      <c r="K134" s="1">
        <f>ROUND(J134*H134,2)</f>
        <v/>
      </c>
      <c r="L134" s="1" t="inlineStr">
        <is>
          <t>C. Bailey</t>
        </is>
      </c>
      <c r="M134" s="1" t="inlineStr">
        <is>
          <t>Close out or disqualify</t>
        </is>
      </c>
    </row>
    <row r="135">
      <c r="A135" s="1" t="inlineStr">
        <is>
          <t>OPP-2026-0134</t>
        </is>
      </c>
      <c r="B135" s="1" t="inlineStr">
        <is>
          <t>Meridian Dynamics</t>
        </is>
      </c>
      <c r="C135" s="1" t="inlineStr">
        <is>
          <t>Aerospace supply</t>
        </is>
      </c>
      <c r="D135" s="1" t="inlineStr">
        <is>
          <t>US-Southwest</t>
        </is>
      </c>
      <c r="E135" s="1" t="inlineStr">
        <is>
          <t>Warehouse management system connector</t>
        </is>
      </c>
      <c r="F135" s="1" t="n">
        <v>52</v>
      </c>
      <c r="G135" s="1" t="inlineStr">
        <is>
          <t>Closed lost</t>
        </is>
      </c>
      <c r="H135" s="1" t="n">
        <v>0</v>
      </c>
      <c r="I135" s="1" t="inlineStr">
        <is>
          <t>2027-02</t>
        </is>
      </c>
      <c r="J135" s="1" t="n">
        <v>2941801.55</v>
      </c>
      <c r="K135" s="1">
        <f>ROUND(J135*H135,2)</f>
        <v/>
      </c>
      <c r="L135" s="1" t="inlineStr">
        <is>
          <t>C. Bailey</t>
        </is>
      </c>
      <c r="M135" s="1" t="inlineStr">
        <is>
          <t>Send revised proposal</t>
        </is>
      </c>
    </row>
    <row r="136">
      <c r="A136" s="1" t="inlineStr">
        <is>
          <t>OPP-2026-0135</t>
        </is>
      </c>
      <c r="B136" s="1" t="inlineStr">
        <is>
          <t>Crestline Fulfillment</t>
        </is>
      </c>
      <c r="C136" s="1" t="inlineStr">
        <is>
          <t>E-commerce fulfillment</t>
        </is>
      </c>
      <c r="D136" s="1" t="inlineStr">
        <is>
          <t>US-West</t>
        </is>
      </c>
      <c r="E136" s="1" t="inlineStr">
        <is>
          <t>Operator training programme</t>
        </is>
      </c>
      <c r="F136" s="1" t="n">
        <v>17</v>
      </c>
      <c r="G136" s="1" t="inlineStr">
        <is>
          <t>Proposal</t>
        </is>
      </c>
      <c r="H136" s="1" t="n">
        <v>0.45</v>
      </c>
      <c r="I136" s="1" t="inlineStr">
        <is>
          <t>2026-08</t>
        </is>
      </c>
      <c r="J136" s="1" t="n">
        <v>2341512.83</v>
      </c>
      <c r="K136" s="1">
        <f>ROUND(J136*H136,2)</f>
        <v/>
      </c>
      <c r="L136" s="1" t="inlineStr">
        <is>
          <t>Y. Sandoval</t>
        </is>
      </c>
      <c r="M136" s="1" t="inlineStr">
        <is>
          <t>Close out or disqualify</t>
        </is>
      </c>
    </row>
    <row r="137">
      <c r="A137" s="1" t="inlineStr">
        <is>
          <t>OPP-2026-0136</t>
        </is>
      </c>
      <c r="B137" s="1" t="inlineStr">
        <is>
          <t>Ironvale Grocery Group</t>
        </is>
      </c>
      <c r="C137" s="1" t="inlineStr">
        <is>
          <t>Grocery retail</t>
        </is>
      </c>
      <c r="D137" s="1" t="inlineStr">
        <is>
          <t>US-Midwest</t>
        </is>
      </c>
      <c r="E137" s="1" t="inlineStr">
        <is>
          <t>Autonomous mobile robot, 220 kg payload</t>
        </is>
      </c>
      <c r="F137" s="1" t="n">
        <v>7</v>
      </c>
      <c r="G137" s="1" t="inlineStr">
        <is>
          <t>Qualification</t>
        </is>
      </c>
      <c r="H137" s="1" t="n">
        <v>0.1</v>
      </c>
      <c r="I137" s="1" t="inlineStr">
        <is>
          <t>2027-05</t>
        </is>
      </c>
      <c r="J137" s="1" t="n">
        <v>2243495.47</v>
      </c>
      <c r="K137" s="1">
        <f>ROUND(J137*H137,2)</f>
        <v/>
      </c>
      <c r="L137" s="1" t="inlineStr">
        <is>
          <t>T. Ferreira</t>
        </is>
      </c>
      <c r="M137" s="1" t="inlineStr">
        <is>
          <t>Close out or disqualify</t>
        </is>
      </c>
    </row>
    <row r="138">
      <c r="A138" s="1" t="inlineStr">
        <is>
          <t>OPP-2026-0137</t>
        </is>
      </c>
      <c r="B138" s="1" t="inlineStr">
        <is>
          <t>Asterion Logistics</t>
        </is>
      </c>
      <c r="C138" s="1" t="inlineStr">
        <is>
          <t>Third-party logistics</t>
        </is>
      </c>
      <c r="D138" s="1" t="inlineStr">
        <is>
          <t>US-West</t>
        </is>
      </c>
      <c r="E138" s="1" t="inlineStr">
        <is>
          <t>Fleet orchestration expansion pack, per robot</t>
        </is>
      </c>
      <c r="F138" s="1" t="n">
        <v>38</v>
      </c>
      <c r="G138" s="1" t="inlineStr">
        <is>
          <t>Site survey</t>
        </is>
      </c>
      <c r="H138" s="1" t="n">
        <v>0.3</v>
      </c>
      <c r="I138" s="1" t="inlineStr">
        <is>
          <t>2027-03</t>
        </is>
      </c>
      <c r="J138" s="1" t="n">
        <v>1106198.48</v>
      </c>
      <c r="K138" s="1">
        <f>ROUND(J138*H138,2)</f>
        <v/>
      </c>
      <c r="L138" s="1" t="inlineStr">
        <is>
          <t>L. Ossipova</t>
        </is>
      </c>
      <c r="M138" s="1" t="inlineStr">
        <is>
          <t>Close out or disqualify</t>
        </is>
      </c>
    </row>
    <row r="139">
      <c r="A139" s="1" t="inlineStr">
        <is>
          <t>OPP-2026-0138</t>
        </is>
      </c>
      <c r="B139" s="1" t="inlineStr">
        <is>
          <t>Bellweather Auto Group</t>
        </is>
      </c>
      <c r="C139" s="1" t="inlineStr">
        <is>
          <t>Automotive retail</t>
        </is>
      </c>
      <c r="D139" s="1" t="inlineStr">
        <is>
          <t>US-Central</t>
        </is>
      </c>
      <c r="E139" s="1" t="inlineStr">
        <is>
          <t>Fleet orchestration platform, annual site licence</t>
        </is>
      </c>
      <c r="F139" s="1" t="n">
        <v>5</v>
      </c>
      <c r="G139" s="1" t="inlineStr">
        <is>
          <t>Discovery</t>
        </is>
      </c>
      <c r="H139" s="1" t="n">
        <v>0.2</v>
      </c>
      <c r="I139" s="1" t="inlineStr">
        <is>
          <t>2026-08</t>
        </is>
      </c>
      <c r="J139" s="1" t="n">
        <v>308486.51</v>
      </c>
      <c r="K139" s="1">
        <f>ROUND(J139*H139,2)</f>
        <v/>
      </c>
      <c r="L139" s="1" t="inlineStr">
        <is>
          <t>L. Ossipova</t>
        </is>
      </c>
      <c r="M139" s="1" t="inlineStr">
        <is>
          <t>Send revised proposal</t>
        </is>
      </c>
    </row>
    <row r="140">
      <c r="A140" s="1" t="inlineStr">
        <is>
          <t>OPP-2026-0139</t>
        </is>
      </c>
      <c r="B140" s="1" t="inlineStr">
        <is>
          <t>Granite Peak Distribution</t>
        </is>
      </c>
      <c r="C140" s="1" t="inlineStr">
        <is>
          <t>Building products</t>
        </is>
      </c>
      <c r="D140" s="1" t="inlineStr">
        <is>
          <t>US-Mountain</t>
        </is>
      </c>
      <c r="E140" s="1" t="inlineStr">
        <is>
          <t>Warehouse management system connector</t>
        </is>
      </c>
      <c r="F140" s="1" t="n">
        <v>9</v>
      </c>
      <c r="G140" s="1" t="inlineStr">
        <is>
          <t>Discovery</t>
        </is>
      </c>
      <c r="H140" s="1" t="n">
        <v>0.2</v>
      </c>
      <c r="I140" s="1" t="inlineStr">
        <is>
          <t>2027-06</t>
        </is>
      </c>
      <c r="J140" s="1" t="n">
        <v>1574611.84</v>
      </c>
      <c r="K140" s="1">
        <f>ROUND(J140*H140,2)</f>
        <v/>
      </c>
      <c r="L140" s="1" t="inlineStr">
        <is>
          <t>Y. Sandoval</t>
        </is>
      </c>
      <c r="M140" s="1" t="inlineStr">
        <is>
          <t>Send revised proposal</t>
        </is>
      </c>
    </row>
    <row r="141">
      <c r="A141" s="1" t="inlineStr">
        <is>
          <t>OPP-2026-0140</t>
        </is>
      </c>
      <c r="B141" s="1" t="inlineStr">
        <is>
          <t>Northfield Beverage</t>
        </is>
      </c>
      <c r="C141" s="1" t="inlineStr">
        <is>
          <t>Beverage</t>
        </is>
      </c>
      <c r="D141" s="1" t="inlineStr">
        <is>
          <t>US-Midwest</t>
        </is>
      </c>
      <c r="E141" s="1" t="inlineStr">
        <is>
          <t>Remote operations desk coverage</t>
        </is>
      </c>
      <c r="F141" s="1" t="n">
        <v>61</v>
      </c>
      <c r="G141" s="1" t="inlineStr">
        <is>
          <t>Site survey</t>
        </is>
      </c>
      <c r="H141" s="1" t="n">
        <v>0.3</v>
      </c>
      <c r="I141" s="1" t="inlineStr">
        <is>
          <t>2026-12</t>
        </is>
      </c>
      <c r="J141" s="1" t="n">
        <v>3562815.94</v>
      </c>
      <c r="K141" s="1">
        <f>ROUND(J141*H141,2)</f>
        <v/>
      </c>
      <c r="L141" s="1" t="inlineStr">
        <is>
          <t>C. Bailey</t>
        </is>
      </c>
      <c r="M141" s="1" t="inlineStr">
        <is>
          <t>Send revised proposal</t>
        </is>
      </c>
    </row>
    <row r="142">
      <c r="A142" s="1" t="inlineStr">
        <is>
          <t>OPP-2026-0141</t>
        </is>
      </c>
      <c r="B142" s="1" t="inlineStr">
        <is>
          <t>Elmsworth Publishing</t>
        </is>
      </c>
      <c r="C142" s="1" t="inlineStr">
        <is>
          <t>Print and media</t>
        </is>
      </c>
      <c r="D142" s="1" t="inlineStr">
        <is>
          <t>US-Northeast</t>
        </is>
      </c>
      <c r="E142" s="1" t="inlineStr">
        <is>
          <t>Fleet orchestration platform, annual site licence</t>
        </is>
      </c>
      <c r="F142" s="1" t="n">
        <v>26</v>
      </c>
      <c r="G142" s="1" t="inlineStr">
        <is>
          <t>Discovery</t>
        </is>
      </c>
      <c r="H142" s="1" t="n">
        <v>0.2</v>
      </c>
      <c r="I142" s="1" t="inlineStr">
        <is>
          <t>2026-10</t>
        </is>
      </c>
      <c r="J142" s="1" t="n">
        <v>1541985.31</v>
      </c>
      <c r="K142" s="1">
        <f>ROUND(J142*H142,2)</f>
        <v/>
      </c>
      <c r="L142" s="1" t="inlineStr">
        <is>
          <t>C. Bailey</t>
        </is>
      </c>
      <c r="M142" s="1" t="inlineStr">
        <is>
          <t>Schedule site survey</t>
        </is>
      </c>
    </row>
    <row r="143">
      <c r="A143" s="1" t="inlineStr">
        <is>
          <t>OPP-2026-0142</t>
        </is>
      </c>
      <c r="B143" s="1" t="inlineStr">
        <is>
          <t>Harborline Systems</t>
        </is>
      </c>
      <c r="C143" s="1" t="inlineStr">
        <is>
          <t>Marine logistics</t>
        </is>
      </c>
      <c r="D143" s="1" t="inlineStr">
        <is>
          <t>US-Northeast</t>
        </is>
      </c>
      <c r="E143" s="1" t="inlineStr">
        <is>
          <t>Premium support and spares pool</t>
        </is>
      </c>
      <c r="F143" s="1" t="n">
        <v>61</v>
      </c>
      <c r="G143" s="1" t="inlineStr">
        <is>
          <t>Qualification</t>
        </is>
      </c>
      <c r="H143" s="1" t="n">
        <v>0.1</v>
      </c>
      <c r="I143" s="1" t="inlineStr">
        <is>
          <t>2027-04</t>
        </is>
      </c>
      <c r="J143" s="1" t="n">
        <v>3476861.13</v>
      </c>
      <c r="K143" s="1">
        <f>ROUND(J143*H143,2)</f>
        <v/>
      </c>
      <c r="L143" s="1" t="inlineStr">
        <is>
          <t>Y. Sandoval</t>
        </is>
      </c>
      <c r="M143" s="1" t="inlineStr">
        <is>
          <t>Introduce reference customer</t>
        </is>
      </c>
    </row>
    <row r="144">
      <c r="A144" s="1" t="inlineStr">
        <is>
          <t>OPP-2026-0143</t>
        </is>
      </c>
      <c r="B144" s="1" t="inlineStr">
        <is>
          <t>Calder Marine Supply</t>
        </is>
      </c>
      <c r="C144" s="1" t="inlineStr">
        <is>
          <t>Marine supply</t>
        </is>
      </c>
      <c r="D144" s="1" t="inlineStr">
        <is>
          <t>US-Gulf</t>
        </is>
      </c>
      <c r="E144" s="1" t="inlineStr">
        <is>
          <t>Telemetry retention tier, extended</t>
        </is>
      </c>
      <c r="F144" s="1" t="n">
        <v>8</v>
      </c>
      <c r="G144" s="1" t="inlineStr">
        <is>
          <t>Verbal commitment</t>
        </is>
      </c>
      <c r="H144" s="1" t="n">
        <v>0.8</v>
      </c>
      <c r="I144" s="1" t="inlineStr">
        <is>
          <t>2027-07</t>
        </is>
      </c>
      <c r="J144" s="1" t="n">
        <v>3669678.61</v>
      </c>
      <c r="K144" s="1">
        <f>ROUND(J144*H144,2)</f>
        <v/>
      </c>
      <c r="L144" s="1" t="inlineStr">
        <is>
          <t>L. Ossipova</t>
        </is>
      </c>
      <c r="M144" s="1" t="inlineStr">
        <is>
          <t>Introduce reference customer</t>
        </is>
      </c>
    </row>
    <row r="145">
      <c r="A145" s="1" t="inlineStr">
        <is>
          <t>OPP-2026-0144</t>
        </is>
      </c>
      <c r="B145" s="1" t="inlineStr">
        <is>
          <t>Orchard Grove Foods</t>
        </is>
      </c>
      <c r="C145" s="1" t="inlineStr">
        <is>
          <t>Food processing</t>
        </is>
      </c>
      <c r="D145" s="1" t="inlineStr">
        <is>
          <t>US-West</t>
        </is>
      </c>
      <c r="E145" s="1" t="inlineStr">
        <is>
          <t>Operator training programme</t>
        </is>
      </c>
      <c r="F145" s="1" t="n">
        <v>54</v>
      </c>
      <c r="G145" s="1" t="inlineStr">
        <is>
          <t>Closed lost</t>
        </is>
      </c>
      <c r="H145" s="1" t="n">
        <v>0</v>
      </c>
      <c r="I145" s="1" t="inlineStr">
        <is>
          <t>2026-10</t>
        </is>
      </c>
      <c r="J145" s="1" t="n">
        <v>3540061.2</v>
      </c>
      <c r="K145" s="1">
        <f>ROUND(J145*H145,2)</f>
        <v/>
      </c>
      <c r="L145" s="1" t="inlineStr">
        <is>
          <t>C. Bailey</t>
        </is>
      </c>
      <c r="M145" s="1" t="inlineStr">
        <is>
          <t>Confirm capital approval</t>
        </is>
      </c>
    </row>
    <row r="146">
      <c r="A146" s="1" t="inlineStr">
        <is>
          <t>OPP-2026-0145</t>
        </is>
      </c>
      <c r="B146" s="1" t="inlineStr">
        <is>
          <t>Crestline Fulfillment</t>
        </is>
      </c>
      <c r="C146" s="1" t="inlineStr">
        <is>
          <t>E-commerce fulfillment</t>
        </is>
      </c>
      <c r="D146" s="1" t="inlineStr">
        <is>
          <t>US-West</t>
        </is>
      </c>
      <c r="E146" s="1" t="inlineStr">
        <is>
          <t>Fleet orchestration expansion pack, per robot</t>
        </is>
      </c>
      <c r="F146" s="1" t="n">
        <v>30</v>
      </c>
      <c r="G146" s="1" t="inlineStr">
        <is>
          <t>Proposal</t>
        </is>
      </c>
      <c r="H146" s="1" t="n">
        <v>0.45</v>
      </c>
      <c r="I146" s="1" t="inlineStr">
        <is>
          <t>2026-10</t>
        </is>
      </c>
      <c r="J146" s="1" t="n">
        <v>565450.92</v>
      </c>
      <c r="K146" s="1">
        <f>ROUND(J146*H146,2)</f>
        <v/>
      </c>
      <c r="L146" s="1" t="inlineStr">
        <is>
          <t>Y. Sandoval</t>
        </is>
      </c>
      <c r="M146" s="1" t="inlineStr">
        <is>
          <t>Close out or disqualify</t>
        </is>
      </c>
    </row>
    <row r="147">
      <c r="A147" s="1" t="inlineStr">
        <is>
          <t>OPP-2026-0146</t>
        </is>
      </c>
      <c r="B147" s="1" t="inlineStr">
        <is>
          <t>Asterion Logistics</t>
        </is>
      </c>
      <c r="C147" s="1" t="inlineStr">
        <is>
          <t>Third-party logistics</t>
        </is>
      </c>
      <c r="D147" s="1" t="inlineStr">
        <is>
          <t>US-West</t>
        </is>
      </c>
      <c r="E147" s="1" t="inlineStr">
        <is>
          <t>Fleet orchestration expansion pack, per robot</t>
        </is>
      </c>
      <c r="F147" s="1" t="n">
        <v>63</v>
      </c>
      <c r="G147" s="1" t="inlineStr">
        <is>
          <t>Discovery</t>
        </is>
      </c>
      <c r="H147" s="1" t="n">
        <v>0.2</v>
      </c>
      <c r="I147" s="1" t="inlineStr">
        <is>
          <t>2026-10</t>
        </is>
      </c>
      <c r="J147" s="1" t="n">
        <v>3476124.12</v>
      </c>
      <c r="K147" s="1">
        <f>ROUND(J147*H147,2)</f>
        <v/>
      </c>
      <c r="L147" s="1" t="inlineStr">
        <is>
          <t>T. Ferreira</t>
        </is>
      </c>
      <c r="M147" s="1" t="inlineStr">
        <is>
          <t>Close out or disqualify</t>
        </is>
      </c>
    </row>
    <row r="148">
      <c r="A148" s="1" t="inlineStr">
        <is>
          <t>OPP-2026-0147</t>
        </is>
      </c>
      <c r="B148" s="1" t="inlineStr">
        <is>
          <t>Granite Peak Distribution</t>
        </is>
      </c>
      <c r="C148" s="1" t="inlineStr">
        <is>
          <t>Building products</t>
        </is>
      </c>
      <c r="D148" s="1" t="inlineStr">
        <is>
          <t>US-Mountain</t>
        </is>
      </c>
      <c r="E148" s="1" t="inlineStr">
        <is>
          <t>Fleet orchestration expansion pack, per robot</t>
        </is>
      </c>
      <c r="F148" s="1" t="n">
        <v>26</v>
      </c>
      <c r="G148" s="1" t="inlineStr">
        <is>
          <t>Discovery</t>
        </is>
      </c>
      <c r="H148" s="1" t="n">
        <v>0.2</v>
      </c>
      <c r="I148" s="1" t="inlineStr">
        <is>
          <t>2027-05</t>
        </is>
      </c>
      <c r="J148" s="1" t="n">
        <v>3523262</v>
      </c>
      <c r="K148" s="1">
        <f>ROUND(J148*H148,2)</f>
        <v/>
      </c>
      <c r="L148" s="1" t="inlineStr">
        <is>
          <t>C. Bailey</t>
        </is>
      </c>
      <c r="M148" s="1" t="inlineStr">
        <is>
          <t>Close out or disqualify</t>
        </is>
      </c>
    </row>
    <row r="149">
      <c r="A149" s="1" t="inlineStr">
        <is>
          <t>OPP-2026-0148</t>
        </is>
      </c>
      <c r="B149" s="1" t="inlineStr">
        <is>
          <t>Yarrow Home Goods</t>
        </is>
      </c>
      <c r="C149" s="1" t="inlineStr">
        <is>
          <t>Home goods retail</t>
        </is>
      </c>
      <c r="D149" s="1" t="inlineStr">
        <is>
          <t>US-Southeast</t>
        </is>
      </c>
      <c r="E149" s="1" t="inlineStr">
        <is>
          <t>Operator training programme</t>
        </is>
      </c>
      <c r="F149" s="1" t="n">
        <v>55</v>
      </c>
      <c r="G149" s="1" t="inlineStr">
        <is>
          <t>Legal review</t>
        </is>
      </c>
      <c r="H149" s="1" t="n">
        <v>0.6</v>
      </c>
      <c r="I149" s="1" t="inlineStr">
        <is>
          <t>2027-04</t>
        </is>
      </c>
      <c r="J149" s="1" t="n">
        <v>3363234.79</v>
      </c>
      <c r="K149" s="1">
        <f>ROUND(J149*H149,2)</f>
        <v/>
      </c>
      <c r="L149" s="1" t="inlineStr">
        <is>
          <t>T. Ferreira</t>
        </is>
      </c>
      <c r="M149" s="1" t="inlineStr">
        <is>
          <t>Close out or disqualify</t>
        </is>
      </c>
    </row>
    <row r="150">
      <c r="A150" s="1" t="inlineStr">
        <is>
          <t>OPP-2026-0149</t>
        </is>
      </c>
      <c r="B150" s="1" t="inlineStr">
        <is>
          <t>Dunbar Industrial</t>
        </is>
      </c>
      <c r="C150" s="1" t="inlineStr">
        <is>
          <t>Heavy manufacturing</t>
        </is>
      </c>
      <c r="D150" s="1" t="inlineStr">
        <is>
          <t>US-Midwest</t>
        </is>
      </c>
      <c r="E150" s="1" t="inlineStr">
        <is>
          <t>Remote operations desk coverage</t>
        </is>
      </c>
      <c r="F150" s="1" t="n">
        <v>66</v>
      </c>
      <c r="G150" s="1" t="inlineStr">
        <is>
          <t>Discovery</t>
        </is>
      </c>
      <c r="H150" s="1" t="n">
        <v>0.2</v>
      </c>
      <c r="I150" s="1" t="inlineStr">
        <is>
          <t>2026-12</t>
        </is>
      </c>
      <c r="J150" s="1" t="n">
        <v>3181910.48</v>
      </c>
      <c r="K150" s="1">
        <f>ROUND(J150*H150,2)</f>
        <v/>
      </c>
      <c r="L150" s="1" t="inlineStr">
        <is>
          <t>Y. Sandoval</t>
        </is>
      </c>
      <c r="M150" s="1" t="inlineStr">
        <is>
          <t>Introduce reference customer</t>
        </is>
      </c>
    </row>
    <row r="151">
      <c r="A151" s="1" t="inlineStr">
        <is>
          <t>OPP-2026-0150</t>
        </is>
      </c>
      <c r="B151" s="1" t="inlineStr">
        <is>
          <t>Asterion Logistics</t>
        </is>
      </c>
      <c r="C151" s="1" t="inlineStr">
        <is>
          <t>Third-party logistics</t>
        </is>
      </c>
      <c r="D151" s="1" t="inlineStr">
        <is>
          <t>US-West</t>
        </is>
      </c>
      <c r="E151" s="1" t="inlineStr">
        <is>
          <t>Deployment and commissioning services</t>
        </is>
      </c>
      <c r="F151" s="1" t="n">
        <v>63</v>
      </c>
      <c r="G151" s="1" t="inlineStr">
        <is>
          <t>Site survey</t>
        </is>
      </c>
      <c r="H151" s="1" t="n">
        <v>0.3</v>
      </c>
      <c r="I151" s="1" t="inlineStr">
        <is>
          <t>2026-10</t>
        </is>
      </c>
      <c r="J151" s="1" t="n">
        <v>596673.5</v>
      </c>
      <c r="K151" s="1">
        <f>ROUND(J151*H151,2)</f>
        <v/>
      </c>
      <c r="L151" s="1" t="inlineStr">
        <is>
          <t>Y. Sandoval</t>
        </is>
      </c>
      <c r="M151" s="1" t="inlineStr">
        <is>
          <t>Close out or disqualify</t>
        </is>
      </c>
    </row>
    <row r="152">
      <c r="A152" s="1" t="inlineStr">
        <is>
          <t>OPP-2026-0151</t>
        </is>
      </c>
      <c r="B152" s="1" t="inlineStr">
        <is>
          <t>Granite Peak Distribution</t>
        </is>
      </c>
      <c r="C152" s="1" t="inlineStr">
        <is>
          <t>Building products</t>
        </is>
      </c>
      <c r="D152" s="1" t="inlineStr">
        <is>
          <t>US-Mountain</t>
        </is>
      </c>
      <c r="E152" s="1" t="inlineStr">
        <is>
          <t>Warehouse management system connector</t>
        </is>
      </c>
      <c r="F152" s="1" t="n">
        <v>86</v>
      </c>
      <c r="G152" s="1" t="inlineStr">
        <is>
          <t>Verbal commitment</t>
        </is>
      </c>
      <c r="H152" s="1" t="n">
        <v>0.8</v>
      </c>
      <c r="I152" s="1" t="inlineStr">
        <is>
          <t>2026-07</t>
        </is>
      </c>
      <c r="J152" s="1" t="n">
        <v>2263442.71</v>
      </c>
      <c r="K152" s="1">
        <f>ROUND(J152*H152,2)</f>
        <v/>
      </c>
      <c r="L152" s="1" t="inlineStr">
        <is>
          <t>Y. Sandoval</t>
        </is>
      </c>
      <c r="M152" s="1" t="inlineStr">
        <is>
          <t>Confirm capital approval</t>
        </is>
      </c>
    </row>
    <row r="153">
      <c r="A153" s="1" t="inlineStr">
        <is>
          <t>OPP-2026-0152</t>
        </is>
      </c>
      <c r="B153" s="1" t="inlineStr">
        <is>
          <t>Harborline Systems</t>
        </is>
      </c>
      <c r="C153" s="1" t="inlineStr">
        <is>
          <t>Marine logistics</t>
        </is>
      </c>
      <c r="D153" s="1" t="inlineStr">
        <is>
          <t>US-Northeast</t>
        </is>
      </c>
      <c r="E153" s="1" t="inlineStr">
        <is>
          <t>Premium support and spares pool</t>
        </is>
      </c>
      <c r="F153" s="1" t="n">
        <v>35</v>
      </c>
      <c r="G153" s="1" t="inlineStr">
        <is>
          <t>Qualification</t>
        </is>
      </c>
      <c r="H153" s="1" t="n">
        <v>0.1</v>
      </c>
      <c r="I153" s="1" t="inlineStr">
        <is>
          <t>2027-07</t>
        </is>
      </c>
      <c r="J153" s="1" t="n">
        <v>3892473.31</v>
      </c>
      <c r="K153" s="1">
        <f>ROUND(J153*H153,2)</f>
        <v/>
      </c>
      <c r="L153" s="1" t="inlineStr">
        <is>
          <t>C. Bailey</t>
        </is>
      </c>
      <c r="M153" s="1" t="inlineStr">
        <is>
          <t>Schedule site survey</t>
        </is>
      </c>
    </row>
    <row r="154">
      <c r="A154" s="1" t="inlineStr">
        <is>
          <t>OPP-2026-0153</t>
        </is>
      </c>
      <c r="B154" s="1" t="inlineStr">
        <is>
          <t>Granite Peak Distribution</t>
        </is>
      </c>
      <c r="C154" s="1" t="inlineStr">
        <is>
          <t>Building products</t>
        </is>
      </c>
      <c r="D154" s="1" t="inlineStr">
        <is>
          <t>US-Mountain</t>
        </is>
      </c>
      <c r="E154" s="1" t="inlineStr">
        <is>
          <t>Autonomous mobile robot, 220 kg payload</t>
        </is>
      </c>
      <c r="F154" s="1" t="n">
        <v>70</v>
      </c>
      <c r="G154" s="1" t="inlineStr">
        <is>
          <t>Qualification</t>
        </is>
      </c>
      <c r="H154" s="1" t="n">
        <v>0.1</v>
      </c>
      <c r="I154" s="1" t="inlineStr">
        <is>
          <t>2026-08</t>
        </is>
      </c>
      <c r="J154" s="1" t="n">
        <v>877960.62</v>
      </c>
      <c r="K154" s="1">
        <f>ROUND(J154*H154,2)</f>
        <v/>
      </c>
      <c r="L154" s="1" t="inlineStr">
        <is>
          <t>L. Ossipova</t>
        </is>
      </c>
      <c r="M154" s="1" t="inlineStr">
        <is>
          <t>Await legal turn</t>
        </is>
      </c>
    </row>
    <row r="155">
      <c r="A155" s="1" t="inlineStr">
        <is>
          <t>OPP-2026-0154</t>
        </is>
      </c>
      <c r="B155" s="1" t="inlineStr">
        <is>
          <t>Yarrow Home Goods</t>
        </is>
      </c>
      <c r="C155" s="1" t="inlineStr">
        <is>
          <t>Home goods retail</t>
        </is>
      </c>
      <c r="D155" s="1" t="inlineStr">
        <is>
          <t>US-Southeast</t>
        </is>
      </c>
      <c r="E155" s="1" t="inlineStr">
        <is>
          <t>Autonomous mobile robot, 220 kg payload</t>
        </is>
      </c>
      <c r="F155" s="1" t="n">
        <v>34</v>
      </c>
      <c r="G155" s="1" t="inlineStr">
        <is>
          <t>Closed won</t>
        </is>
      </c>
      <c r="H155" s="1" t="n">
        <v>1</v>
      </c>
      <c r="I155" s="1" t="inlineStr">
        <is>
          <t>2026-07</t>
        </is>
      </c>
      <c r="J155" s="1" t="n">
        <v>1207642.24</v>
      </c>
      <c r="K155" s="1">
        <f>ROUND(J155*H155,2)</f>
        <v/>
      </c>
      <c r="L155" s="1" t="inlineStr">
        <is>
          <t>T. Ferreira</t>
        </is>
      </c>
      <c r="M155" s="1" t="inlineStr">
        <is>
          <t>Await legal turn</t>
        </is>
      </c>
    </row>
    <row r="156">
      <c r="A156" s="1" t="inlineStr">
        <is>
          <t>OPP-2026-0155</t>
        </is>
      </c>
      <c r="B156" s="1" t="inlineStr">
        <is>
          <t>Dunbar Industrial</t>
        </is>
      </c>
      <c r="C156" s="1" t="inlineStr">
        <is>
          <t>Heavy manufacturing</t>
        </is>
      </c>
      <c r="D156" s="1" t="inlineStr">
        <is>
          <t>US-Midwest</t>
        </is>
      </c>
      <c r="E156" s="1" t="inlineStr">
        <is>
          <t>Autonomous mobile robot, 450 kg payload</t>
        </is>
      </c>
      <c r="F156" s="1" t="n">
        <v>9</v>
      </c>
      <c r="G156" s="1" t="inlineStr">
        <is>
          <t>Verbal commitment</t>
        </is>
      </c>
      <c r="H156" s="1" t="n">
        <v>0.8</v>
      </c>
      <c r="I156" s="1" t="inlineStr">
        <is>
          <t>2027-04</t>
        </is>
      </c>
      <c r="J156" s="1" t="n">
        <v>268775.06</v>
      </c>
      <c r="K156" s="1">
        <f>ROUND(J156*H156,2)</f>
        <v/>
      </c>
      <c r="L156" s="1" t="inlineStr">
        <is>
          <t>C. Bailey</t>
        </is>
      </c>
      <c r="M156" s="1" t="inlineStr">
        <is>
          <t>Schedule site survey</t>
        </is>
      </c>
    </row>
    <row r="157">
      <c r="A157" s="1" t="inlineStr">
        <is>
          <t>OPP-2026-0156</t>
        </is>
      </c>
      <c r="B157" s="1" t="inlineStr">
        <is>
          <t>Dorsey Grain Cooperative</t>
        </is>
      </c>
      <c r="C157" s="1" t="inlineStr">
        <is>
          <t>Agriculture</t>
        </is>
      </c>
      <c r="D157" s="1" t="inlineStr">
        <is>
          <t>US-Plains</t>
        </is>
      </c>
      <c r="E157" s="1" t="inlineStr">
        <is>
          <t>Remote operations desk coverage</t>
        </is>
      </c>
      <c r="F157" s="1" t="n">
        <v>93</v>
      </c>
      <c r="G157" s="1" t="inlineStr">
        <is>
          <t>Proposal</t>
        </is>
      </c>
      <c r="H157" s="1" t="n">
        <v>0.45</v>
      </c>
      <c r="I157" s="1" t="inlineStr">
        <is>
          <t>2026-11</t>
        </is>
      </c>
      <c r="J157" s="1" t="n">
        <v>2030739.38</v>
      </c>
      <c r="K157" s="1">
        <f>ROUND(J157*H157,2)</f>
        <v/>
      </c>
      <c r="L157" s="1" t="inlineStr">
        <is>
          <t>L. Ossipova</t>
        </is>
      </c>
      <c r="M157" s="1" t="inlineStr">
        <is>
          <t>Introduce reference customer</t>
        </is>
      </c>
    </row>
    <row r="158">
      <c r="A158" s="1" t="inlineStr">
        <is>
          <t>OPP-2026-0157</t>
        </is>
      </c>
      <c r="B158" s="1" t="inlineStr">
        <is>
          <t>Yarrow Home Goods</t>
        </is>
      </c>
      <c r="C158" s="1" t="inlineStr">
        <is>
          <t>Home goods retail</t>
        </is>
      </c>
      <c r="D158" s="1" t="inlineStr">
        <is>
          <t>US-Southeast</t>
        </is>
      </c>
      <c r="E158" s="1" t="inlineStr">
        <is>
          <t>Operator training programme</t>
        </is>
      </c>
      <c r="F158" s="1" t="n">
        <v>42</v>
      </c>
      <c r="G158" s="1" t="inlineStr">
        <is>
          <t>Verbal commitment</t>
        </is>
      </c>
      <c r="H158" s="1" t="n">
        <v>0.8</v>
      </c>
      <c r="I158" s="1" t="inlineStr">
        <is>
          <t>2027-04</t>
        </is>
      </c>
      <c r="J158" s="1" t="n">
        <v>1072057.58</v>
      </c>
      <c r="K158" s="1">
        <f>ROUND(J158*H158,2)</f>
        <v/>
      </c>
      <c r="L158" s="1" t="inlineStr">
        <is>
          <t>T. Ferreira</t>
        </is>
      </c>
      <c r="M158" s="1" t="inlineStr">
        <is>
          <t>Send revised proposal</t>
        </is>
      </c>
    </row>
    <row r="159">
      <c r="A159" s="1" t="inlineStr">
        <is>
          <t>OPP-2026-0158</t>
        </is>
      </c>
      <c r="B159" s="1" t="inlineStr">
        <is>
          <t>Dorsey Grain Cooperative</t>
        </is>
      </c>
      <c r="C159" s="1" t="inlineStr">
        <is>
          <t>Agriculture</t>
        </is>
      </c>
      <c r="D159" s="1" t="inlineStr">
        <is>
          <t>US-Plains</t>
        </is>
      </c>
      <c r="E159" s="1" t="inlineStr">
        <is>
          <t>Safety scanner retrofit kit</t>
        </is>
      </c>
      <c r="F159" s="1" t="n">
        <v>78</v>
      </c>
      <c r="G159" s="1" t="inlineStr">
        <is>
          <t>Proposal</t>
        </is>
      </c>
      <c r="H159" s="1" t="n">
        <v>0.45</v>
      </c>
      <c r="I159" s="1" t="inlineStr">
        <is>
          <t>2027-04</t>
        </is>
      </c>
      <c r="J159" s="1" t="n">
        <v>3078853.38</v>
      </c>
      <c r="K159" s="1">
        <f>ROUND(J159*H159,2)</f>
        <v/>
      </c>
      <c r="L159" s="1" t="inlineStr">
        <is>
          <t>C. Bailey</t>
        </is>
      </c>
      <c r="M159" s="1" t="inlineStr">
        <is>
          <t>Introduce reference customer</t>
        </is>
      </c>
    </row>
    <row r="160">
      <c r="A160" s="1" t="inlineStr">
        <is>
          <t>OPP-2026-0159</t>
        </is>
      </c>
      <c r="B160" s="1" t="inlineStr">
        <is>
          <t>Westlake Chemical Depot</t>
        </is>
      </c>
      <c r="C160" s="1" t="inlineStr">
        <is>
          <t>Specialty chemicals</t>
        </is>
      </c>
      <c r="D160" s="1" t="inlineStr">
        <is>
          <t>US-Gulf</t>
        </is>
      </c>
      <c r="E160" s="1" t="inlineStr">
        <is>
          <t>Safety scanner retrofit kit</t>
        </is>
      </c>
      <c r="F160" s="1" t="n">
        <v>80</v>
      </c>
      <c r="G160" s="1" t="inlineStr">
        <is>
          <t>Verbal commitment</t>
        </is>
      </c>
      <c r="H160" s="1" t="n">
        <v>0.8</v>
      </c>
      <c r="I160" s="1" t="inlineStr">
        <is>
          <t>2027-04</t>
        </is>
      </c>
      <c r="J160" s="1" t="n">
        <v>1175539.43</v>
      </c>
      <c r="K160" s="1">
        <f>ROUND(J160*H160,2)</f>
        <v/>
      </c>
      <c r="L160" s="1" t="inlineStr">
        <is>
          <t>C. Bailey</t>
        </is>
      </c>
      <c r="M160" s="1" t="inlineStr">
        <is>
          <t>Confirm capital approval</t>
        </is>
      </c>
    </row>
    <row r="161">
      <c r="A161" s="1" t="inlineStr">
        <is>
          <t>OPP-2026-0160</t>
        </is>
      </c>
      <c r="B161" s="1" t="inlineStr">
        <is>
          <t>Blue Mesa Components</t>
        </is>
      </c>
      <c r="C161" s="1" t="inlineStr">
        <is>
          <t>Industrial distribution</t>
        </is>
      </c>
      <c r="D161" s="1" t="inlineStr">
        <is>
          <t>US-Southwest</t>
        </is>
      </c>
      <c r="E161" s="1" t="inlineStr">
        <is>
          <t>Telemetry retention tier, extended</t>
        </is>
      </c>
      <c r="F161" s="1" t="n">
        <v>80</v>
      </c>
      <c r="G161" s="1" t="inlineStr">
        <is>
          <t>Closed won</t>
        </is>
      </c>
      <c r="H161" s="1" t="n">
        <v>1</v>
      </c>
      <c r="I161" s="1" t="inlineStr">
        <is>
          <t>2027-07</t>
        </is>
      </c>
      <c r="J161" s="1" t="n">
        <v>1992639.17</v>
      </c>
      <c r="K161" s="1">
        <f>ROUND(J161*H161,2)</f>
        <v/>
      </c>
      <c r="L161" s="1" t="inlineStr">
        <is>
          <t>L. Ossipova</t>
        </is>
      </c>
      <c r="M161" s="1" t="inlineStr">
        <is>
          <t>Await legal turn</t>
        </is>
      </c>
    </row>
    <row r="162">
      <c r="A162" s="1" t="inlineStr">
        <is>
          <t>OPP-2026-0161</t>
        </is>
      </c>
      <c r="B162" s="1" t="inlineStr">
        <is>
          <t>Dunbar Industrial</t>
        </is>
      </c>
      <c r="C162" s="1" t="inlineStr">
        <is>
          <t>Heavy manufacturing</t>
        </is>
      </c>
      <c r="D162" s="1" t="inlineStr">
        <is>
          <t>US-Midwest</t>
        </is>
      </c>
      <c r="E162" s="1" t="inlineStr">
        <is>
          <t>Telemetry retention tier, extended</t>
        </is>
      </c>
      <c r="F162" s="1" t="n">
        <v>48</v>
      </c>
      <c r="G162" s="1" t="inlineStr">
        <is>
          <t>Discovery</t>
        </is>
      </c>
      <c r="H162" s="1" t="n">
        <v>0.2</v>
      </c>
      <c r="I162" s="1" t="inlineStr">
        <is>
          <t>2026-11</t>
        </is>
      </c>
      <c r="J162" s="1" t="n">
        <v>1757387.85</v>
      </c>
      <c r="K162" s="1">
        <f>ROUND(J162*H162,2)</f>
        <v/>
      </c>
      <c r="L162" s="1" t="inlineStr">
        <is>
          <t>T. Ferreira</t>
        </is>
      </c>
      <c r="M162" s="1" t="inlineStr">
        <is>
          <t>Await legal turn</t>
        </is>
      </c>
    </row>
    <row r="163">
      <c r="A163" s="1" t="inlineStr">
        <is>
          <t>OPP-2026-0162</t>
        </is>
      </c>
      <c r="B163" s="1" t="inlineStr">
        <is>
          <t>Dunbar Industrial</t>
        </is>
      </c>
      <c r="C163" s="1" t="inlineStr">
        <is>
          <t>Heavy manufacturing</t>
        </is>
      </c>
      <c r="D163" s="1" t="inlineStr">
        <is>
          <t>US-Midwest</t>
        </is>
      </c>
      <c r="E163" s="1" t="inlineStr">
        <is>
          <t>Fleet orchestration expansion pack, per robot</t>
        </is>
      </c>
      <c r="F163" s="1" t="n">
        <v>37</v>
      </c>
      <c r="G163" s="1" t="inlineStr">
        <is>
          <t>Closed lost</t>
        </is>
      </c>
      <c r="H163" s="1" t="n">
        <v>0</v>
      </c>
      <c r="I163" s="1" t="inlineStr">
        <is>
          <t>2027-03</t>
        </is>
      </c>
      <c r="J163" s="1" t="n">
        <v>2114942.55</v>
      </c>
      <c r="K163" s="1">
        <f>ROUND(J163*H163,2)</f>
        <v/>
      </c>
      <c r="L163" s="1" t="inlineStr">
        <is>
          <t>C. Bailey</t>
        </is>
      </c>
      <c r="M163" s="1" t="inlineStr">
        <is>
          <t>Introduce reference customer</t>
        </is>
      </c>
    </row>
    <row r="164">
      <c r="A164" s="1" t="inlineStr">
        <is>
          <t>OPP-2026-0163</t>
        </is>
      </c>
      <c r="B164" s="1" t="inlineStr">
        <is>
          <t>Northfield Beverage</t>
        </is>
      </c>
      <c r="C164" s="1" t="inlineStr">
        <is>
          <t>Beverage</t>
        </is>
      </c>
      <c r="D164" s="1" t="inlineStr">
        <is>
          <t>US-Midwest</t>
        </is>
      </c>
      <c r="E164" s="1" t="inlineStr">
        <is>
          <t>Telemetry retention tier, extended</t>
        </is>
      </c>
      <c r="F164" s="1" t="n">
        <v>84</v>
      </c>
      <c r="G164" s="1" t="inlineStr">
        <is>
          <t>Qualification</t>
        </is>
      </c>
      <c r="H164" s="1" t="n">
        <v>0.1</v>
      </c>
      <c r="I164" s="1" t="inlineStr">
        <is>
          <t>2026-10</t>
        </is>
      </c>
      <c r="J164" s="1" t="n">
        <v>2492360.35</v>
      </c>
      <c r="K164" s="1">
        <f>ROUND(J164*H164,2)</f>
        <v/>
      </c>
      <c r="L164" s="1" t="inlineStr">
        <is>
          <t>Y. Sandoval</t>
        </is>
      </c>
      <c r="M164" s="1" t="inlineStr">
        <is>
          <t>Await legal turn</t>
        </is>
      </c>
    </row>
    <row r="165">
      <c r="A165" s="1" t="inlineStr">
        <is>
          <t>OPP-2026-0164</t>
        </is>
      </c>
      <c r="B165" s="1" t="inlineStr">
        <is>
          <t>Harborline Systems</t>
        </is>
      </c>
      <c r="C165" s="1" t="inlineStr">
        <is>
          <t>Marine logistics</t>
        </is>
      </c>
      <c r="D165" s="1" t="inlineStr">
        <is>
          <t>US-Northeast</t>
        </is>
      </c>
      <c r="E165" s="1" t="inlineStr">
        <is>
          <t>Safety scanner retrofit kit</t>
        </is>
      </c>
      <c r="F165" s="1" t="n">
        <v>86</v>
      </c>
      <c r="G165" s="1" t="inlineStr">
        <is>
          <t>Qualification</t>
        </is>
      </c>
      <c r="H165" s="1" t="n">
        <v>0.1</v>
      </c>
      <c r="I165" s="1" t="inlineStr">
        <is>
          <t>2027-03</t>
        </is>
      </c>
      <c r="J165" s="1" t="n">
        <v>1200615.32</v>
      </c>
      <c r="K165" s="1">
        <f>ROUND(J165*H165,2)</f>
        <v/>
      </c>
      <c r="L165" s="1" t="inlineStr">
        <is>
          <t>T. Ferreira</t>
        </is>
      </c>
      <c r="M165" s="1" t="inlineStr">
        <is>
          <t>Confirm capital approval</t>
        </is>
      </c>
    </row>
    <row r="166">
      <c r="A166" s="1" t="inlineStr">
        <is>
          <t>OPP-2026-0165</t>
        </is>
      </c>
      <c r="B166" s="1" t="inlineStr">
        <is>
          <t>Summit Ridge Retail</t>
        </is>
      </c>
      <c r="C166" s="1" t="inlineStr">
        <is>
          <t>Big-box retail</t>
        </is>
      </c>
      <c r="D166" s="1" t="inlineStr">
        <is>
          <t>US-Mountain</t>
        </is>
      </c>
      <c r="E166" s="1" t="inlineStr">
        <is>
          <t>Opportunity charging dock</t>
        </is>
      </c>
      <c r="F166" s="1" t="n">
        <v>23</v>
      </c>
      <c r="G166" s="1" t="inlineStr">
        <is>
          <t>Closed lost</t>
        </is>
      </c>
      <c r="H166" s="1" t="n">
        <v>0</v>
      </c>
      <c r="I166" s="1" t="inlineStr">
        <is>
          <t>2027-06</t>
        </is>
      </c>
      <c r="J166" s="1" t="n">
        <v>3216309.87</v>
      </c>
      <c r="K166" s="1">
        <f>ROUND(J166*H166,2)</f>
        <v/>
      </c>
      <c r="L166" s="1" t="inlineStr">
        <is>
          <t>L. Ossipova</t>
        </is>
      </c>
      <c r="M166" s="1" t="inlineStr">
        <is>
          <t>Close out or disqualify</t>
        </is>
      </c>
    </row>
    <row r="167">
      <c r="A167" s="1" t="inlineStr">
        <is>
          <t>OPP-2026-0166</t>
        </is>
      </c>
      <c r="B167" s="1" t="inlineStr">
        <is>
          <t>Asterion Logistics</t>
        </is>
      </c>
      <c r="C167" s="1" t="inlineStr">
        <is>
          <t>Third-party logistics</t>
        </is>
      </c>
      <c r="D167" s="1" t="inlineStr">
        <is>
          <t>US-West</t>
        </is>
      </c>
      <c r="E167" s="1" t="inlineStr">
        <is>
          <t>Safety scanner retrofit kit</t>
        </is>
      </c>
      <c r="F167" s="1" t="n">
        <v>65</v>
      </c>
      <c r="G167" s="1" t="inlineStr">
        <is>
          <t>Qualification</t>
        </is>
      </c>
      <c r="H167" s="1" t="n">
        <v>0.1</v>
      </c>
      <c r="I167" s="1" t="inlineStr">
        <is>
          <t>2026-11</t>
        </is>
      </c>
      <c r="J167" s="1" t="n">
        <v>584612.45</v>
      </c>
      <c r="K167" s="1">
        <f>ROUND(J167*H167,2)</f>
        <v/>
      </c>
      <c r="L167" s="1" t="inlineStr">
        <is>
          <t>C. Bailey</t>
        </is>
      </c>
      <c r="M167" s="1" t="inlineStr">
        <is>
          <t>Await legal turn</t>
        </is>
      </c>
    </row>
    <row r="168">
      <c r="A168" s="1" t="inlineStr">
        <is>
          <t>OPP-2026-0167</t>
        </is>
      </c>
      <c r="B168" s="1" t="inlineStr">
        <is>
          <t>Evergreen Warehousing</t>
        </is>
      </c>
      <c r="C168" s="1" t="inlineStr">
        <is>
          <t>Cold chain</t>
        </is>
      </c>
      <c r="D168" s="1" t="inlineStr">
        <is>
          <t>US-Northwest</t>
        </is>
      </c>
      <c r="E168" s="1" t="inlineStr">
        <is>
          <t>Fleet orchestration expansion pack, per robot</t>
        </is>
      </c>
      <c r="F168" s="1" t="n">
        <v>87</v>
      </c>
      <c r="G168" s="1" t="inlineStr">
        <is>
          <t>Qualification</t>
        </is>
      </c>
      <c r="H168" s="1" t="n">
        <v>0.1</v>
      </c>
      <c r="I168" s="1" t="inlineStr">
        <is>
          <t>2027-05</t>
        </is>
      </c>
      <c r="J168" s="1" t="n">
        <v>2245547.96</v>
      </c>
      <c r="K168" s="1">
        <f>ROUND(J168*H168,2)</f>
        <v/>
      </c>
      <c r="L168" s="1" t="inlineStr">
        <is>
          <t>T. Ferreira</t>
        </is>
      </c>
      <c r="M168" s="1" t="inlineStr">
        <is>
          <t>Await legal turn</t>
        </is>
      </c>
    </row>
    <row r="169">
      <c r="A169" s="1" t="inlineStr">
        <is>
          <t>OPP-2026-0168</t>
        </is>
      </c>
      <c r="B169" s="1" t="inlineStr">
        <is>
          <t>Dorsey Grain Cooperative</t>
        </is>
      </c>
      <c r="C169" s="1" t="inlineStr">
        <is>
          <t>Agriculture</t>
        </is>
      </c>
      <c r="D169" s="1" t="inlineStr">
        <is>
          <t>US-Plains</t>
        </is>
      </c>
      <c r="E169" s="1" t="inlineStr">
        <is>
          <t>Premium support and spares pool</t>
        </is>
      </c>
      <c r="F169" s="1" t="n">
        <v>22</v>
      </c>
      <c r="G169" s="1" t="inlineStr">
        <is>
          <t>Qualification</t>
        </is>
      </c>
      <c r="H169" s="1" t="n">
        <v>0.1</v>
      </c>
      <c r="I169" s="1" t="inlineStr">
        <is>
          <t>2027-02</t>
        </is>
      </c>
      <c r="J169" s="1" t="n">
        <v>3842548.35</v>
      </c>
      <c r="K169" s="1">
        <f>ROUND(J169*H169,2)</f>
        <v/>
      </c>
      <c r="L169" s="1" t="inlineStr">
        <is>
          <t>C. Bailey</t>
        </is>
      </c>
      <c r="M169" s="1" t="inlineStr">
        <is>
          <t>Introduce reference customer</t>
        </is>
      </c>
    </row>
    <row r="170">
      <c r="A170" s="1" t="inlineStr">
        <is>
          <t>OPP-2026-0169</t>
        </is>
      </c>
      <c r="B170" s="1" t="inlineStr">
        <is>
          <t>Dunbar Industrial</t>
        </is>
      </c>
      <c r="C170" s="1" t="inlineStr">
        <is>
          <t>Heavy manufacturing</t>
        </is>
      </c>
      <c r="D170" s="1" t="inlineStr">
        <is>
          <t>US-Midwest</t>
        </is>
      </c>
      <c r="E170" s="1" t="inlineStr">
        <is>
          <t>Fleet orchestration platform, annual site licence</t>
        </is>
      </c>
      <c r="F170" s="1" t="n">
        <v>53</v>
      </c>
      <c r="G170" s="1" t="inlineStr">
        <is>
          <t>Site survey</t>
        </is>
      </c>
      <c r="H170" s="1" t="n">
        <v>0.3</v>
      </c>
      <c r="I170" s="1" t="inlineStr">
        <is>
          <t>2026-08</t>
        </is>
      </c>
      <c r="J170" s="1" t="n">
        <v>1845078.25</v>
      </c>
      <c r="K170" s="1">
        <f>ROUND(J170*H170,2)</f>
        <v/>
      </c>
      <c r="L170" s="1" t="inlineStr">
        <is>
          <t>Y. Sandoval</t>
        </is>
      </c>
      <c r="M170" s="1" t="inlineStr">
        <is>
          <t>Introduce reference customer</t>
        </is>
      </c>
    </row>
    <row r="171">
      <c r="A171" s="1" t="inlineStr">
        <is>
          <t>OPP-2026-0170</t>
        </is>
      </c>
      <c r="B171" s="1" t="inlineStr">
        <is>
          <t>Harborline Systems</t>
        </is>
      </c>
      <c r="C171" s="1" t="inlineStr">
        <is>
          <t>Marine logistics</t>
        </is>
      </c>
      <c r="D171" s="1" t="inlineStr">
        <is>
          <t>US-Northeast</t>
        </is>
      </c>
      <c r="E171" s="1" t="inlineStr">
        <is>
          <t>Fleet orchestration platform, annual site licence</t>
        </is>
      </c>
      <c r="F171" s="1" t="n">
        <v>10</v>
      </c>
      <c r="G171" s="1" t="inlineStr">
        <is>
          <t>Proposal</t>
        </is>
      </c>
      <c r="H171" s="1" t="n">
        <v>0.45</v>
      </c>
      <c r="I171" s="1" t="inlineStr">
        <is>
          <t>2027-07</t>
        </is>
      </c>
      <c r="J171" s="1" t="n">
        <v>2185105.97</v>
      </c>
      <c r="K171" s="1">
        <f>ROUND(J171*H171,2)</f>
        <v/>
      </c>
      <c r="L171" s="1" t="inlineStr">
        <is>
          <t>Y. Sandoval</t>
        </is>
      </c>
      <c r="M171" s="1" t="inlineStr">
        <is>
          <t>Close out or disqualify</t>
        </is>
      </c>
    </row>
    <row r="172">
      <c r="A172" s="1" t="inlineStr">
        <is>
          <t>OPP-2026-0171</t>
        </is>
      </c>
      <c r="B172" s="1" t="inlineStr">
        <is>
          <t>Harborline Systems</t>
        </is>
      </c>
      <c r="C172" s="1" t="inlineStr">
        <is>
          <t>Marine logistics</t>
        </is>
      </c>
      <c r="D172" s="1" t="inlineStr">
        <is>
          <t>US-Northeast</t>
        </is>
      </c>
      <c r="E172" s="1" t="inlineStr">
        <is>
          <t>Warehouse management system connector</t>
        </is>
      </c>
      <c r="F172" s="1" t="n">
        <v>49</v>
      </c>
      <c r="G172" s="1" t="inlineStr">
        <is>
          <t>Discovery</t>
        </is>
      </c>
      <c r="H172" s="1" t="n">
        <v>0.2</v>
      </c>
      <c r="I172" s="1" t="inlineStr">
        <is>
          <t>2027-02</t>
        </is>
      </c>
      <c r="J172" s="1" t="n">
        <v>2666509.37</v>
      </c>
      <c r="K172" s="1">
        <f>ROUND(J172*H172,2)</f>
        <v/>
      </c>
      <c r="L172" s="1" t="inlineStr">
        <is>
          <t>C. Bailey</t>
        </is>
      </c>
      <c r="M172" s="1" t="inlineStr">
        <is>
          <t>Introduce reference customer</t>
        </is>
      </c>
    </row>
    <row r="173">
      <c r="A173" s="1" t="inlineStr">
        <is>
          <t>OPP-2026-0172</t>
        </is>
      </c>
      <c r="B173" s="1" t="inlineStr">
        <is>
          <t>Bellweather Auto Group</t>
        </is>
      </c>
      <c r="C173" s="1" t="inlineStr">
        <is>
          <t>Automotive retail</t>
        </is>
      </c>
      <c r="D173" s="1" t="inlineStr">
        <is>
          <t>US-Central</t>
        </is>
      </c>
      <c r="E173" s="1" t="inlineStr">
        <is>
          <t>Telemetry retention tier, extended</t>
        </is>
      </c>
      <c r="F173" s="1" t="n">
        <v>16</v>
      </c>
      <c r="G173" s="1" t="inlineStr">
        <is>
          <t>Verbal commitment</t>
        </is>
      </c>
      <c r="H173" s="1" t="n">
        <v>0.8</v>
      </c>
      <c r="I173" s="1" t="inlineStr">
        <is>
          <t>2027-04</t>
        </is>
      </c>
      <c r="J173" s="1" t="n">
        <v>3695147.75</v>
      </c>
      <c r="K173" s="1">
        <f>ROUND(J173*H173,2)</f>
        <v/>
      </c>
      <c r="L173" s="1" t="inlineStr">
        <is>
          <t>L. Ossipova</t>
        </is>
      </c>
      <c r="M173" s="1" t="inlineStr">
        <is>
          <t>Introduce reference customer</t>
        </is>
      </c>
    </row>
    <row r="174">
      <c r="A174" s="1" t="inlineStr">
        <is>
          <t>OPP-2026-0173</t>
        </is>
      </c>
      <c r="B174" s="1" t="inlineStr">
        <is>
          <t>Fathom Mobility</t>
        </is>
      </c>
      <c r="C174" s="1" t="inlineStr">
        <is>
          <t>Automotive parts</t>
        </is>
      </c>
      <c r="D174" s="1" t="inlineStr">
        <is>
          <t>US-Southeast</t>
        </is>
      </c>
      <c r="E174" s="1" t="inlineStr">
        <is>
          <t>Fleet orchestration platform, annual site licence</t>
        </is>
      </c>
      <c r="F174" s="1" t="n">
        <v>17</v>
      </c>
      <c r="G174" s="1" t="inlineStr">
        <is>
          <t>Site survey</t>
        </is>
      </c>
      <c r="H174" s="1" t="n">
        <v>0.3</v>
      </c>
      <c r="I174" s="1" t="inlineStr">
        <is>
          <t>2027-04</t>
        </is>
      </c>
      <c r="J174" s="1" t="n">
        <v>1495595.37</v>
      </c>
      <c r="K174" s="1">
        <f>ROUND(J174*H174,2)</f>
        <v/>
      </c>
      <c r="L174" s="1" t="inlineStr">
        <is>
          <t>L. Ossipova</t>
        </is>
      </c>
      <c r="M174" s="1" t="inlineStr">
        <is>
          <t>Introduce reference customer</t>
        </is>
      </c>
    </row>
    <row r="175">
      <c r="A175" s="1" t="inlineStr">
        <is>
          <t>OPP-2026-0174</t>
        </is>
      </c>
      <c r="B175" s="1" t="inlineStr">
        <is>
          <t>Tamarack Electronics</t>
        </is>
      </c>
      <c r="C175" s="1" t="inlineStr">
        <is>
          <t>Consumer electronics</t>
        </is>
      </c>
      <c r="D175" s="1" t="inlineStr">
        <is>
          <t>US-Northwest</t>
        </is>
      </c>
      <c r="E175" s="1" t="inlineStr">
        <is>
          <t>Fleet orchestration platform, annual site licence</t>
        </is>
      </c>
      <c r="F175" s="1" t="n">
        <v>28</v>
      </c>
      <c r="G175" s="1" t="inlineStr">
        <is>
          <t>Site survey</t>
        </is>
      </c>
      <c r="H175" s="1" t="n">
        <v>0.3</v>
      </c>
      <c r="I175" s="1" t="inlineStr">
        <is>
          <t>2027-04</t>
        </is>
      </c>
      <c r="J175" s="1" t="n">
        <v>3258704.35</v>
      </c>
      <c r="K175" s="1">
        <f>ROUND(J175*H175,2)</f>
        <v/>
      </c>
      <c r="L175" s="1" t="inlineStr">
        <is>
          <t>L. Ossipova</t>
        </is>
      </c>
      <c r="M175" s="1" t="inlineStr">
        <is>
          <t>Confirm capital approval</t>
        </is>
      </c>
    </row>
    <row r="176">
      <c r="A176" s="1" t="inlineStr">
        <is>
          <t>OPP-2026-0175</t>
        </is>
      </c>
      <c r="B176" s="1" t="inlineStr">
        <is>
          <t>Larkspur Apparel</t>
        </is>
      </c>
      <c r="C176" s="1" t="inlineStr">
        <is>
          <t>Apparel retail</t>
        </is>
      </c>
      <c r="D176" s="1" t="inlineStr">
        <is>
          <t>US-Southeast</t>
        </is>
      </c>
      <c r="E176" s="1" t="inlineStr">
        <is>
          <t>Warehouse management system connector</t>
        </is>
      </c>
      <c r="F176" s="1" t="n">
        <v>85</v>
      </c>
      <c r="G176" s="1" t="inlineStr">
        <is>
          <t>Discovery</t>
        </is>
      </c>
      <c r="H176" s="1" t="n">
        <v>0.2</v>
      </c>
      <c r="I176" s="1" t="inlineStr">
        <is>
          <t>2026-11</t>
        </is>
      </c>
      <c r="J176" s="1" t="n">
        <v>445724.66</v>
      </c>
      <c r="K176" s="1">
        <f>ROUND(J176*H176,2)</f>
        <v/>
      </c>
      <c r="L176" s="1" t="inlineStr">
        <is>
          <t>C. Bailey</t>
        </is>
      </c>
      <c r="M176" s="1" t="inlineStr">
        <is>
          <t>Introduce reference customer</t>
        </is>
      </c>
    </row>
    <row r="177">
      <c r="A177" s="1" t="inlineStr">
        <is>
          <t>OPP-2026-0176</t>
        </is>
      </c>
      <c r="B177" s="1" t="inlineStr">
        <is>
          <t>Yarrow Home Goods</t>
        </is>
      </c>
      <c r="C177" s="1" t="inlineStr">
        <is>
          <t>Home goods retail</t>
        </is>
      </c>
      <c r="D177" s="1" t="inlineStr">
        <is>
          <t>US-Southeast</t>
        </is>
      </c>
      <c r="E177" s="1" t="inlineStr">
        <is>
          <t>Premium support and spares pool</t>
        </is>
      </c>
      <c r="F177" s="1" t="n">
        <v>5</v>
      </c>
      <c r="G177" s="1" t="inlineStr">
        <is>
          <t>Closed lost</t>
        </is>
      </c>
      <c r="H177" s="1" t="n">
        <v>0</v>
      </c>
      <c r="I177" s="1" t="inlineStr">
        <is>
          <t>2026-10</t>
        </is>
      </c>
      <c r="J177" s="1" t="n">
        <v>3518925.45</v>
      </c>
      <c r="K177" s="1">
        <f>ROUND(J177*H177,2)</f>
        <v/>
      </c>
      <c r="L177" s="1" t="inlineStr">
        <is>
          <t>L. Ossipova</t>
        </is>
      </c>
      <c r="M177" s="1" t="inlineStr">
        <is>
          <t>Await legal turn</t>
        </is>
      </c>
    </row>
    <row r="178">
      <c r="A178" s="1" t="inlineStr">
        <is>
          <t>OPP-2026-0177</t>
        </is>
      </c>
      <c r="B178" s="1" t="inlineStr">
        <is>
          <t>Meridian Dynamics</t>
        </is>
      </c>
      <c r="C178" s="1" t="inlineStr">
        <is>
          <t>Aerospace supply</t>
        </is>
      </c>
      <c r="D178" s="1" t="inlineStr">
        <is>
          <t>US-Southwest</t>
        </is>
      </c>
      <c r="E178" s="1" t="inlineStr">
        <is>
          <t>Fleet orchestration platform, annual site licence</t>
        </is>
      </c>
      <c r="F178" s="1" t="n">
        <v>84</v>
      </c>
      <c r="G178" s="1" t="inlineStr">
        <is>
          <t>Closed won</t>
        </is>
      </c>
      <c r="H178" s="1" t="n">
        <v>1</v>
      </c>
      <c r="I178" s="1" t="inlineStr">
        <is>
          <t>2026-09</t>
        </is>
      </c>
      <c r="J178" s="1" t="n">
        <v>1380391.22</v>
      </c>
      <c r="K178" s="1">
        <f>ROUND(J178*H178,2)</f>
        <v/>
      </c>
      <c r="L178" s="1" t="inlineStr">
        <is>
          <t>L. Ossipova</t>
        </is>
      </c>
      <c r="M178" s="1" t="inlineStr">
        <is>
          <t>Close out or disqualify</t>
        </is>
      </c>
    </row>
    <row r="179">
      <c r="A179" s="1" t="inlineStr">
        <is>
          <t>OPP-2026-0178</t>
        </is>
      </c>
      <c r="B179" s="1" t="inlineStr">
        <is>
          <t>Crestline Fulfillment</t>
        </is>
      </c>
      <c r="C179" s="1" t="inlineStr">
        <is>
          <t>E-commerce fulfillment</t>
        </is>
      </c>
      <c r="D179" s="1" t="inlineStr">
        <is>
          <t>US-West</t>
        </is>
      </c>
      <c r="E179" s="1" t="inlineStr">
        <is>
          <t>Fleet orchestration expansion pack, per robot</t>
        </is>
      </c>
      <c r="F179" s="1" t="n">
        <v>17</v>
      </c>
      <c r="G179" s="1" t="inlineStr">
        <is>
          <t>Closed lost</t>
        </is>
      </c>
      <c r="H179" s="1" t="n">
        <v>0</v>
      </c>
      <c r="I179" s="1" t="inlineStr">
        <is>
          <t>2026-08</t>
        </is>
      </c>
      <c r="J179" s="1" t="n">
        <v>1497869.35</v>
      </c>
      <c r="K179" s="1">
        <f>ROUND(J179*H179,2)</f>
        <v/>
      </c>
      <c r="L179" s="1" t="inlineStr">
        <is>
          <t>Y. Sandoval</t>
        </is>
      </c>
      <c r="M179" s="1" t="inlineStr">
        <is>
          <t>Close out or disqualify</t>
        </is>
      </c>
    </row>
    <row r="180">
      <c r="A180" s="1" t="inlineStr">
        <is>
          <t>OPP-2026-0179</t>
        </is>
      </c>
      <c r="B180" s="1" t="inlineStr">
        <is>
          <t>Vantage Robotics Supply</t>
        </is>
      </c>
      <c r="C180" s="1" t="inlineStr">
        <is>
          <t>Industrial supply</t>
        </is>
      </c>
      <c r="D180" s="1" t="inlineStr">
        <is>
          <t>US-West</t>
        </is>
      </c>
      <c r="E180" s="1" t="inlineStr">
        <is>
          <t>Deployment and commissioning services</t>
        </is>
      </c>
      <c r="F180" s="1" t="n">
        <v>35</v>
      </c>
      <c r="G180" s="1" t="inlineStr">
        <is>
          <t>Discovery</t>
        </is>
      </c>
      <c r="H180" s="1" t="n">
        <v>0.2</v>
      </c>
      <c r="I180" s="1" t="inlineStr">
        <is>
          <t>2027-07</t>
        </is>
      </c>
      <c r="J180" s="1" t="n">
        <v>3538005.44</v>
      </c>
      <c r="K180" s="1">
        <f>ROUND(J180*H180,2)</f>
        <v/>
      </c>
      <c r="L180" s="1" t="inlineStr">
        <is>
          <t>L. Ossipova</t>
        </is>
      </c>
      <c r="M180" s="1" t="inlineStr">
        <is>
          <t>Introduce reference customer</t>
        </is>
      </c>
    </row>
    <row r="181">
      <c r="A181" s="1" t="inlineStr">
        <is>
          <t>OPP-2026-0180</t>
        </is>
      </c>
      <c r="B181" s="1" t="inlineStr">
        <is>
          <t>Vantage Robotics Supply</t>
        </is>
      </c>
      <c r="C181" s="1" t="inlineStr">
        <is>
          <t>Industrial supply</t>
        </is>
      </c>
      <c r="D181" s="1" t="inlineStr">
        <is>
          <t>US-West</t>
        </is>
      </c>
      <c r="E181" s="1" t="inlineStr">
        <is>
          <t>Autonomous mobile robot, 450 kg payload</t>
        </is>
      </c>
      <c r="F181" s="1" t="n">
        <v>64</v>
      </c>
      <c r="G181" s="1" t="inlineStr">
        <is>
          <t>Closed lost</t>
        </is>
      </c>
      <c r="H181" s="1" t="n">
        <v>0</v>
      </c>
      <c r="I181" s="1" t="inlineStr">
        <is>
          <t>2027-04</t>
        </is>
      </c>
      <c r="J181" s="1" t="n">
        <v>1103501.46</v>
      </c>
      <c r="K181" s="1">
        <f>ROUND(J181*H181,2)</f>
        <v/>
      </c>
      <c r="L181" s="1" t="inlineStr">
        <is>
          <t>Y. Sandoval</t>
        </is>
      </c>
      <c r="M181" s="1" t="inlineStr">
        <is>
          <t>Send revised proposal</t>
        </is>
      </c>
    </row>
    <row r="182">
      <c r="A182" s="1" t="inlineStr">
        <is>
          <t>OPP-2026-0181</t>
        </is>
      </c>
      <c r="B182" s="1" t="inlineStr">
        <is>
          <t>Granite Peak Distribution</t>
        </is>
      </c>
      <c r="C182" s="1" t="inlineStr">
        <is>
          <t>Building products</t>
        </is>
      </c>
      <c r="D182" s="1" t="inlineStr">
        <is>
          <t>US-Mountain</t>
        </is>
      </c>
      <c r="E182" s="1" t="inlineStr">
        <is>
          <t>Operator training programme</t>
        </is>
      </c>
      <c r="F182" s="1" t="n">
        <v>69</v>
      </c>
      <c r="G182" s="1" t="inlineStr">
        <is>
          <t>Verbal commitment</t>
        </is>
      </c>
      <c r="H182" s="1" t="n">
        <v>0.8</v>
      </c>
      <c r="I182" s="1" t="inlineStr">
        <is>
          <t>2027-03</t>
        </is>
      </c>
      <c r="J182" s="1" t="n">
        <v>1639294.39</v>
      </c>
      <c r="K182" s="1">
        <f>ROUND(J182*H182,2)</f>
        <v/>
      </c>
      <c r="L182" s="1" t="inlineStr">
        <is>
          <t>C. Bailey</t>
        </is>
      </c>
      <c r="M182" s="1" t="inlineStr">
        <is>
          <t>Close out or disqualify</t>
        </is>
      </c>
    </row>
    <row r="183">
      <c r="A183" s="1" t="inlineStr">
        <is>
          <t>OPP-2026-0182</t>
        </is>
      </c>
      <c r="B183" s="1" t="inlineStr">
        <is>
          <t>Calder Marine Supply</t>
        </is>
      </c>
      <c r="C183" s="1" t="inlineStr">
        <is>
          <t>Marine supply</t>
        </is>
      </c>
      <c r="D183" s="1" t="inlineStr">
        <is>
          <t>US-Gulf</t>
        </is>
      </c>
      <c r="E183" s="1" t="inlineStr">
        <is>
          <t>Warehouse management system connector</t>
        </is>
      </c>
      <c r="F183" s="1" t="n">
        <v>51</v>
      </c>
      <c r="G183" s="1" t="inlineStr">
        <is>
          <t>Closed won</t>
        </is>
      </c>
      <c r="H183" s="1" t="n">
        <v>1</v>
      </c>
      <c r="I183" s="1" t="inlineStr">
        <is>
          <t>2026-10</t>
        </is>
      </c>
      <c r="J183" s="1" t="n">
        <v>1638408.62</v>
      </c>
      <c r="K183" s="1">
        <f>ROUND(J183*H183,2)</f>
        <v/>
      </c>
      <c r="L183" s="1" t="inlineStr">
        <is>
          <t>C. Bailey</t>
        </is>
      </c>
      <c r="M183" s="1" t="inlineStr">
        <is>
          <t>Close out or disqualify</t>
        </is>
      </c>
    </row>
    <row r="184">
      <c r="A184" s="1" t="inlineStr">
        <is>
          <t>OPP-2026-0183</t>
        </is>
      </c>
      <c r="B184" s="1" t="inlineStr">
        <is>
          <t>Quarrybridge Materials</t>
        </is>
      </c>
      <c r="C184" s="1" t="inlineStr">
        <is>
          <t>Aggregates</t>
        </is>
      </c>
      <c r="D184" s="1" t="inlineStr">
        <is>
          <t>US-Mountain</t>
        </is>
      </c>
      <c r="E184" s="1" t="inlineStr">
        <is>
          <t>Operator training programme</t>
        </is>
      </c>
      <c r="F184" s="1" t="n">
        <v>29</v>
      </c>
      <c r="G184" s="1" t="inlineStr">
        <is>
          <t>Legal review</t>
        </is>
      </c>
      <c r="H184" s="1" t="n">
        <v>0.6</v>
      </c>
      <c r="I184" s="1" t="inlineStr">
        <is>
          <t>2026-07</t>
        </is>
      </c>
      <c r="J184" s="1" t="n">
        <v>479379.5</v>
      </c>
      <c r="K184" s="1">
        <f>ROUND(J184*H184,2)</f>
        <v/>
      </c>
      <c r="L184" s="1" t="inlineStr">
        <is>
          <t>L. Ossipova</t>
        </is>
      </c>
      <c r="M184" s="1" t="inlineStr">
        <is>
          <t>Close out or disqualify</t>
        </is>
      </c>
    </row>
    <row r="185">
      <c r="A185" s="1" t="inlineStr">
        <is>
          <t>OPP-2026-0184</t>
        </is>
      </c>
      <c r="B185" s="1" t="inlineStr">
        <is>
          <t>Westlake Chemical Depot</t>
        </is>
      </c>
      <c r="C185" s="1" t="inlineStr">
        <is>
          <t>Specialty chemicals</t>
        </is>
      </c>
      <c r="D185" s="1" t="inlineStr">
        <is>
          <t>US-Gulf</t>
        </is>
      </c>
      <c r="E185" s="1" t="inlineStr">
        <is>
          <t>Fleet orchestration expansion pack, per robot</t>
        </is>
      </c>
      <c r="F185" s="1" t="n">
        <v>49</v>
      </c>
      <c r="G185" s="1" t="inlineStr">
        <is>
          <t>Qualification</t>
        </is>
      </c>
      <c r="H185" s="1" t="n">
        <v>0.1</v>
      </c>
      <c r="I185" s="1" t="inlineStr">
        <is>
          <t>2026-09</t>
        </is>
      </c>
      <c r="J185" s="1" t="n">
        <v>1527160.21</v>
      </c>
      <c r="K185" s="1">
        <f>ROUND(J185*H185,2)</f>
        <v/>
      </c>
      <c r="L185" s="1" t="inlineStr">
        <is>
          <t>T. Ferreira</t>
        </is>
      </c>
      <c r="M185" s="1" t="inlineStr">
        <is>
          <t>Schedule site survey</t>
        </is>
      </c>
    </row>
    <row r="186">
      <c r="A186" s="1" t="inlineStr">
        <is>
          <t>OPP-2026-0185</t>
        </is>
      </c>
      <c r="B186" s="1" t="inlineStr">
        <is>
          <t>Tamarack Electronics</t>
        </is>
      </c>
      <c r="C186" s="1" t="inlineStr">
        <is>
          <t>Consumer electronics</t>
        </is>
      </c>
      <c r="D186" s="1" t="inlineStr">
        <is>
          <t>US-Northwest</t>
        </is>
      </c>
      <c r="E186" s="1" t="inlineStr">
        <is>
          <t>Operator training programme</t>
        </is>
      </c>
      <c r="F186" s="1" t="n">
        <v>17</v>
      </c>
      <c r="G186" s="1" t="inlineStr">
        <is>
          <t>Legal review</t>
        </is>
      </c>
      <c r="H186" s="1" t="n">
        <v>0.6</v>
      </c>
      <c r="I186" s="1" t="inlineStr">
        <is>
          <t>2027-04</t>
        </is>
      </c>
      <c r="J186" s="1" t="n">
        <v>3286953.15</v>
      </c>
      <c r="K186" s="1">
        <f>ROUND(J186*H186,2)</f>
        <v/>
      </c>
      <c r="L186" s="1" t="inlineStr">
        <is>
          <t>L. Ossipova</t>
        </is>
      </c>
      <c r="M186" s="1" t="inlineStr">
        <is>
          <t>Send revised proposal</t>
        </is>
      </c>
    </row>
    <row r="187">
      <c r="A187" s="1" t="inlineStr">
        <is>
          <t>OPP-2026-0186</t>
        </is>
      </c>
      <c r="B187" s="1" t="inlineStr">
        <is>
          <t>Crestline Fulfillment</t>
        </is>
      </c>
      <c r="C187" s="1" t="inlineStr">
        <is>
          <t>E-commerce fulfillment</t>
        </is>
      </c>
      <c r="D187" s="1" t="inlineStr">
        <is>
          <t>US-West</t>
        </is>
      </c>
      <c r="E187" s="1" t="inlineStr">
        <is>
          <t>Premium support and spares pool</t>
        </is>
      </c>
      <c r="F187" s="1" t="n">
        <v>74</v>
      </c>
      <c r="G187" s="1" t="inlineStr">
        <is>
          <t>Closed won</t>
        </is>
      </c>
      <c r="H187" s="1" t="n">
        <v>1</v>
      </c>
      <c r="I187" s="1" t="inlineStr">
        <is>
          <t>2027-06</t>
        </is>
      </c>
      <c r="J187" s="1" t="n">
        <v>3821749.35</v>
      </c>
      <c r="K187" s="1">
        <f>ROUND(J187*H187,2)</f>
        <v/>
      </c>
      <c r="L187" s="1" t="inlineStr">
        <is>
          <t>C. Bailey</t>
        </is>
      </c>
      <c r="M187" s="1" t="inlineStr">
        <is>
          <t>Introduce reference customer</t>
        </is>
      </c>
    </row>
    <row r="188">
      <c r="A188" s="1" t="inlineStr">
        <is>
          <t>OPP-2026-0187</t>
        </is>
      </c>
      <c r="B188" s="1" t="inlineStr">
        <is>
          <t>Northfield Beverage</t>
        </is>
      </c>
      <c r="C188" s="1" t="inlineStr">
        <is>
          <t>Beverage</t>
        </is>
      </c>
      <c r="D188" s="1" t="inlineStr">
        <is>
          <t>US-Midwest</t>
        </is>
      </c>
      <c r="E188" s="1" t="inlineStr">
        <is>
          <t>Autonomous mobile robot, 220 kg payload</t>
        </is>
      </c>
      <c r="F188" s="1" t="n">
        <v>91</v>
      </c>
      <c r="G188" s="1" t="inlineStr">
        <is>
          <t>Qualification</t>
        </is>
      </c>
      <c r="H188" s="1" t="n">
        <v>0.1</v>
      </c>
      <c r="I188" s="1" t="inlineStr">
        <is>
          <t>2027-04</t>
        </is>
      </c>
      <c r="J188" s="1" t="n">
        <v>829526.11</v>
      </c>
      <c r="K188" s="1">
        <f>ROUND(J188*H188,2)</f>
        <v/>
      </c>
      <c r="L188" s="1" t="inlineStr">
        <is>
          <t>L. Ossipova</t>
        </is>
      </c>
      <c r="M188" s="1" t="inlineStr">
        <is>
          <t>Send revised proposal</t>
        </is>
      </c>
    </row>
    <row r="189">
      <c r="A189" s="1" t="inlineStr">
        <is>
          <t>OPP-2026-0188</t>
        </is>
      </c>
      <c r="B189" s="1" t="inlineStr">
        <is>
          <t>Tamarack Electronics</t>
        </is>
      </c>
      <c r="C189" s="1" t="inlineStr">
        <is>
          <t>Consumer electronics</t>
        </is>
      </c>
      <c r="D189" s="1" t="inlineStr">
        <is>
          <t>US-Northwest</t>
        </is>
      </c>
      <c r="E189" s="1" t="inlineStr">
        <is>
          <t>Fleet orchestration platform, annual site licence</t>
        </is>
      </c>
      <c r="F189" s="1" t="n">
        <v>67</v>
      </c>
      <c r="G189" s="1" t="inlineStr">
        <is>
          <t>Closed won</t>
        </is>
      </c>
      <c r="H189" s="1" t="n">
        <v>1</v>
      </c>
      <c r="I189" s="1" t="inlineStr">
        <is>
          <t>2026-07</t>
        </is>
      </c>
      <c r="J189" s="1" t="n">
        <v>196305.76</v>
      </c>
      <c r="K189" s="1">
        <f>ROUND(J189*H189,2)</f>
        <v/>
      </c>
      <c r="L189" s="1" t="inlineStr">
        <is>
          <t>Y. Sandoval</t>
        </is>
      </c>
      <c r="M189" s="1" t="inlineStr">
        <is>
          <t>Await legal turn</t>
        </is>
      </c>
    </row>
    <row r="190">
      <c r="A190" s="1" t="inlineStr">
        <is>
          <t>OPP-2026-0189</t>
        </is>
      </c>
      <c r="B190" s="1" t="inlineStr">
        <is>
          <t>Ironvale Grocery Group</t>
        </is>
      </c>
      <c r="C190" s="1" t="inlineStr">
        <is>
          <t>Grocery retail</t>
        </is>
      </c>
      <c r="D190" s="1" t="inlineStr">
        <is>
          <t>US-Midwest</t>
        </is>
      </c>
      <c r="E190" s="1" t="inlineStr">
        <is>
          <t>Deployment and commissioning services</t>
        </is>
      </c>
      <c r="F190" s="1" t="n">
        <v>31</v>
      </c>
      <c r="G190" s="1" t="inlineStr">
        <is>
          <t>Closed lost</t>
        </is>
      </c>
      <c r="H190" s="1" t="n">
        <v>0</v>
      </c>
      <c r="I190" s="1" t="inlineStr">
        <is>
          <t>2026-10</t>
        </is>
      </c>
      <c r="J190" s="1" t="n">
        <v>3266861.27</v>
      </c>
      <c r="K190" s="1">
        <f>ROUND(J190*H190,2)</f>
        <v/>
      </c>
      <c r="L190" s="1" t="inlineStr">
        <is>
          <t>T. Ferreira</t>
        </is>
      </c>
      <c r="M190" s="1" t="inlineStr">
        <is>
          <t>Close out or disqualify</t>
        </is>
      </c>
    </row>
    <row r="191">
      <c r="A191" s="1" t="inlineStr">
        <is>
          <t>OPP-2026-0190</t>
        </is>
      </c>
      <c r="B191" s="1" t="inlineStr">
        <is>
          <t>Calder Marine Supply</t>
        </is>
      </c>
      <c r="C191" s="1" t="inlineStr">
        <is>
          <t>Marine supply</t>
        </is>
      </c>
      <c r="D191" s="1" t="inlineStr">
        <is>
          <t>US-Gulf</t>
        </is>
      </c>
      <c r="E191" s="1" t="inlineStr">
        <is>
          <t>Fleet orchestration expansion pack, per robot</t>
        </is>
      </c>
      <c r="F191" s="1" t="n">
        <v>88</v>
      </c>
      <c r="G191" s="1" t="inlineStr">
        <is>
          <t>Discovery</t>
        </is>
      </c>
      <c r="H191" s="1" t="n">
        <v>0.2</v>
      </c>
      <c r="I191" s="1" t="inlineStr">
        <is>
          <t>2027-03</t>
        </is>
      </c>
      <c r="J191" s="1" t="n">
        <v>2540203.94</v>
      </c>
      <c r="K191" s="1">
        <f>ROUND(J191*H191,2)</f>
        <v/>
      </c>
      <c r="L191" s="1" t="inlineStr">
        <is>
          <t>L. Ossipova</t>
        </is>
      </c>
      <c r="M191" s="1" t="inlineStr">
        <is>
          <t>Await legal turn</t>
        </is>
      </c>
    </row>
    <row r="192">
      <c r="A192" s="1" t="inlineStr">
        <is>
          <t>OPP-2026-0191</t>
        </is>
      </c>
      <c r="B192" s="1" t="inlineStr">
        <is>
          <t>Asterion Logistics</t>
        </is>
      </c>
      <c r="C192" s="1" t="inlineStr">
        <is>
          <t>Third-party logistics</t>
        </is>
      </c>
      <c r="D192" s="1" t="inlineStr">
        <is>
          <t>US-West</t>
        </is>
      </c>
      <c r="E192" s="1" t="inlineStr">
        <is>
          <t>Remote operations desk coverage</t>
        </is>
      </c>
      <c r="F192" s="1" t="n">
        <v>66</v>
      </c>
      <c r="G192" s="1" t="inlineStr">
        <is>
          <t>Closed won</t>
        </is>
      </c>
      <c r="H192" s="1" t="n">
        <v>1</v>
      </c>
      <c r="I192" s="1" t="inlineStr">
        <is>
          <t>2027-03</t>
        </is>
      </c>
      <c r="J192" s="1" t="n">
        <v>1769185.14</v>
      </c>
      <c r="K192" s="1">
        <f>ROUND(J192*H192,2)</f>
        <v/>
      </c>
      <c r="L192" s="1" t="inlineStr">
        <is>
          <t>L. Ossipova</t>
        </is>
      </c>
      <c r="M192" s="1" t="inlineStr">
        <is>
          <t>Confirm capital approval</t>
        </is>
      </c>
    </row>
    <row r="193">
      <c r="A193" s="1" t="inlineStr">
        <is>
          <t>OPP-2026-0192</t>
        </is>
      </c>
      <c r="B193" s="1" t="inlineStr">
        <is>
          <t>Asterion Logistics</t>
        </is>
      </c>
      <c r="C193" s="1" t="inlineStr">
        <is>
          <t>Third-party logistics</t>
        </is>
      </c>
      <c r="D193" s="1" t="inlineStr">
        <is>
          <t>US-West</t>
        </is>
      </c>
      <c r="E193" s="1" t="inlineStr">
        <is>
          <t>Autonomous mobile robot, 450 kg payload</t>
        </is>
      </c>
      <c r="F193" s="1" t="n">
        <v>57</v>
      </c>
      <c r="G193" s="1" t="inlineStr">
        <is>
          <t>Closed won</t>
        </is>
      </c>
      <c r="H193" s="1" t="n">
        <v>1</v>
      </c>
      <c r="I193" s="1" t="inlineStr">
        <is>
          <t>2027-05</t>
        </is>
      </c>
      <c r="J193" s="1" t="n">
        <v>947021.87</v>
      </c>
      <c r="K193" s="1">
        <f>ROUND(J193*H193,2)</f>
        <v/>
      </c>
      <c r="L193" s="1" t="inlineStr">
        <is>
          <t>L. Ossipova</t>
        </is>
      </c>
      <c r="M193" s="1" t="inlineStr">
        <is>
          <t>Confirm capital approval</t>
        </is>
      </c>
    </row>
    <row r="194">
      <c r="A194" s="1" t="inlineStr">
        <is>
          <t>OPP-2026-0193</t>
        </is>
      </c>
      <c r="B194" s="1" t="inlineStr">
        <is>
          <t>Dorsey Grain Cooperative</t>
        </is>
      </c>
      <c r="C194" s="1" t="inlineStr">
        <is>
          <t>Agriculture</t>
        </is>
      </c>
      <c r="D194" s="1" t="inlineStr">
        <is>
          <t>US-Plains</t>
        </is>
      </c>
      <c r="E194" s="1" t="inlineStr">
        <is>
          <t>Safety scanner retrofit kit</t>
        </is>
      </c>
      <c r="F194" s="1" t="n">
        <v>19</v>
      </c>
      <c r="G194" s="1" t="inlineStr">
        <is>
          <t>Closed won</t>
        </is>
      </c>
      <c r="H194" s="1" t="n">
        <v>1</v>
      </c>
      <c r="I194" s="1" t="inlineStr">
        <is>
          <t>2027-02</t>
        </is>
      </c>
      <c r="J194" s="1" t="n">
        <v>2285453.27</v>
      </c>
      <c r="K194" s="1">
        <f>ROUND(J194*H194,2)</f>
        <v/>
      </c>
      <c r="L194" s="1" t="inlineStr">
        <is>
          <t>L. Ossipova</t>
        </is>
      </c>
      <c r="M194" s="1" t="inlineStr">
        <is>
          <t>Confirm capital approval</t>
        </is>
      </c>
    </row>
    <row r="195">
      <c r="A195" s="1" t="inlineStr">
        <is>
          <t>OPP-2026-0194</t>
        </is>
      </c>
      <c r="B195" s="1" t="inlineStr">
        <is>
          <t>Zephyr Air Cargo</t>
        </is>
      </c>
      <c r="C195" s="1" t="inlineStr">
        <is>
          <t>Air cargo</t>
        </is>
      </c>
      <c r="D195" s="1" t="inlineStr">
        <is>
          <t>US-Northeast</t>
        </is>
      </c>
      <c r="E195" s="1" t="inlineStr">
        <is>
          <t>Fleet orchestration expansion pack, per robot</t>
        </is>
      </c>
      <c r="F195" s="1" t="n">
        <v>49</v>
      </c>
      <c r="G195" s="1" t="inlineStr">
        <is>
          <t>Closed won</t>
        </is>
      </c>
      <c r="H195" s="1" t="n">
        <v>1</v>
      </c>
      <c r="I195" s="1" t="inlineStr">
        <is>
          <t>2027-01</t>
        </is>
      </c>
      <c r="J195" s="1" t="n">
        <v>3781152.15</v>
      </c>
      <c r="K195" s="1">
        <f>ROUND(J195*H195,2)</f>
        <v/>
      </c>
      <c r="L195" s="1" t="inlineStr">
        <is>
          <t>T. Ferreira</t>
        </is>
      </c>
      <c r="M195" s="1" t="inlineStr">
        <is>
          <t>Close out or disqualify</t>
        </is>
      </c>
    </row>
    <row r="196">
      <c r="A196" s="1" t="inlineStr">
        <is>
          <t>OPP-2026-0195</t>
        </is>
      </c>
      <c r="B196" s="1" t="inlineStr">
        <is>
          <t>Crestline Fulfillment</t>
        </is>
      </c>
      <c r="C196" s="1" t="inlineStr">
        <is>
          <t>E-commerce fulfillment</t>
        </is>
      </c>
      <c r="D196" s="1" t="inlineStr">
        <is>
          <t>US-West</t>
        </is>
      </c>
      <c r="E196" s="1" t="inlineStr">
        <is>
          <t>Warehouse management system connector</t>
        </is>
      </c>
      <c r="F196" s="1" t="n">
        <v>56</v>
      </c>
      <c r="G196" s="1" t="inlineStr">
        <is>
          <t>Site survey</t>
        </is>
      </c>
      <c r="H196" s="1" t="n">
        <v>0.3</v>
      </c>
      <c r="I196" s="1" t="inlineStr">
        <is>
          <t>2026-10</t>
        </is>
      </c>
      <c r="J196" s="1" t="n">
        <v>2902569.34</v>
      </c>
      <c r="K196" s="1">
        <f>ROUND(J196*H196,2)</f>
        <v/>
      </c>
      <c r="L196" s="1" t="inlineStr">
        <is>
          <t>C. Bailey</t>
        </is>
      </c>
      <c r="M196" s="1" t="inlineStr">
        <is>
          <t>Confirm capital approval</t>
        </is>
      </c>
    </row>
    <row r="197">
      <c r="A197" s="1" t="inlineStr">
        <is>
          <t>OPP-2026-0196</t>
        </is>
      </c>
      <c r="B197" s="1" t="inlineStr">
        <is>
          <t>Summit Ridge Retail</t>
        </is>
      </c>
      <c r="C197" s="1" t="inlineStr">
        <is>
          <t>Big-box retail</t>
        </is>
      </c>
      <c r="D197" s="1" t="inlineStr">
        <is>
          <t>US-Mountain</t>
        </is>
      </c>
      <c r="E197" s="1" t="inlineStr">
        <is>
          <t>Autonomous mobile robot, 220 kg payload</t>
        </is>
      </c>
      <c r="F197" s="1" t="n">
        <v>47</v>
      </c>
      <c r="G197" s="1" t="inlineStr">
        <is>
          <t>Closed lost</t>
        </is>
      </c>
      <c r="H197" s="1" t="n">
        <v>0</v>
      </c>
      <c r="I197" s="1" t="inlineStr">
        <is>
          <t>2027-03</t>
        </is>
      </c>
      <c r="J197" s="1" t="n">
        <v>2580982.37</v>
      </c>
      <c r="K197" s="1">
        <f>ROUND(J197*H197,2)</f>
        <v/>
      </c>
      <c r="L197" s="1" t="inlineStr">
        <is>
          <t>L. Ossipova</t>
        </is>
      </c>
      <c r="M197" s="1" t="inlineStr">
        <is>
          <t>Confirm capital approval</t>
        </is>
      </c>
    </row>
    <row r="198">
      <c r="A198" s="1" t="inlineStr">
        <is>
          <t>OPP-2026-0197</t>
        </is>
      </c>
      <c r="B198" s="1" t="inlineStr">
        <is>
          <t>Granite Peak Distribution</t>
        </is>
      </c>
      <c r="C198" s="1" t="inlineStr">
        <is>
          <t>Building products</t>
        </is>
      </c>
      <c r="D198" s="1" t="inlineStr">
        <is>
          <t>US-Mountain</t>
        </is>
      </c>
      <c r="E198" s="1" t="inlineStr">
        <is>
          <t>Deployment and commissioning services</t>
        </is>
      </c>
      <c r="F198" s="1" t="n">
        <v>89</v>
      </c>
      <c r="G198" s="1" t="inlineStr">
        <is>
          <t>Closed won</t>
        </is>
      </c>
      <c r="H198" s="1" t="n">
        <v>1</v>
      </c>
      <c r="I198" s="1" t="inlineStr">
        <is>
          <t>2027-05</t>
        </is>
      </c>
      <c r="J198" s="1" t="n">
        <v>3809217.3</v>
      </c>
      <c r="K198" s="1">
        <f>ROUND(J198*H198,2)</f>
        <v/>
      </c>
      <c r="L198" s="1" t="inlineStr">
        <is>
          <t>Y. Sandoval</t>
        </is>
      </c>
      <c r="M198" s="1" t="inlineStr">
        <is>
          <t>Close out or disqualify</t>
        </is>
      </c>
    </row>
    <row r="199">
      <c r="A199" s="1" t="inlineStr">
        <is>
          <t>OPP-2026-0198</t>
        </is>
      </c>
      <c r="B199" s="1" t="inlineStr">
        <is>
          <t>Vantage Robotics Supply</t>
        </is>
      </c>
      <c r="C199" s="1" t="inlineStr">
        <is>
          <t>Industrial supply</t>
        </is>
      </c>
      <c r="D199" s="1" t="inlineStr">
        <is>
          <t>US-West</t>
        </is>
      </c>
      <c r="E199" s="1" t="inlineStr">
        <is>
          <t>Autonomous mobile robot, 450 kg payload</t>
        </is>
      </c>
      <c r="F199" s="1" t="n">
        <v>47</v>
      </c>
      <c r="G199" s="1" t="inlineStr">
        <is>
          <t>Qualification</t>
        </is>
      </c>
      <c r="H199" s="1" t="n">
        <v>0.1</v>
      </c>
      <c r="I199" s="1" t="inlineStr">
        <is>
          <t>2027-02</t>
        </is>
      </c>
      <c r="J199" s="1" t="n">
        <v>386580.63</v>
      </c>
      <c r="K199" s="1">
        <f>ROUND(J199*H199,2)</f>
        <v/>
      </c>
      <c r="L199" s="1" t="inlineStr">
        <is>
          <t>Y. Sandoval</t>
        </is>
      </c>
      <c r="M199" s="1" t="inlineStr">
        <is>
          <t>Schedule site survey</t>
        </is>
      </c>
    </row>
    <row r="200">
      <c r="A200" s="1" t="inlineStr">
        <is>
          <t>OPP-2026-0199</t>
        </is>
      </c>
      <c r="B200" s="1" t="inlineStr">
        <is>
          <t>Larkspur Apparel</t>
        </is>
      </c>
      <c r="C200" s="1" t="inlineStr">
        <is>
          <t>Apparel retail</t>
        </is>
      </c>
      <c r="D200" s="1" t="inlineStr">
        <is>
          <t>US-Southeast</t>
        </is>
      </c>
      <c r="E200" s="1" t="inlineStr">
        <is>
          <t>Opportunity charging dock</t>
        </is>
      </c>
      <c r="F200" s="1" t="n">
        <v>21</v>
      </c>
      <c r="G200" s="1" t="inlineStr">
        <is>
          <t>Closed won</t>
        </is>
      </c>
      <c r="H200" s="1" t="n">
        <v>1</v>
      </c>
      <c r="I200" s="1" t="inlineStr">
        <is>
          <t>2026-11</t>
        </is>
      </c>
      <c r="J200" s="1" t="n">
        <v>1465093.69</v>
      </c>
      <c r="K200" s="1">
        <f>ROUND(J200*H200,2)</f>
        <v/>
      </c>
      <c r="L200" s="1" t="inlineStr">
        <is>
          <t>T. Ferreira</t>
        </is>
      </c>
      <c r="M200" s="1" t="inlineStr">
        <is>
          <t>Introduce reference customer</t>
        </is>
      </c>
    </row>
    <row r="201">
      <c r="A201" s="1" t="inlineStr">
        <is>
          <t>OPP-2026-0200</t>
        </is>
      </c>
      <c r="B201" s="1" t="inlineStr">
        <is>
          <t>Crestline Fulfillment</t>
        </is>
      </c>
      <c r="C201" s="1" t="inlineStr">
        <is>
          <t>E-commerce fulfillment</t>
        </is>
      </c>
      <c r="D201" s="1" t="inlineStr">
        <is>
          <t>US-West</t>
        </is>
      </c>
      <c r="E201" s="1" t="inlineStr">
        <is>
          <t>Remote operations desk coverage</t>
        </is>
      </c>
      <c r="F201" s="1" t="n">
        <v>5</v>
      </c>
      <c r="G201" s="1" t="inlineStr">
        <is>
          <t>Discovery</t>
        </is>
      </c>
      <c r="H201" s="1" t="n">
        <v>0.2</v>
      </c>
      <c r="I201" s="1" t="inlineStr">
        <is>
          <t>2026-08</t>
        </is>
      </c>
      <c r="J201" s="1" t="n">
        <v>2741717.64</v>
      </c>
      <c r="K201" s="1">
        <f>ROUND(J201*H201,2)</f>
        <v/>
      </c>
      <c r="L201" s="1" t="inlineStr">
        <is>
          <t>L. Ossipova</t>
        </is>
      </c>
      <c r="M201" s="1" t="inlineStr">
        <is>
          <t>Introduce reference customer</t>
        </is>
      </c>
    </row>
    <row r="202">
      <c r="A202" s="1" t="inlineStr">
        <is>
          <t>OPP-2026-0201</t>
        </is>
      </c>
      <c r="B202" s="1" t="inlineStr">
        <is>
          <t>Larkspur Apparel</t>
        </is>
      </c>
      <c r="C202" s="1" t="inlineStr">
        <is>
          <t>Apparel retail</t>
        </is>
      </c>
      <c r="D202" s="1" t="inlineStr">
        <is>
          <t>US-Southeast</t>
        </is>
      </c>
      <c r="E202" s="1" t="inlineStr">
        <is>
          <t>Autonomous mobile robot, 450 kg payload</t>
        </is>
      </c>
      <c r="F202" s="1" t="n">
        <v>82</v>
      </c>
      <c r="G202" s="1" t="inlineStr">
        <is>
          <t>Verbal commitment</t>
        </is>
      </c>
      <c r="H202" s="1" t="n">
        <v>0.8</v>
      </c>
      <c r="I202" s="1" t="inlineStr">
        <is>
          <t>2027-06</t>
        </is>
      </c>
      <c r="J202" s="1" t="n">
        <v>3010704.01</v>
      </c>
      <c r="K202" s="1">
        <f>ROUND(J202*H202,2)</f>
        <v/>
      </c>
      <c r="L202" s="1" t="inlineStr">
        <is>
          <t>Y. Sandoval</t>
        </is>
      </c>
      <c r="M202" s="1" t="inlineStr">
        <is>
          <t>Introduce reference customer</t>
        </is>
      </c>
    </row>
    <row r="203">
      <c r="A203" s="1" t="inlineStr">
        <is>
          <t>OPP-2026-0202</t>
        </is>
      </c>
      <c r="B203" s="1" t="inlineStr">
        <is>
          <t>Bellweather Auto Group</t>
        </is>
      </c>
      <c r="C203" s="1" t="inlineStr">
        <is>
          <t>Automotive retail</t>
        </is>
      </c>
      <c r="D203" s="1" t="inlineStr">
        <is>
          <t>US-Central</t>
        </is>
      </c>
      <c r="E203" s="1" t="inlineStr">
        <is>
          <t>Safety scanner retrofit kit</t>
        </is>
      </c>
      <c r="F203" s="1" t="n">
        <v>64</v>
      </c>
      <c r="G203" s="1" t="inlineStr">
        <is>
          <t>Proposal</t>
        </is>
      </c>
      <c r="H203" s="1" t="n">
        <v>0.45</v>
      </c>
      <c r="I203" s="1" t="inlineStr">
        <is>
          <t>2026-07</t>
        </is>
      </c>
      <c r="J203" s="1" t="n">
        <v>2382822.55</v>
      </c>
      <c r="K203" s="1">
        <f>ROUND(J203*H203,2)</f>
        <v/>
      </c>
      <c r="L203" s="1" t="inlineStr">
        <is>
          <t>Y. Sandoval</t>
        </is>
      </c>
      <c r="M203" s="1" t="inlineStr">
        <is>
          <t>Close out or disqualify</t>
        </is>
      </c>
    </row>
    <row r="204">
      <c r="A204" s="1" t="inlineStr">
        <is>
          <t>OPP-2026-0203</t>
        </is>
      </c>
      <c r="B204" s="1" t="inlineStr">
        <is>
          <t>Zephyr Air Cargo</t>
        </is>
      </c>
      <c r="C204" s="1" t="inlineStr">
        <is>
          <t>Air cargo</t>
        </is>
      </c>
      <c r="D204" s="1" t="inlineStr">
        <is>
          <t>US-Northeast</t>
        </is>
      </c>
      <c r="E204" s="1" t="inlineStr">
        <is>
          <t>Autonomous mobile robot, 220 kg payload</t>
        </is>
      </c>
      <c r="F204" s="1" t="n">
        <v>69</v>
      </c>
      <c r="G204" s="1" t="inlineStr">
        <is>
          <t>Proposal</t>
        </is>
      </c>
      <c r="H204" s="1" t="n">
        <v>0.45</v>
      </c>
      <c r="I204" s="1" t="inlineStr">
        <is>
          <t>2026-11</t>
        </is>
      </c>
      <c r="J204" s="1" t="n">
        <v>1122885.97</v>
      </c>
      <c r="K204" s="1">
        <f>ROUND(J204*H204,2)</f>
        <v/>
      </c>
      <c r="L204" s="1" t="inlineStr">
        <is>
          <t>L. Ossipova</t>
        </is>
      </c>
      <c r="M204" s="1" t="inlineStr">
        <is>
          <t>Send revised proposal</t>
        </is>
      </c>
    </row>
    <row r="205">
      <c r="A205" s="1" t="inlineStr">
        <is>
          <t>OPP-2026-0204</t>
        </is>
      </c>
      <c r="B205" s="1" t="inlineStr">
        <is>
          <t>Calder Marine Supply</t>
        </is>
      </c>
      <c r="C205" s="1" t="inlineStr">
        <is>
          <t>Marine supply</t>
        </is>
      </c>
      <c r="D205" s="1" t="inlineStr">
        <is>
          <t>US-Gulf</t>
        </is>
      </c>
      <c r="E205" s="1" t="inlineStr">
        <is>
          <t>Autonomous mobile robot, 220 kg payload</t>
        </is>
      </c>
      <c r="F205" s="1" t="n">
        <v>64</v>
      </c>
      <c r="G205" s="1" t="inlineStr">
        <is>
          <t>Qualification</t>
        </is>
      </c>
      <c r="H205" s="1" t="n">
        <v>0.1</v>
      </c>
      <c r="I205" s="1" t="inlineStr">
        <is>
          <t>2026-10</t>
        </is>
      </c>
      <c r="J205" s="1" t="n">
        <v>1127028.45</v>
      </c>
      <c r="K205" s="1">
        <f>ROUND(J205*H205,2)</f>
        <v/>
      </c>
      <c r="L205" s="1" t="inlineStr">
        <is>
          <t>L. Ossipova</t>
        </is>
      </c>
      <c r="M205" s="1" t="inlineStr">
        <is>
          <t>Confirm capital 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renewal_id</t>
        </is>
      </c>
      <c r="B1" s="1" t="inlineStr">
        <is>
          <t>contract_ref</t>
        </is>
      </c>
      <c r="C1" s="1" t="inlineStr">
        <is>
          <t>customer</t>
        </is>
      </c>
      <c r="D1" s="1" t="inlineStr">
        <is>
          <t>cohort_quarter</t>
        </is>
      </c>
      <c r="E1" s="1" t="inlineStr">
        <is>
          <t>term_start</t>
        </is>
      </c>
      <c r="F1" s="1" t="inlineStr">
        <is>
          <t>term_end</t>
        </is>
      </c>
      <c r="G1" s="1" t="inlineStr">
        <is>
          <t>notice_deadline</t>
        </is>
      </c>
      <c r="H1" s="1" t="inlineStr">
        <is>
          <t>current_annual_fee</t>
        </is>
      </c>
      <c r="I1" s="1" t="inlineStr">
        <is>
          <t>proposed_annual_fee</t>
        </is>
      </c>
      <c r="J1" s="1" t="inlineStr">
        <is>
          <t>uplift_amount</t>
        </is>
      </c>
      <c r="K1" s="1" t="inlineStr">
        <is>
          <t>renewal_owner</t>
        </is>
      </c>
      <c r="L1" s="1" t="inlineStr">
        <is>
          <t>renewal_status</t>
        </is>
      </c>
      <c r="M1" s="1" t="inlineStr">
        <is>
          <t>risk_note</t>
        </is>
      </c>
    </row>
    <row r="2">
      <c r="A2" s="1" t="inlineStr">
        <is>
          <t>REN-2026-0001</t>
        </is>
      </c>
      <c r="B2" s="1" t="inlineStr">
        <is>
          <t>BWA-MSA-2024-30</t>
        </is>
      </c>
      <c r="C2" s="1" t="inlineStr">
        <is>
          <t>Bellweather Auto Group</t>
        </is>
      </c>
      <c r="D2" s="1" t="inlineStr">
        <is>
          <t>2026Q4</t>
        </is>
      </c>
      <c r="E2" s="2" t="n">
        <v>45646</v>
      </c>
      <c r="F2" s="2" t="n">
        <v>46376</v>
      </c>
      <c r="G2" s="2" t="n">
        <v>46346</v>
      </c>
      <c r="H2" s="1" t="n">
        <v>529764.12</v>
      </c>
      <c r="I2" s="1" t="n">
        <v>630419.3</v>
      </c>
      <c r="J2" s="1">
        <f>ROUND(I2-H2,2)</f>
        <v/>
      </c>
      <c r="K2" s="1" t="inlineStr">
        <is>
          <t>J. Alvarez</t>
        </is>
      </c>
      <c r="L2" s="1" t="inlineStr">
        <is>
          <t>Renewed</t>
        </is>
      </c>
      <c r="M2" s="1" t="inlineStr">
        <is>
          <t>Sponsor changed in the second quarter</t>
        </is>
      </c>
    </row>
    <row r="3">
      <c r="A3" s="1" t="inlineStr">
        <is>
          <t>REN-2027-0002</t>
        </is>
      </c>
      <c r="B3" s="1" t="inlineStr">
        <is>
          <t>NFB-MSA-2024-75</t>
        </is>
      </c>
      <c r="C3" s="1" t="inlineStr">
        <is>
          <t>Northfield Beverage</t>
        </is>
      </c>
      <c r="D3" s="1" t="inlineStr">
        <is>
          <t>2027Q1</t>
        </is>
      </c>
      <c r="E3" s="2" t="n">
        <v>45338</v>
      </c>
      <c r="F3" s="2" t="n">
        <v>46434</v>
      </c>
      <c r="G3" s="2" t="n">
        <v>46344</v>
      </c>
      <c r="H3" s="1" t="n">
        <v>793140.21</v>
      </c>
      <c r="I3" s="1" t="n">
        <v>848660.02</v>
      </c>
      <c r="J3" s="1">
        <f>ROUND(I3-H3,2)</f>
        <v/>
      </c>
      <c r="K3" s="1" t="inlineStr">
        <is>
          <t>T. Ferreira</t>
        </is>
      </c>
      <c r="L3" s="1" t="inlineStr">
        <is>
          <t>Downgraded scope</t>
        </is>
      </c>
      <c r="M3" s="1" t="inlineStr">
        <is>
          <t>Sponsor changed in the second quarter</t>
        </is>
      </c>
    </row>
    <row r="4">
      <c r="A4" s="1" t="inlineStr">
        <is>
          <t>REN-2028-0003</t>
        </is>
      </c>
      <c r="B4" s="1" t="inlineStr">
        <is>
          <t>UVP-MSA-2025-13</t>
        </is>
      </c>
      <c r="C4" s="1" t="inlineStr">
        <is>
          <t>Union Vale Pharma</t>
        </is>
      </c>
      <c r="D4" s="1" t="inlineStr">
        <is>
          <t>2028Q1</t>
        </is>
      </c>
      <c r="E4" s="2" t="n">
        <v>45737</v>
      </c>
      <c r="F4" s="2" t="n">
        <v>46833</v>
      </c>
      <c r="G4" s="2" t="n">
        <v>46773</v>
      </c>
      <c r="H4" s="1" t="n">
        <v>197796.1</v>
      </c>
      <c r="I4" s="1" t="n">
        <v>233399.4</v>
      </c>
      <c r="J4" s="1">
        <f>ROUND(I4-H4,2)</f>
        <v/>
      </c>
      <c r="K4" s="1" t="inlineStr">
        <is>
          <t>J. Alvarez</t>
        </is>
      </c>
      <c r="L4" s="1" t="inlineStr">
        <is>
          <t>Renewed</t>
        </is>
      </c>
      <c r="M4" s="1" t="inlineStr">
        <is>
          <t>Open service credit dispute</t>
        </is>
      </c>
    </row>
    <row r="5">
      <c r="A5" s="1" t="inlineStr">
        <is>
          <t>REN-2025-0004</t>
        </is>
      </c>
      <c r="B5" s="1" t="inlineStr">
        <is>
          <t>BMC-MSA-2024-13</t>
        </is>
      </c>
      <c r="C5" s="1" t="inlineStr">
        <is>
          <t>Blue Mesa Components</t>
        </is>
      </c>
      <c r="D5" s="1" t="inlineStr">
        <is>
          <t>2025Q3</t>
        </is>
      </c>
      <c r="E5" s="2" t="n">
        <v>45533</v>
      </c>
      <c r="F5" s="2" t="n">
        <v>45898</v>
      </c>
      <c r="G5" s="2" t="n">
        <v>45838</v>
      </c>
      <c r="H5" s="1" t="n">
        <v>145299.11</v>
      </c>
      <c r="I5" s="1" t="n">
        <v>165640.99</v>
      </c>
      <c r="J5" s="1">
        <f>ROUND(I5-H5,2)</f>
        <v/>
      </c>
      <c r="K5" s="1" t="inlineStr">
        <is>
          <t>T. Ferreira</t>
        </is>
      </c>
      <c r="L5" s="1" t="inlineStr">
        <is>
          <t>In negotiation</t>
        </is>
      </c>
      <c r="M5" s="1" t="inlineStr">
        <is>
          <t>Throughput below customer target</t>
        </is>
      </c>
    </row>
    <row r="6">
      <c r="A6" s="1" t="inlineStr">
        <is>
          <t>REN-2027-0005</t>
        </is>
      </c>
      <c r="B6" s="1" t="inlineStr">
        <is>
          <t>EWP-MSA-2025-54</t>
        </is>
      </c>
      <c r="C6" s="1" t="inlineStr">
        <is>
          <t>Elmsworth Publishing</t>
        </is>
      </c>
      <c r="D6" s="1" t="inlineStr">
        <is>
          <t>2027Q1</t>
        </is>
      </c>
      <c r="E6" s="2" t="n">
        <v>45674</v>
      </c>
      <c r="F6" s="2" t="n">
        <v>46404</v>
      </c>
      <c r="G6" s="2" t="n">
        <v>46374</v>
      </c>
      <c r="H6" s="1" t="n">
        <v>93887</v>
      </c>
      <c r="I6" s="1" t="n">
        <v>102336.83</v>
      </c>
      <c r="J6" s="1">
        <f>ROUND(I6-H6,2)</f>
        <v/>
      </c>
      <c r="K6" s="1" t="inlineStr">
        <is>
          <t>F. Roux</t>
        </is>
      </c>
      <c r="L6" s="1" t="inlineStr">
        <is>
          <t>Renewed</t>
        </is>
      </c>
      <c r="M6" s="1" t="inlineStr">
        <is>
          <t>Competitive evaluation underway</t>
        </is>
      </c>
    </row>
    <row r="7">
      <c r="A7" s="1" t="inlineStr">
        <is>
          <t>REN-2026-0006</t>
        </is>
      </c>
      <c r="B7" s="1" t="inlineStr">
        <is>
          <t>AST-MSA-2024-34</t>
        </is>
      </c>
      <c r="C7" s="1" t="inlineStr">
        <is>
          <t>Asterion Logistics</t>
        </is>
      </c>
      <c r="D7" s="1" t="inlineStr">
        <is>
          <t>2026Q4</t>
        </is>
      </c>
      <c r="E7" s="2" t="n">
        <v>45587</v>
      </c>
      <c r="F7" s="2" t="n">
        <v>46317</v>
      </c>
      <c r="G7" s="2" t="n">
        <v>46227</v>
      </c>
      <c r="H7" s="1" t="n">
        <v>1117497.35</v>
      </c>
      <c r="I7" s="1" t="n">
        <v>1318646.87</v>
      </c>
      <c r="J7" s="1">
        <f>ROUND(I7-H7,2)</f>
        <v/>
      </c>
      <c r="K7" s="1" t="inlineStr">
        <is>
          <t>T. Ferreira</t>
        </is>
      </c>
      <c r="L7" s="1" t="inlineStr">
        <is>
          <t>Renewed</t>
        </is>
      </c>
      <c r="M7" s="1" t="inlineStr">
        <is>
          <t>Throughput below customer target</t>
        </is>
      </c>
    </row>
    <row r="8">
      <c r="A8" s="1" t="inlineStr">
        <is>
          <t>REN-2027-0007</t>
        </is>
      </c>
      <c r="B8" s="1" t="inlineStr">
        <is>
          <t>DGC-MSA-2024-26</t>
        </is>
      </c>
      <c r="C8" s="1" t="inlineStr">
        <is>
          <t>Dorsey Grain Cooperative</t>
        </is>
      </c>
      <c r="D8" s="1" t="inlineStr">
        <is>
          <t>2027Q1</t>
        </is>
      </c>
      <c r="E8" s="2" t="n">
        <v>45338</v>
      </c>
      <c r="F8" s="2" t="n">
        <v>46434</v>
      </c>
      <c r="G8" s="2" t="n">
        <v>46374</v>
      </c>
      <c r="H8" s="1" t="n">
        <v>362318.04</v>
      </c>
      <c r="I8" s="1" t="n">
        <v>402173.02</v>
      </c>
      <c r="J8" s="1">
        <f>ROUND(I8-H8,2)</f>
        <v/>
      </c>
      <c r="K8" s="1" t="inlineStr">
        <is>
          <t>T. Ferreira</t>
        </is>
      </c>
      <c r="L8" s="1" t="inlineStr">
        <is>
          <t>Downgraded scope</t>
        </is>
      </c>
      <c r="M8" s="1" t="inlineStr">
        <is>
          <t>Budget freeze pending refinancing</t>
        </is>
      </c>
    </row>
    <row r="9">
      <c r="A9" s="1" t="inlineStr">
        <is>
          <t>REN-2026-0008</t>
        </is>
      </c>
      <c r="B9" s="1" t="inlineStr">
        <is>
          <t>BMC-MSA-2024-37</t>
        </is>
      </c>
      <c r="C9" s="1" t="inlineStr">
        <is>
          <t>Blue Mesa Components</t>
        </is>
      </c>
      <c r="D9" s="1" t="inlineStr">
        <is>
          <t>2026Q3</t>
        </is>
      </c>
      <c r="E9" s="2" t="n">
        <v>45499</v>
      </c>
      <c r="F9" s="2" t="n">
        <v>46229</v>
      </c>
      <c r="G9" s="2" t="n">
        <v>46199</v>
      </c>
      <c r="H9" s="1" t="n">
        <v>1079470.08</v>
      </c>
      <c r="I9" s="1" t="n">
        <v>1252185.29</v>
      </c>
      <c r="J9" s="1">
        <f>ROUND(I9-H9,2)</f>
        <v/>
      </c>
      <c r="K9" s="1" t="inlineStr">
        <is>
          <t>J. Alvarez</t>
        </is>
      </c>
      <c r="L9" s="1" t="inlineStr">
        <is>
          <t>Notice served</t>
        </is>
      </c>
      <c r="M9" s="1" t="inlineStr">
        <is>
          <t>Open service credit dispute</t>
        </is>
      </c>
    </row>
    <row r="10">
      <c r="A10" s="1" t="inlineStr">
        <is>
          <t>REN-2027-0009</t>
        </is>
      </c>
      <c r="B10" s="1" t="inlineStr">
        <is>
          <t>BMC-MSA-2024-81</t>
        </is>
      </c>
      <c r="C10" s="1" t="inlineStr">
        <is>
          <t>Blue Mesa Components</t>
        </is>
      </c>
      <c r="D10" s="1" t="inlineStr">
        <is>
          <t>2027Q4</t>
        </is>
      </c>
      <c r="E10" s="2" t="n">
        <v>45587</v>
      </c>
      <c r="F10" s="2" t="n">
        <v>46682</v>
      </c>
      <c r="G10" s="2" t="n">
        <v>46622</v>
      </c>
      <c r="H10" s="1" t="n">
        <v>474070.46</v>
      </c>
      <c r="I10" s="1" t="n">
        <v>535699.62</v>
      </c>
      <c r="J10" s="1">
        <f>ROUND(I10-H10,2)</f>
        <v/>
      </c>
      <c r="K10" s="1" t="inlineStr">
        <is>
          <t>F. Roux</t>
        </is>
      </c>
      <c r="L10" s="1" t="inlineStr">
        <is>
          <t>Renewed</t>
        </is>
      </c>
      <c r="M10" s="1" t="inlineStr">
        <is>
          <t>Competitive evaluation underway</t>
        </is>
      </c>
    </row>
    <row r="11">
      <c r="A11" s="1" t="inlineStr">
        <is>
          <t>REN-2025-0010</t>
        </is>
      </c>
      <c r="B11" s="1" t="inlineStr">
        <is>
          <t>AST-MSA-2024-41</t>
        </is>
      </c>
      <c r="C11" s="1" t="inlineStr">
        <is>
          <t>Asterion Logistics</t>
        </is>
      </c>
      <c r="D11" s="1" t="inlineStr">
        <is>
          <t>2025Q3</t>
        </is>
      </c>
      <c r="E11" s="2" t="n">
        <v>45520</v>
      </c>
      <c r="F11" s="2" t="n">
        <v>45885</v>
      </c>
      <c r="G11" s="2" t="n">
        <v>45825</v>
      </c>
      <c r="H11" s="1" t="n">
        <v>587155.55</v>
      </c>
      <c r="I11" s="1" t="n">
        <v>698715.1</v>
      </c>
      <c r="J11" s="1">
        <f>ROUND(I11-H11,2)</f>
        <v/>
      </c>
      <c r="K11" s="1" t="inlineStr">
        <is>
          <t>J. Alvarez</t>
        </is>
      </c>
      <c r="L11" s="1" t="inlineStr">
        <is>
          <t>Renewed</t>
        </is>
      </c>
      <c r="M11" s="1" t="inlineStr">
        <is>
          <t>Throughput below customer target</t>
        </is>
      </c>
    </row>
    <row r="12">
      <c r="A12" s="1" t="inlineStr">
        <is>
          <t>REN-2028-0011</t>
        </is>
      </c>
      <c r="B12" s="1" t="inlineStr">
        <is>
          <t>PFU-MSA-2025-51</t>
        </is>
      </c>
      <c r="C12" s="1" t="inlineStr">
        <is>
          <t>Pioneer Freight Union</t>
        </is>
      </c>
      <c r="D12" s="1" t="inlineStr">
        <is>
          <t>2028Q1</t>
        </is>
      </c>
      <c r="E12" s="2" t="n">
        <v>45740</v>
      </c>
      <c r="F12" s="2" t="n">
        <v>46836</v>
      </c>
      <c r="G12" s="2" t="n">
        <v>46746</v>
      </c>
      <c r="H12" s="1" t="n">
        <v>297402.06</v>
      </c>
      <c r="I12" s="1" t="n">
        <v>359856.49</v>
      </c>
      <c r="J12" s="1">
        <f>ROUND(I12-H12,2)</f>
        <v/>
      </c>
      <c r="K12" s="1" t="inlineStr">
        <is>
          <t>T. Ferreira</t>
        </is>
      </c>
      <c r="L12" s="1" t="inlineStr">
        <is>
          <t>Downgraded scope</t>
        </is>
      </c>
      <c r="M12" s="1" t="inlineStr">
        <is>
          <t>Throughput below customer target</t>
        </is>
      </c>
    </row>
    <row r="13">
      <c r="A13" s="1" t="inlineStr">
        <is>
          <t>REN-2026-0012</t>
        </is>
      </c>
      <c r="B13" s="1" t="inlineStr">
        <is>
          <t>OGF-MSA-2025-82</t>
        </is>
      </c>
      <c r="C13" s="1" t="inlineStr">
        <is>
          <t>Orchard Grove Foods</t>
        </is>
      </c>
      <c r="D13" s="1" t="inlineStr">
        <is>
          <t>2026Q3</t>
        </is>
      </c>
      <c r="E13" s="2" t="n">
        <v>45926</v>
      </c>
      <c r="F13" s="2" t="n">
        <v>46291</v>
      </c>
      <c r="G13" s="2" t="n">
        <v>46231</v>
      </c>
      <c r="H13" s="1" t="n">
        <v>625031.22</v>
      </c>
      <c r="I13" s="1" t="n">
        <v>743787.15</v>
      </c>
      <c r="J13" s="1">
        <f>ROUND(I13-H13,2)</f>
        <v/>
      </c>
      <c r="K13" s="1" t="inlineStr">
        <is>
          <t>T. Ferreira</t>
        </is>
      </c>
      <c r="L13" s="1" t="inlineStr">
        <is>
          <t>Notice served</t>
        </is>
      </c>
      <c r="M13" s="1" t="inlineStr">
        <is>
          <t>Open service credit dispute</t>
        </is>
      </c>
    </row>
    <row r="14">
      <c r="A14" s="1" t="inlineStr">
        <is>
          <t>REN-2026-0013</t>
        </is>
      </c>
      <c r="B14" s="1" t="inlineStr">
        <is>
          <t>JHS-MSA-2024-80</t>
        </is>
      </c>
      <c r="C14" s="1" t="inlineStr">
        <is>
          <t>Juniper Health Supply</t>
        </is>
      </c>
      <c r="D14" s="1" t="inlineStr">
        <is>
          <t>2026Q2</t>
        </is>
      </c>
      <c r="E14" s="2" t="n">
        <v>45420</v>
      </c>
      <c r="F14" s="2" t="n">
        <v>46150</v>
      </c>
      <c r="G14" s="2" t="n">
        <v>46090</v>
      </c>
      <c r="H14" s="1" t="n">
        <v>595902.83</v>
      </c>
      <c r="I14" s="1" t="n">
        <v>625697.97</v>
      </c>
      <c r="J14" s="1">
        <f>ROUND(I14-H14,2)</f>
        <v/>
      </c>
      <c r="K14" s="1" t="inlineStr">
        <is>
          <t>F. Roux</t>
        </is>
      </c>
      <c r="L14" s="1" t="inlineStr">
        <is>
          <t>Renewed</t>
        </is>
      </c>
      <c r="M14" s="1" t="inlineStr">
        <is>
          <t>Competitive evaluation underway</t>
        </is>
      </c>
    </row>
    <row r="15">
      <c r="A15" s="1" t="inlineStr">
        <is>
          <t>REN-2026-0014</t>
        </is>
      </c>
      <c r="B15" s="1" t="inlineStr">
        <is>
          <t>WCD-MSA-2024-52</t>
        </is>
      </c>
      <c r="C15" s="1" t="inlineStr">
        <is>
          <t>Westlake Chemical Depot</t>
        </is>
      </c>
      <c r="D15" s="1" t="inlineStr">
        <is>
          <t>2026Q2</t>
        </is>
      </c>
      <c r="E15" s="2" t="n">
        <v>45457</v>
      </c>
      <c r="F15" s="2" t="n">
        <v>46187</v>
      </c>
      <c r="G15" s="2" t="n">
        <v>46157</v>
      </c>
      <c r="H15" s="1" t="n">
        <v>302951.44</v>
      </c>
      <c r="I15" s="1" t="n">
        <v>363541.73</v>
      </c>
      <c r="J15" s="1">
        <f>ROUND(I15-H15,2)</f>
        <v/>
      </c>
      <c r="K15" s="1" t="inlineStr">
        <is>
          <t>J. Alvarez</t>
        </is>
      </c>
      <c r="L15" s="1" t="inlineStr">
        <is>
          <t>At risk</t>
        </is>
      </c>
      <c r="M15" s="1" t="inlineStr">
        <is>
          <t>Sponsor changed in the second quarter</t>
        </is>
      </c>
    </row>
    <row r="16">
      <c r="A16" s="1" t="inlineStr">
        <is>
          <t>REN-2027-0015</t>
        </is>
      </c>
      <c r="B16" s="1" t="inlineStr">
        <is>
          <t>FTM-MSA-2025-39</t>
        </is>
      </c>
      <c r="C16" s="1" t="inlineStr">
        <is>
          <t>Fathom Mobility</t>
        </is>
      </c>
      <c r="D16" s="1" t="inlineStr">
        <is>
          <t>2027Q1</t>
        </is>
      </c>
      <c r="E16" s="2" t="n">
        <v>45723</v>
      </c>
      <c r="F16" s="2" t="n">
        <v>46453</v>
      </c>
      <c r="G16" s="2" t="n">
        <v>46363</v>
      </c>
      <c r="H16" s="1" t="n">
        <v>989754.6800000001</v>
      </c>
      <c r="I16" s="1" t="n">
        <v>1148115.43</v>
      </c>
      <c r="J16" s="1">
        <f>ROUND(I16-H16,2)</f>
        <v/>
      </c>
      <c r="K16" s="1" t="inlineStr">
        <is>
          <t>F. Roux</t>
        </is>
      </c>
      <c r="L16" s="1" t="inlineStr">
        <is>
          <t>Notice served</t>
        </is>
      </c>
      <c r="M16" s="1" t="inlineStr">
        <is>
          <t>Competitive evaluation underway</t>
        </is>
      </c>
    </row>
    <row r="17">
      <c r="A17" s="1" t="inlineStr">
        <is>
          <t>REN-2027-0016</t>
        </is>
      </c>
      <c r="B17" s="1" t="inlineStr">
        <is>
          <t>FTM-MSA-2025-54</t>
        </is>
      </c>
      <c r="C17" s="1" t="inlineStr">
        <is>
          <t>Fathom Mobility</t>
        </is>
      </c>
      <c r="D17" s="1" t="inlineStr">
        <is>
          <t>2027Q1</t>
        </is>
      </c>
      <c r="E17" s="2" t="n">
        <v>45712</v>
      </c>
      <c r="F17" s="2" t="n">
        <v>46442</v>
      </c>
      <c r="G17" s="2" t="n">
        <v>46382</v>
      </c>
      <c r="H17" s="1" t="n">
        <v>551921.8</v>
      </c>
      <c r="I17" s="1" t="n">
        <v>568479.45</v>
      </c>
      <c r="J17" s="1">
        <f>ROUND(I17-H17,2)</f>
        <v/>
      </c>
      <c r="K17" s="1" t="inlineStr">
        <is>
          <t>T. Ferreira</t>
        </is>
      </c>
      <c r="L17" s="1" t="inlineStr">
        <is>
          <t>At risk</t>
        </is>
      </c>
      <c r="M17" s="1" t="inlineStr">
        <is>
          <t>Open service credit dispute</t>
        </is>
      </c>
    </row>
    <row r="18">
      <c r="A18" s="1" t="inlineStr">
        <is>
          <t>REN-2027-0017</t>
        </is>
      </c>
      <c r="B18" s="1" t="inlineStr">
        <is>
          <t>ABT-MSA-2025-28</t>
        </is>
      </c>
      <c r="C18" s="1" t="inlineStr">
        <is>
          <t>Alderbrook Textiles</t>
        </is>
      </c>
      <c r="D18" s="1" t="inlineStr">
        <is>
          <t>2027Q4</t>
        </is>
      </c>
      <c r="E18" s="2" t="n">
        <v>45999</v>
      </c>
      <c r="F18" s="2" t="n">
        <v>46729</v>
      </c>
      <c r="G18" s="2" t="n">
        <v>46669</v>
      </c>
      <c r="H18" s="1" t="n">
        <v>425285.84</v>
      </c>
      <c r="I18" s="1" t="n">
        <v>480573</v>
      </c>
      <c r="J18" s="1">
        <f>ROUND(I18-H18,2)</f>
        <v/>
      </c>
      <c r="K18" s="1" t="inlineStr">
        <is>
          <t>T. Ferreira</t>
        </is>
      </c>
      <c r="L18" s="1" t="inlineStr">
        <is>
          <t>Downgraded scope</t>
        </is>
      </c>
      <c r="M18" s="1" t="inlineStr">
        <is>
          <t>Champion promoted, relationship strong</t>
        </is>
      </c>
    </row>
    <row r="19">
      <c r="A19" s="1" t="inlineStr">
        <is>
          <t>REN-2025-0018</t>
        </is>
      </c>
      <c r="B19" s="1" t="inlineStr">
        <is>
          <t>EVW-MSA-2024-53</t>
        </is>
      </c>
      <c r="C19" s="1" t="inlineStr">
        <is>
          <t>Evergreen Warehousing</t>
        </is>
      </c>
      <c r="D19" s="1" t="inlineStr">
        <is>
          <t>2025Q2</t>
        </is>
      </c>
      <c r="E19" s="2" t="n">
        <v>45415</v>
      </c>
      <c r="F19" s="2" t="n">
        <v>45780</v>
      </c>
      <c r="G19" s="2" t="n">
        <v>45720</v>
      </c>
      <c r="H19" s="1" t="n">
        <v>272060.93</v>
      </c>
      <c r="I19" s="1" t="n">
        <v>277502.15</v>
      </c>
      <c r="J19" s="1">
        <f>ROUND(I19-H19,2)</f>
        <v/>
      </c>
      <c r="K19" s="1" t="inlineStr">
        <is>
          <t>F. Roux</t>
        </is>
      </c>
      <c r="L19" s="1" t="inlineStr">
        <is>
          <t>Renewed</t>
        </is>
      </c>
      <c r="M19" s="1" t="inlineStr">
        <is>
          <t>Champion promoted, relationship strong</t>
        </is>
      </c>
    </row>
    <row r="20">
      <c r="A20" s="1" t="inlineStr">
        <is>
          <t>REN-2028-0019</t>
        </is>
      </c>
      <c r="B20" s="1" t="inlineStr">
        <is>
          <t>EWP-MSA-2025-74</t>
        </is>
      </c>
      <c r="C20" s="1" t="inlineStr">
        <is>
          <t>Elmsworth Publishing</t>
        </is>
      </c>
      <c r="D20" s="1" t="inlineStr">
        <is>
          <t>2028Q4</t>
        </is>
      </c>
      <c r="E20" s="2" t="n">
        <v>45996</v>
      </c>
      <c r="F20" s="2" t="n">
        <v>47092</v>
      </c>
      <c r="G20" s="2" t="n">
        <v>47062</v>
      </c>
      <c r="H20" s="1" t="n">
        <v>616981.4399999999</v>
      </c>
      <c r="I20" s="1" t="n">
        <v>691019.21</v>
      </c>
      <c r="J20" s="1">
        <f>ROUND(I20-H20,2)</f>
        <v/>
      </c>
      <c r="K20" s="1" t="inlineStr">
        <is>
          <t>J. Alvarez</t>
        </is>
      </c>
      <c r="L20" s="1" t="inlineStr">
        <is>
          <t>Renewed</t>
        </is>
      </c>
      <c r="M20" s="1" t="inlineStr">
        <is>
          <t>Sponsor changed in the second quarter</t>
        </is>
      </c>
    </row>
    <row r="21">
      <c r="A21" s="1" t="inlineStr">
        <is>
          <t>REN-2026-0020</t>
        </is>
      </c>
      <c r="B21" s="1" t="inlineStr">
        <is>
          <t>WCD-MSA-2025-87</t>
        </is>
      </c>
      <c r="C21" s="1" t="inlineStr">
        <is>
          <t>Westlake Chemical Depot</t>
        </is>
      </c>
      <c r="D21" s="1" t="inlineStr">
        <is>
          <t>2026Q1</t>
        </is>
      </c>
      <c r="E21" s="2" t="n">
        <v>45678</v>
      </c>
      <c r="F21" s="2" t="n">
        <v>46043</v>
      </c>
      <c r="G21" s="2" t="n">
        <v>45983</v>
      </c>
      <c r="H21" s="1" t="n">
        <v>1102554.5</v>
      </c>
      <c r="I21" s="1" t="n">
        <v>1312039.85</v>
      </c>
      <c r="J21" s="1">
        <f>ROUND(I21-H21,2)</f>
        <v/>
      </c>
      <c r="K21" s="1" t="inlineStr">
        <is>
          <t>F. Roux</t>
        </is>
      </c>
      <c r="L21" s="1" t="inlineStr">
        <is>
          <t>Notice served</t>
        </is>
      </c>
      <c r="M21" s="1" t="inlineStr">
        <is>
          <t>Champion promoted, relationship strong</t>
        </is>
      </c>
    </row>
    <row r="22">
      <c r="A22" s="1" t="inlineStr">
        <is>
          <t>REN-2028-0021</t>
        </is>
      </c>
      <c r="B22" s="1" t="inlineStr">
        <is>
          <t>DBI-MSA-2025-13</t>
        </is>
      </c>
      <c r="C22" s="1" t="inlineStr">
        <is>
          <t>Dunbar Industrial</t>
        </is>
      </c>
      <c r="D22" s="1" t="inlineStr">
        <is>
          <t>2028Q3</t>
        </is>
      </c>
      <c r="E22" s="2" t="n">
        <v>45917</v>
      </c>
      <c r="F22" s="2" t="n">
        <v>47013</v>
      </c>
      <c r="G22" s="2" t="n">
        <v>46953</v>
      </c>
      <c r="H22" s="1" t="n">
        <v>1017882.99</v>
      </c>
      <c r="I22" s="1" t="n">
        <v>1119671.29</v>
      </c>
      <c r="J22" s="1">
        <f>ROUND(I22-H22,2)</f>
        <v/>
      </c>
      <c r="K22" s="1" t="inlineStr">
        <is>
          <t>F. Roux</t>
        </is>
      </c>
      <c r="L22" s="1" t="inlineStr">
        <is>
          <t>At risk</t>
        </is>
      </c>
      <c r="M22" s="1" t="inlineStr">
        <is>
          <t>Throughput below customer target</t>
        </is>
      </c>
    </row>
    <row r="23">
      <c r="A23" s="1" t="inlineStr">
        <is>
          <t>REN-2025-0022</t>
        </is>
      </c>
      <c r="B23" s="1" t="inlineStr">
        <is>
          <t>RWO-MSA-2024-79</t>
        </is>
      </c>
      <c r="C23" s="1" t="inlineStr">
        <is>
          <t>Redwood Optics</t>
        </is>
      </c>
      <c r="D23" s="1" t="inlineStr">
        <is>
          <t>2025Q3</t>
        </is>
      </c>
      <c r="E23" s="2" t="n">
        <v>45505</v>
      </c>
      <c r="F23" s="2" t="n">
        <v>45870</v>
      </c>
      <c r="G23" s="2" t="n">
        <v>45840</v>
      </c>
      <c r="H23" s="1" t="n">
        <v>326782.46</v>
      </c>
      <c r="I23" s="1" t="n">
        <v>379067.65</v>
      </c>
      <c r="J23" s="1">
        <f>ROUND(I23-H23,2)</f>
        <v/>
      </c>
      <c r="K23" s="1" t="inlineStr">
        <is>
          <t>J. Alvarez</t>
        </is>
      </c>
      <c r="L23" s="1" t="inlineStr">
        <is>
          <t>Renewed</t>
        </is>
      </c>
      <c r="M23" s="1" t="inlineStr">
        <is>
          <t>Open service credit dispute</t>
        </is>
      </c>
    </row>
    <row r="24">
      <c r="A24" s="1" t="inlineStr">
        <is>
          <t>REN-2027-0023</t>
        </is>
      </c>
      <c r="B24" s="1" t="inlineStr">
        <is>
          <t>KPP-MSA-2025-19</t>
        </is>
      </c>
      <c r="C24" s="1" t="inlineStr">
        <is>
          <t>Keystone Paper &amp; Pack</t>
        </is>
      </c>
      <c r="D24" s="1" t="inlineStr">
        <is>
          <t>2027Q1</t>
        </is>
      </c>
      <c r="E24" s="2" t="n">
        <v>45679</v>
      </c>
      <c r="F24" s="2" t="n">
        <v>46409</v>
      </c>
      <c r="G24" s="2" t="n">
        <v>46379</v>
      </c>
      <c r="H24" s="1" t="n">
        <v>731937.8199999999</v>
      </c>
      <c r="I24" s="1" t="n">
        <v>783173.47</v>
      </c>
      <c r="J24" s="1">
        <f>ROUND(I24-H24,2)</f>
        <v/>
      </c>
      <c r="K24" s="1" t="inlineStr">
        <is>
          <t>F. Roux</t>
        </is>
      </c>
      <c r="L24" s="1" t="inlineStr">
        <is>
          <t>In negotiation</t>
        </is>
      </c>
      <c r="M24" s="1" t="inlineStr">
        <is>
          <t>Champion promoted, relationship strong</t>
        </is>
      </c>
    </row>
    <row r="25">
      <c r="A25" s="1" t="inlineStr">
        <is>
          <t>REN-2025-0024</t>
        </is>
      </c>
      <c r="B25" s="1" t="inlineStr">
        <is>
          <t>FTM-MSA-2024-40</t>
        </is>
      </c>
      <c r="C25" s="1" t="inlineStr">
        <is>
          <t>Fathom Mobility</t>
        </is>
      </c>
      <c r="D25" s="1" t="inlineStr">
        <is>
          <t>2025Q2</t>
        </is>
      </c>
      <c r="E25" s="2" t="n">
        <v>45432</v>
      </c>
      <c r="F25" s="2" t="n">
        <v>45797</v>
      </c>
      <c r="G25" s="2" t="n">
        <v>45707</v>
      </c>
      <c r="H25" s="1" t="n">
        <v>644963.24</v>
      </c>
      <c r="I25" s="1" t="n">
        <v>761056.62</v>
      </c>
      <c r="J25" s="1">
        <f>ROUND(I25-H25,2)</f>
        <v/>
      </c>
      <c r="K25" s="1" t="inlineStr">
        <is>
          <t>T. Ferreira</t>
        </is>
      </c>
      <c r="L25" s="1" t="inlineStr">
        <is>
          <t>Downgraded scope</t>
        </is>
      </c>
      <c r="M25" s="1" t="inlineStr">
        <is>
          <t>Competitive evaluation underway</t>
        </is>
      </c>
    </row>
    <row r="26">
      <c r="A26" s="1" t="inlineStr">
        <is>
          <t>REN-2027-0025</t>
        </is>
      </c>
      <c r="B26" s="1" t="inlineStr">
        <is>
          <t>QBM-MSA-2024-56</t>
        </is>
      </c>
      <c r="C26" s="1" t="inlineStr">
        <is>
          <t>Quarrybridge Materials</t>
        </is>
      </c>
      <c r="D26" s="1" t="inlineStr">
        <is>
          <t>2027Q3</t>
        </is>
      </c>
      <c r="E26" s="2" t="n">
        <v>45489</v>
      </c>
      <c r="F26" s="2" t="n">
        <v>46584</v>
      </c>
      <c r="G26" s="2" t="n">
        <v>46524</v>
      </c>
      <c r="H26" s="1" t="n">
        <v>358948.89</v>
      </c>
      <c r="I26" s="1" t="n">
        <v>362538.38</v>
      </c>
      <c r="J26" s="1">
        <f>ROUND(I26-H26,2)</f>
        <v/>
      </c>
      <c r="K26" s="1" t="inlineStr">
        <is>
          <t>T. Ferreira</t>
        </is>
      </c>
      <c r="L26" s="1" t="inlineStr">
        <is>
          <t>Renewed</t>
        </is>
      </c>
      <c r="M26" s="1" t="inlineStr">
        <is>
          <t>Budget freeze pending refinancing</t>
        </is>
      </c>
    </row>
    <row r="27">
      <c r="A27" s="1" t="inlineStr">
        <is>
          <t>REN-2026-0026</t>
        </is>
      </c>
      <c r="B27" s="1" t="inlineStr">
        <is>
          <t>QBM-MSA-2024-16</t>
        </is>
      </c>
      <c r="C27" s="1" t="inlineStr">
        <is>
          <t>Quarrybridge Materials</t>
        </is>
      </c>
      <c r="D27" s="1" t="inlineStr">
        <is>
          <t>2026Q3</t>
        </is>
      </c>
      <c r="E27" s="2" t="n">
        <v>45495</v>
      </c>
      <c r="F27" s="2" t="n">
        <v>46225</v>
      </c>
      <c r="G27" s="2" t="n">
        <v>46135</v>
      </c>
      <c r="H27" s="1" t="n">
        <v>848486.78</v>
      </c>
      <c r="I27" s="1" t="n">
        <v>958790.0600000001</v>
      </c>
      <c r="J27" s="1">
        <f>ROUND(I27-H27,2)</f>
        <v/>
      </c>
      <c r="K27" s="1" t="inlineStr">
        <is>
          <t>T. Ferreira</t>
        </is>
      </c>
      <c r="L27" s="1" t="inlineStr">
        <is>
          <t>In negotiation</t>
        </is>
      </c>
      <c r="M27" s="1" t="inlineStr">
        <is>
          <t>Competitive evaluation underway</t>
        </is>
      </c>
    </row>
    <row r="28">
      <c r="A28" s="1" t="inlineStr">
        <is>
          <t>REN-2026-0027</t>
        </is>
      </c>
      <c r="B28" s="1" t="inlineStr">
        <is>
          <t>JHS-MSA-2025-49</t>
        </is>
      </c>
      <c r="C28" s="1" t="inlineStr">
        <is>
          <t>Juniper Health Supply</t>
        </is>
      </c>
      <c r="D28" s="1" t="inlineStr">
        <is>
          <t>2026Q1</t>
        </is>
      </c>
      <c r="E28" s="2" t="n">
        <v>45688</v>
      </c>
      <c r="F28" s="2" t="n">
        <v>46053</v>
      </c>
      <c r="G28" s="2" t="n">
        <v>45993</v>
      </c>
      <c r="H28" s="1" t="n">
        <v>391320.52</v>
      </c>
      <c r="I28" s="1" t="n">
        <v>406973.34</v>
      </c>
      <c r="J28" s="1">
        <f>ROUND(I28-H28,2)</f>
        <v/>
      </c>
      <c r="K28" s="1" t="inlineStr">
        <is>
          <t>T. Ferreira</t>
        </is>
      </c>
      <c r="L28" s="1" t="inlineStr">
        <is>
          <t>At risk</t>
        </is>
      </c>
      <c r="M28" s="1" t="inlineStr">
        <is>
          <t>Throughput below customer target</t>
        </is>
      </c>
    </row>
    <row r="29">
      <c r="A29" s="1" t="inlineStr">
        <is>
          <t>REN-2028-0028</t>
        </is>
      </c>
      <c r="B29" s="1" t="inlineStr">
        <is>
          <t>IVG-MSA-2025-68</t>
        </is>
      </c>
      <c r="C29" s="1" t="inlineStr">
        <is>
          <t>Ironvale Grocery Group</t>
        </is>
      </c>
      <c r="D29" s="1" t="inlineStr">
        <is>
          <t>2028Q1</t>
        </is>
      </c>
      <c r="E29" s="2" t="n">
        <v>45723</v>
      </c>
      <c r="F29" s="2" t="n">
        <v>46819</v>
      </c>
      <c r="G29" s="2" t="n">
        <v>46789</v>
      </c>
      <c r="H29" s="1" t="n">
        <v>842411.26</v>
      </c>
      <c r="I29" s="1" t="n">
        <v>951924.72</v>
      </c>
      <c r="J29" s="1">
        <f>ROUND(I29-H29,2)</f>
        <v/>
      </c>
      <c r="K29" s="1" t="inlineStr">
        <is>
          <t>F. Roux</t>
        </is>
      </c>
      <c r="L29" s="1" t="inlineStr">
        <is>
          <t>Notice served</t>
        </is>
      </c>
      <c r="M29" s="1" t="inlineStr">
        <is>
          <t>Throughput below customer target</t>
        </is>
      </c>
    </row>
    <row r="30">
      <c r="A30" s="1" t="inlineStr">
        <is>
          <t>REN-2028-0029</t>
        </is>
      </c>
      <c r="B30" s="1" t="inlineStr">
        <is>
          <t>EVW-MSA-2025-26</t>
        </is>
      </c>
      <c r="C30" s="1" t="inlineStr">
        <is>
          <t>Evergreen Warehousing</t>
        </is>
      </c>
      <c r="D30" s="1" t="inlineStr">
        <is>
          <t>2028Q3</t>
        </is>
      </c>
      <c r="E30" s="2" t="n">
        <v>45894</v>
      </c>
      <c r="F30" s="2" t="n">
        <v>46990</v>
      </c>
      <c r="G30" s="2" t="n">
        <v>46930</v>
      </c>
      <c r="H30" s="1" t="n">
        <v>800754.97</v>
      </c>
      <c r="I30" s="1" t="n">
        <v>928875.77</v>
      </c>
      <c r="J30" s="1">
        <f>ROUND(I30-H30,2)</f>
        <v/>
      </c>
      <c r="K30" s="1" t="inlineStr">
        <is>
          <t>F. Roux</t>
        </is>
      </c>
      <c r="L30" s="1" t="inlineStr">
        <is>
          <t>Notice served</t>
        </is>
      </c>
      <c r="M30" s="1" t="inlineStr">
        <is>
          <t>Open service credit dispute</t>
        </is>
      </c>
    </row>
    <row r="31">
      <c r="A31" s="1" t="inlineStr">
        <is>
          <t>REN-2027-0030</t>
        </is>
      </c>
      <c r="B31" s="1" t="inlineStr">
        <is>
          <t>BWA-MSA-2024-38</t>
        </is>
      </c>
      <c r="C31" s="1" t="inlineStr">
        <is>
          <t>Bellweather Auto Group</t>
        </is>
      </c>
      <c r="D31" s="1" t="inlineStr">
        <is>
          <t>2027Q1</t>
        </is>
      </c>
      <c r="E31" s="2" t="n">
        <v>45359</v>
      </c>
      <c r="F31" s="2" t="n">
        <v>46454</v>
      </c>
      <c r="G31" s="2" t="n">
        <v>46364</v>
      </c>
      <c r="H31" s="1" t="n">
        <v>1049419.88</v>
      </c>
      <c r="I31" s="1" t="n">
        <v>1122879.27</v>
      </c>
      <c r="J31" s="1">
        <f>ROUND(I31-H31,2)</f>
        <v/>
      </c>
      <c r="K31" s="1" t="inlineStr">
        <is>
          <t>F. Roux</t>
        </is>
      </c>
      <c r="L31" s="1" t="inlineStr">
        <is>
          <t>At risk</t>
        </is>
      </c>
      <c r="M31" s="1" t="inlineStr">
        <is>
          <t>Competitive evaluation underway</t>
        </is>
      </c>
    </row>
    <row r="32">
      <c r="A32" s="1" t="inlineStr">
        <is>
          <t>REN-2025-0031</t>
        </is>
      </c>
      <c r="B32" s="1" t="inlineStr">
        <is>
          <t>TCE-MSA-2024-52</t>
        </is>
      </c>
      <c r="C32" s="1" t="inlineStr">
        <is>
          <t>Tamarack Electronics</t>
        </is>
      </c>
      <c r="D32" s="1" t="inlineStr">
        <is>
          <t>2025Q3</t>
        </is>
      </c>
      <c r="E32" s="2" t="n">
        <v>45541</v>
      </c>
      <c r="F32" s="2" t="n">
        <v>45906</v>
      </c>
      <c r="G32" s="2" t="n">
        <v>45816</v>
      </c>
      <c r="H32" s="1" t="n">
        <v>545137.76</v>
      </c>
      <c r="I32" s="1" t="n">
        <v>566943.27</v>
      </c>
      <c r="J32" s="1">
        <f>ROUND(I32-H32,2)</f>
        <v/>
      </c>
      <c r="K32" s="1" t="inlineStr">
        <is>
          <t>J. Alvarez</t>
        </is>
      </c>
      <c r="L32" s="1" t="inlineStr">
        <is>
          <t>Downgraded scope</t>
        </is>
      </c>
      <c r="M32" s="1" t="inlineStr">
        <is>
          <t>Sponsor changed in the second quarter</t>
        </is>
      </c>
    </row>
    <row r="33">
      <c r="A33" s="1" t="inlineStr">
        <is>
          <t>REN-2027-0032</t>
        </is>
      </c>
      <c r="B33" s="1" t="inlineStr">
        <is>
          <t>UVP-MSA-2024-62</t>
        </is>
      </c>
      <c r="C33" s="1" t="inlineStr">
        <is>
          <t>Union Vale Pharma</t>
        </is>
      </c>
      <c r="D33" s="1" t="inlineStr">
        <is>
          <t>2027Q2</t>
        </is>
      </c>
      <c r="E33" s="2" t="n">
        <v>45390</v>
      </c>
      <c r="F33" s="2" t="n">
        <v>46485</v>
      </c>
      <c r="G33" s="2" t="n">
        <v>46395</v>
      </c>
      <c r="H33" s="1" t="n">
        <v>1197598.55</v>
      </c>
      <c r="I33" s="1" t="n">
        <v>1437118.26</v>
      </c>
      <c r="J33" s="1">
        <f>ROUND(I33-H33,2)</f>
        <v/>
      </c>
      <c r="K33" s="1" t="inlineStr">
        <is>
          <t>T. Ferreira</t>
        </is>
      </c>
      <c r="L33" s="1" t="inlineStr">
        <is>
          <t>In negotiation</t>
        </is>
      </c>
      <c r="M33" s="1" t="inlineStr">
        <is>
          <t>Competitive evaluation underway</t>
        </is>
      </c>
    </row>
    <row r="34">
      <c r="A34" s="1" t="inlineStr">
        <is>
          <t>REN-2027-0033</t>
        </is>
      </c>
      <c r="B34" s="1" t="inlineStr">
        <is>
          <t>NFB-MSA-2025-13</t>
        </is>
      </c>
      <c r="C34" s="1" t="inlineStr">
        <is>
          <t>Northfield Beverage</t>
        </is>
      </c>
      <c r="D34" s="1" t="inlineStr">
        <is>
          <t>2027Q4</t>
        </is>
      </c>
      <c r="E34" s="2" t="n">
        <v>45978</v>
      </c>
      <c r="F34" s="2" t="n">
        <v>46708</v>
      </c>
      <c r="G34" s="2" t="n">
        <v>46678</v>
      </c>
      <c r="H34" s="1" t="n">
        <v>1202442.9</v>
      </c>
      <c r="I34" s="1" t="n">
        <v>1334711.62</v>
      </c>
      <c r="J34" s="1">
        <f>ROUND(I34-H34,2)</f>
        <v/>
      </c>
      <c r="K34" s="1" t="inlineStr">
        <is>
          <t>T. Ferreira</t>
        </is>
      </c>
      <c r="L34" s="1" t="inlineStr">
        <is>
          <t>At risk</t>
        </is>
      </c>
      <c r="M34" s="1" t="inlineStr">
        <is>
          <t>Throughput below customer target</t>
        </is>
      </c>
    </row>
    <row r="35">
      <c r="A35" s="1" t="inlineStr">
        <is>
          <t>REN-2026-0034</t>
        </is>
      </c>
      <c r="B35" s="1" t="inlineStr">
        <is>
          <t>JHS-MSA-2025-21</t>
        </is>
      </c>
      <c r="C35" s="1" t="inlineStr">
        <is>
          <t>Juniper Health Supply</t>
        </is>
      </c>
      <c r="D35" s="1" t="inlineStr">
        <is>
          <t>2026Q2</t>
        </is>
      </c>
      <c r="E35" s="2" t="n">
        <v>45817</v>
      </c>
      <c r="F35" s="2" t="n">
        <v>46182</v>
      </c>
      <c r="G35" s="2" t="n">
        <v>46092</v>
      </c>
      <c r="H35" s="1" t="n">
        <v>689556.9</v>
      </c>
      <c r="I35" s="1" t="n">
        <v>765408.16</v>
      </c>
      <c r="J35" s="1">
        <f>ROUND(I35-H35,2)</f>
        <v/>
      </c>
      <c r="K35" s="1" t="inlineStr">
        <is>
          <t>J. Alvarez</t>
        </is>
      </c>
      <c r="L35" s="1" t="inlineStr">
        <is>
          <t>At risk</t>
        </is>
      </c>
      <c r="M35" s="1" t="inlineStr">
        <is>
          <t>Budget freeze pending refinancing</t>
        </is>
      </c>
    </row>
    <row r="36">
      <c r="A36" s="1" t="inlineStr">
        <is>
          <t>REN-2026-0035</t>
        </is>
      </c>
      <c r="B36" s="1" t="inlineStr">
        <is>
          <t>VRS-MSA-2025-11</t>
        </is>
      </c>
      <c r="C36" s="1" t="inlineStr">
        <is>
          <t>Vantage Robotics Supply</t>
        </is>
      </c>
      <c r="D36" s="1" t="inlineStr">
        <is>
          <t>2026Q1</t>
        </is>
      </c>
      <c r="E36" s="2" t="n">
        <v>45667</v>
      </c>
      <c r="F36" s="2" t="n">
        <v>46032</v>
      </c>
      <c r="G36" s="2" t="n">
        <v>45972</v>
      </c>
      <c r="H36" s="1" t="n">
        <v>1198655.05</v>
      </c>
      <c r="I36" s="1" t="n">
        <v>1318520.56</v>
      </c>
      <c r="J36" s="1">
        <f>ROUND(I36-H36,2)</f>
        <v/>
      </c>
      <c r="K36" s="1" t="inlineStr">
        <is>
          <t>F. Roux</t>
        </is>
      </c>
      <c r="L36" s="1" t="inlineStr">
        <is>
          <t>In negotiation</t>
        </is>
      </c>
      <c r="M36" s="1" t="inlineStr">
        <is>
          <t>Open service credit dispute</t>
        </is>
      </c>
    </row>
    <row r="37">
      <c r="A37" s="1" t="inlineStr">
        <is>
          <t>REN-2026-0036</t>
        </is>
      </c>
      <c r="B37" s="1" t="inlineStr">
        <is>
          <t>CFF-MSA-2024-69</t>
        </is>
      </c>
      <c r="C37" s="1" t="inlineStr">
        <is>
          <t>Crestline Fulfillment</t>
        </is>
      </c>
      <c r="D37" s="1" t="inlineStr">
        <is>
          <t>2026Q1</t>
        </is>
      </c>
      <c r="E37" s="2" t="n">
        <v>45341</v>
      </c>
      <c r="F37" s="2" t="n">
        <v>46072</v>
      </c>
      <c r="G37" s="2" t="n">
        <v>46012</v>
      </c>
      <c r="H37" s="1" t="n">
        <v>1008725.75</v>
      </c>
      <c r="I37" s="1" t="n">
        <v>1200383.64</v>
      </c>
      <c r="J37" s="1">
        <f>ROUND(I37-H37,2)</f>
        <v/>
      </c>
      <c r="K37" s="1" t="inlineStr">
        <is>
          <t>F. Roux</t>
        </is>
      </c>
      <c r="L37" s="1" t="inlineStr">
        <is>
          <t>In negotiation</t>
        </is>
      </c>
      <c r="M37" s="1" t="inlineStr">
        <is>
          <t>Champion promoted, relationship strong</t>
        </is>
      </c>
    </row>
    <row r="38">
      <c r="A38" s="1" t="inlineStr">
        <is>
          <t>REN-2027-0037</t>
        </is>
      </c>
      <c r="B38" s="1" t="inlineStr">
        <is>
          <t>BWA-MSA-2025-49</t>
        </is>
      </c>
      <c r="C38" s="1" t="inlineStr">
        <is>
          <t>Bellweather Auto Group</t>
        </is>
      </c>
      <c r="D38" s="1" t="inlineStr">
        <is>
          <t>2027Q1</t>
        </is>
      </c>
      <c r="E38" s="2" t="n">
        <v>45666</v>
      </c>
      <c r="F38" s="2" t="n">
        <v>46396</v>
      </c>
      <c r="G38" s="2" t="n">
        <v>46366</v>
      </c>
      <c r="H38" s="1" t="n">
        <v>204774.35</v>
      </c>
      <c r="I38" s="1" t="n">
        <v>247776.96</v>
      </c>
      <c r="J38" s="1">
        <f>ROUND(I38-H38,2)</f>
        <v/>
      </c>
      <c r="K38" s="1" t="inlineStr">
        <is>
          <t>F. Roux</t>
        </is>
      </c>
      <c r="L38" s="1" t="inlineStr">
        <is>
          <t>Renewed</t>
        </is>
      </c>
      <c r="M38" s="1" t="inlineStr">
        <is>
          <t>Throughput below customer target</t>
        </is>
      </c>
    </row>
    <row r="39">
      <c r="A39" s="1" t="inlineStr">
        <is>
          <t>REN-2025-0038</t>
        </is>
      </c>
      <c r="B39" s="1" t="inlineStr">
        <is>
          <t>PFU-MSA-2024-26</t>
        </is>
      </c>
      <c r="C39" s="1" t="inlineStr">
        <is>
          <t>Pioneer Freight Union</t>
        </is>
      </c>
      <c r="D39" s="1" t="inlineStr">
        <is>
          <t>2025Q1</t>
        </is>
      </c>
      <c r="E39" s="2" t="n">
        <v>45324</v>
      </c>
      <c r="F39" s="2" t="n">
        <v>45690</v>
      </c>
      <c r="G39" s="2" t="n">
        <v>45660</v>
      </c>
      <c r="H39" s="1" t="n">
        <v>203456.2</v>
      </c>
      <c r="I39" s="1" t="n">
        <v>205490.76</v>
      </c>
      <c r="J39" s="1">
        <f>ROUND(I39-H39,2)</f>
        <v/>
      </c>
      <c r="K39" s="1" t="inlineStr">
        <is>
          <t>J. Alvarez</t>
        </is>
      </c>
      <c r="L39" s="1" t="inlineStr">
        <is>
          <t>Downgraded scope</t>
        </is>
      </c>
      <c r="M39" s="1" t="inlineStr">
        <is>
          <t>Competitive evaluation underway</t>
        </is>
      </c>
    </row>
    <row r="40">
      <c r="A40" s="1" t="inlineStr">
        <is>
          <t>REN-2028-0039</t>
        </is>
      </c>
      <c r="B40" s="1" t="inlineStr">
        <is>
          <t>KPP-MSA-2025-47</t>
        </is>
      </c>
      <c r="C40" s="1" t="inlineStr">
        <is>
          <t>Keystone Paper &amp; Pack</t>
        </is>
      </c>
      <c r="D40" s="1" t="inlineStr">
        <is>
          <t>2028Q4</t>
        </is>
      </c>
      <c r="E40" s="2" t="n">
        <v>45940</v>
      </c>
      <c r="F40" s="2" t="n">
        <v>47036</v>
      </c>
      <c r="G40" s="2" t="n">
        <v>47006</v>
      </c>
      <c r="H40" s="1" t="n">
        <v>1130590.47</v>
      </c>
      <c r="I40" s="1" t="n">
        <v>1221037.71</v>
      </c>
      <c r="J40" s="1">
        <f>ROUND(I40-H40,2)</f>
        <v/>
      </c>
      <c r="K40" s="1" t="inlineStr">
        <is>
          <t>T. Ferreira</t>
        </is>
      </c>
      <c r="L40" s="1" t="inlineStr">
        <is>
          <t>Renewed</t>
        </is>
      </c>
      <c r="M40" s="1" t="inlineStr">
        <is>
          <t>Sponsor changed in the second quarter</t>
        </is>
      </c>
    </row>
    <row r="41">
      <c r="A41" s="1" t="inlineStr">
        <is>
          <t>REN-2026-0040</t>
        </is>
      </c>
      <c r="B41" s="1" t="inlineStr">
        <is>
          <t>TCE-MSA-2025-73</t>
        </is>
      </c>
      <c r="C41" s="1" t="inlineStr">
        <is>
          <t>Tamarack Electronics</t>
        </is>
      </c>
      <c r="D41" s="1" t="inlineStr">
        <is>
          <t>2026Q2</t>
        </is>
      </c>
      <c r="E41" s="2" t="n">
        <v>45786</v>
      </c>
      <c r="F41" s="2" t="n">
        <v>46151</v>
      </c>
      <c r="G41" s="2" t="n">
        <v>46061</v>
      </c>
      <c r="H41" s="1" t="n">
        <v>1041442.43</v>
      </c>
      <c r="I41" s="1" t="n">
        <v>1176829.95</v>
      </c>
      <c r="J41" s="1">
        <f>ROUND(I41-H41,2)</f>
        <v/>
      </c>
      <c r="K41" s="1" t="inlineStr">
        <is>
          <t>J. Alvarez</t>
        </is>
      </c>
      <c r="L41" s="1" t="inlineStr">
        <is>
          <t>Downgraded scope</t>
        </is>
      </c>
      <c r="M41" s="1" t="inlineStr">
        <is>
          <t>Throughput below customer target</t>
        </is>
      </c>
    </row>
    <row r="42">
      <c r="A42" s="1" t="inlineStr">
        <is>
          <t>REN-2025-0041</t>
        </is>
      </c>
      <c r="B42" s="1" t="inlineStr">
        <is>
          <t>NFB-MSA-2024-40</t>
        </is>
      </c>
      <c r="C42" s="1" t="inlineStr">
        <is>
          <t>Northfield Beverage</t>
        </is>
      </c>
      <c r="D42" s="1" t="inlineStr">
        <is>
          <t>2025Q3</t>
        </is>
      </c>
      <c r="E42" s="2" t="n">
        <v>45524</v>
      </c>
      <c r="F42" s="2" t="n">
        <v>45889</v>
      </c>
      <c r="G42" s="2" t="n">
        <v>45799</v>
      </c>
      <c r="H42" s="1" t="n">
        <v>659672.08</v>
      </c>
      <c r="I42" s="1" t="n">
        <v>699252.4</v>
      </c>
      <c r="J42" s="1">
        <f>ROUND(I42-H42,2)</f>
        <v/>
      </c>
      <c r="K42" s="1" t="inlineStr">
        <is>
          <t>J. Alvarez</t>
        </is>
      </c>
      <c r="L42" s="1" t="inlineStr">
        <is>
          <t>Downgraded scope</t>
        </is>
      </c>
      <c r="M42" s="1" t="inlineStr">
        <is>
          <t>Sponsor changed in the second quarter</t>
        </is>
      </c>
    </row>
    <row r="43">
      <c r="A43" s="1" t="inlineStr">
        <is>
          <t>REN-2026-0042</t>
        </is>
      </c>
      <c r="B43" s="1" t="inlineStr">
        <is>
          <t>AST-MSA-2025-67</t>
        </is>
      </c>
      <c r="C43" s="1" t="inlineStr">
        <is>
          <t>Asterion Logistics</t>
        </is>
      </c>
      <c r="D43" s="1" t="inlineStr">
        <is>
          <t>2026Q3</t>
        </is>
      </c>
      <c r="E43" s="2" t="n">
        <v>45866</v>
      </c>
      <c r="F43" s="2" t="n">
        <v>46231</v>
      </c>
      <c r="G43" s="2" t="n">
        <v>46141</v>
      </c>
      <c r="H43" s="1" t="n">
        <v>142290.05</v>
      </c>
      <c r="I43" s="1" t="n">
        <v>145135.85</v>
      </c>
      <c r="J43" s="1">
        <f>ROUND(I43-H43,2)</f>
        <v/>
      </c>
      <c r="K43" s="1" t="inlineStr">
        <is>
          <t>J. Alvarez</t>
        </is>
      </c>
      <c r="L43" s="1" t="inlineStr">
        <is>
          <t>Notice served</t>
        </is>
      </c>
      <c r="M43" s="1" t="inlineStr">
        <is>
          <t>Sponsor changed in the second quarter</t>
        </is>
      </c>
    </row>
    <row r="44">
      <c r="A44" s="1" t="inlineStr">
        <is>
          <t>REN-2026-0043</t>
        </is>
      </c>
      <c r="B44" s="1" t="inlineStr">
        <is>
          <t>RWO-MSA-2024-88</t>
        </is>
      </c>
      <c r="C44" s="1" t="inlineStr">
        <is>
          <t>Redwood Optics</t>
        </is>
      </c>
      <c r="D44" s="1" t="inlineStr">
        <is>
          <t>2026Q1</t>
        </is>
      </c>
      <c r="E44" s="2" t="n">
        <v>45352</v>
      </c>
      <c r="F44" s="2" t="n">
        <v>46082</v>
      </c>
      <c r="G44" s="2" t="n">
        <v>46052</v>
      </c>
      <c r="H44" s="1" t="n">
        <v>563170.63</v>
      </c>
      <c r="I44" s="1" t="n">
        <v>670173.05</v>
      </c>
      <c r="J44" s="1">
        <f>ROUND(I44-H44,2)</f>
        <v/>
      </c>
      <c r="K44" s="1" t="inlineStr">
        <is>
          <t>T. Ferreira</t>
        </is>
      </c>
      <c r="L44" s="1" t="inlineStr">
        <is>
          <t>In negotiation</t>
        </is>
      </c>
      <c r="M44" s="1" t="inlineStr">
        <is>
          <t>Competitive evaluation underway</t>
        </is>
      </c>
    </row>
    <row r="45">
      <c r="A45" s="1" t="inlineStr">
        <is>
          <t>REN-2026-0044</t>
        </is>
      </c>
      <c r="B45" s="1" t="inlineStr">
        <is>
          <t>CFF-MSA-2024-70</t>
        </is>
      </c>
      <c r="C45" s="1" t="inlineStr">
        <is>
          <t>Crestline Fulfillment</t>
        </is>
      </c>
      <c r="D45" s="1" t="inlineStr">
        <is>
          <t>2026Q4</t>
        </is>
      </c>
      <c r="E45" s="2" t="n">
        <v>45610</v>
      </c>
      <c r="F45" s="2" t="n">
        <v>46340</v>
      </c>
      <c r="G45" s="2" t="n">
        <v>46310</v>
      </c>
      <c r="H45" s="1" t="n">
        <v>965179.17</v>
      </c>
      <c r="I45" s="1" t="n">
        <v>974830.96</v>
      </c>
      <c r="J45" s="1">
        <f>ROUND(I45-H45,2)</f>
        <v/>
      </c>
      <c r="K45" s="1" t="inlineStr">
        <is>
          <t>F. Roux</t>
        </is>
      </c>
      <c r="L45" s="1" t="inlineStr">
        <is>
          <t>At risk</t>
        </is>
      </c>
      <c r="M45" s="1" t="inlineStr">
        <is>
          <t>Champion promoted, relationship strong</t>
        </is>
      </c>
    </row>
    <row r="46">
      <c r="A46" s="1" t="inlineStr">
        <is>
          <t>REN-2025-0045</t>
        </is>
      </c>
      <c r="B46" s="1" t="inlineStr">
        <is>
          <t>VRS-MSA-2024-19</t>
        </is>
      </c>
      <c r="C46" s="1" t="inlineStr">
        <is>
          <t>Vantage Robotics Supply</t>
        </is>
      </c>
      <c r="D46" s="1" t="inlineStr">
        <is>
          <t>2025Q1</t>
        </is>
      </c>
      <c r="E46" s="2" t="n">
        <v>45341</v>
      </c>
      <c r="F46" s="2" t="n">
        <v>45707</v>
      </c>
      <c r="G46" s="2" t="n">
        <v>45647</v>
      </c>
      <c r="H46" s="1" t="n">
        <v>738453.0699999999</v>
      </c>
      <c r="I46" s="1" t="n">
        <v>804913.85</v>
      </c>
      <c r="J46" s="1">
        <f>ROUND(I46-H46,2)</f>
        <v/>
      </c>
      <c r="K46" s="1" t="inlineStr">
        <is>
          <t>T. Ferreira</t>
        </is>
      </c>
      <c r="L46" s="1" t="inlineStr">
        <is>
          <t>Renewed</t>
        </is>
      </c>
      <c r="M46" s="1" t="inlineStr">
        <is>
          <t>Competitive evaluation underway</t>
        </is>
      </c>
    </row>
    <row r="47">
      <c r="A47" s="1" t="inlineStr">
        <is>
          <t>REN-2027-0046</t>
        </is>
      </c>
      <c r="B47" s="1" t="inlineStr">
        <is>
          <t>JHS-MSA-2024-43</t>
        </is>
      </c>
      <c r="C47" s="1" t="inlineStr">
        <is>
          <t>Juniper Health Supply</t>
        </is>
      </c>
      <c r="D47" s="1" t="inlineStr">
        <is>
          <t>2027Q4</t>
        </is>
      </c>
      <c r="E47" s="2" t="n">
        <v>45650</v>
      </c>
      <c r="F47" s="2" t="n">
        <v>46745</v>
      </c>
      <c r="G47" s="2" t="n">
        <v>46685</v>
      </c>
      <c r="H47" s="1" t="n">
        <v>1097689.35</v>
      </c>
      <c r="I47" s="1" t="n">
        <v>1130620.03</v>
      </c>
      <c r="J47" s="1">
        <f>ROUND(I47-H47,2)</f>
        <v/>
      </c>
      <c r="K47" s="1" t="inlineStr">
        <is>
          <t>J. Alvarez</t>
        </is>
      </c>
      <c r="L47" s="1" t="inlineStr">
        <is>
          <t>Renewed</t>
        </is>
      </c>
      <c r="M47" s="1" t="inlineStr">
        <is>
          <t>Competitive evaluation underway</t>
        </is>
      </c>
    </row>
    <row r="48">
      <c r="A48" s="1" t="inlineStr">
        <is>
          <t>REN-2028-0047</t>
        </is>
      </c>
      <c r="B48" s="1" t="inlineStr">
        <is>
          <t>ABT-MSA-2025-59</t>
        </is>
      </c>
      <c r="C48" s="1" t="inlineStr">
        <is>
          <t>Alderbrook Textiles</t>
        </is>
      </c>
      <c r="D48" s="1" t="inlineStr">
        <is>
          <t>2028Q2</t>
        </is>
      </c>
      <c r="E48" s="2" t="n">
        <v>45772</v>
      </c>
      <c r="F48" s="2" t="n">
        <v>46868</v>
      </c>
      <c r="G48" s="2" t="n">
        <v>46838</v>
      </c>
      <c r="H48" s="1" t="n">
        <v>1160541.87</v>
      </c>
      <c r="I48" s="1" t="n">
        <v>1230174.38</v>
      </c>
      <c r="J48" s="1">
        <f>ROUND(I48-H48,2)</f>
        <v/>
      </c>
      <c r="K48" s="1" t="inlineStr">
        <is>
          <t>T. Ferreira</t>
        </is>
      </c>
      <c r="L48" s="1" t="inlineStr">
        <is>
          <t>Notice served</t>
        </is>
      </c>
      <c r="M48" s="1" t="inlineStr">
        <is>
          <t>Champion promoted, relationship strong</t>
        </is>
      </c>
    </row>
    <row r="49">
      <c r="A49" s="1" t="inlineStr">
        <is>
          <t>REN-2026-0048</t>
        </is>
      </c>
      <c r="B49" s="1" t="inlineStr">
        <is>
          <t>JHS-MSA-2025-34</t>
        </is>
      </c>
      <c r="C49" s="1" t="inlineStr">
        <is>
          <t>Juniper Health Supply</t>
        </is>
      </c>
      <c r="D49" s="1" t="inlineStr">
        <is>
          <t>2026Q4</t>
        </is>
      </c>
      <c r="E49" s="2" t="n">
        <v>45982</v>
      </c>
      <c r="F49" s="2" t="n">
        <v>46347</v>
      </c>
      <c r="G49" s="2" t="n">
        <v>46317</v>
      </c>
      <c r="H49" s="1" t="n">
        <v>1043127.47</v>
      </c>
      <c r="I49" s="1" t="n">
        <v>1178734.04</v>
      </c>
      <c r="J49" s="1">
        <f>ROUND(I49-H49,2)</f>
        <v/>
      </c>
      <c r="K49" s="1" t="inlineStr">
        <is>
          <t>F. Roux</t>
        </is>
      </c>
      <c r="L49" s="1" t="inlineStr">
        <is>
          <t>Downgraded scope</t>
        </is>
      </c>
      <c r="M49" s="1" t="inlineStr">
        <is>
          <t>Champion promoted, relationship strong</t>
        </is>
      </c>
    </row>
    <row r="50">
      <c r="A50" s="1" t="inlineStr">
        <is>
          <t>REN-2026-0049</t>
        </is>
      </c>
      <c r="B50" s="1" t="inlineStr">
        <is>
          <t>YHG-MSA-2025-83</t>
        </is>
      </c>
      <c r="C50" s="1" t="inlineStr">
        <is>
          <t>Yarrow Home Goods</t>
        </is>
      </c>
      <c r="D50" s="1" t="inlineStr">
        <is>
          <t>2026Q4</t>
        </is>
      </c>
      <c r="E50" s="2" t="n">
        <v>45958</v>
      </c>
      <c r="F50" s="2" t="n">
        <v>46323</v>
      </c>
      <c r="G50" s="2" t="n">
        <v>46293</v>
      </c>
      <c r="H50" s="1" t="n">
        <v>363803.53</v>
      </c>
      <c r="I50" s="1" t="n">
        <v>392907.81</v>
      </c>
      <c r="J50" s="1">
        <f>ROUND(I50-H50,2)</f>
        <v/>
      </c>
      <c r="K50" s="1" t="inlineStr">
        <is>
          <t>T. Ferreira</t>
        </is>
      </c>
      <c r="L50" s="1" t="inlineStr">
        <is>
          <t>Renewed</t>
        </is>
      </c>
      <c r="M50" s="1" t="inlineStr">
        <is>
          <t>Throughput below customer target</t>
        </is>
      </c>
    </row>
    <row r="51">
      <c r="A51" s="1" t="inlineStr">
        <is>
          <t>REN-2025-0050</t>
        </is>
      </c>
      <c r="B51" s="1" t="inlineStr">
        <is>
          <t>KPP-MSA-2024-44</t>
        </is>
      </c>
      <c r="C51" s="1" t="inlineStr">
        <is>
          <t>Keystone Paper &amp; Pack</t>
        </is>
      </c>
      <c r="D51" s="1" t="inlineStr">
        <is>
          <t>2025Q3</t>
        </is>
      </c>
      <c r="E51" s="2" t="n">
        <v>45537</v>
      </c>
      <c r="F51" s="2" t="n">
        <v>45902</v>
      </c>
      <c r="G51" s="2" t="n">
        <v>45812</v>
      </c>
      <c r="H51" s="1" t="n">
        <v>411059.23</v>
      </c>
      <c r="I51" s="1" t="n">
        <v>480939.3</v>
      </c>
      <c r="J51" s="1">
        <f>ROUND(I51-H51,2)</f>
        <v/>
      </c>
      <c r="K51" s="1" t="inlineStr">
        <is>
          <t>T. Ferreira</t>
        </is>
      </c>
      <c r="L51" s="1" t="inlineStr">
        <is>
          <t>Renewed</t>
        </is>
      </c>
      <c r="M51" s="1" t="inlineStr">
        <is>
          <t>Throughput below customer target</t>
        </is>
      </c>
    </row>
    <row r="52">
      <c r="A52" s="1" t="inlineStr">
        <is>
          <t>REN-2028-0051</t>
        </is>
      </c>
      <c r="B52" s="1" t="inlineStr">
        <is>
          <t>VRS-MSA-2025-70</t>
        </is>
      </c>
      <c r="C52" s="1" t="inlineStr">
        <is>
          <t>Vantage Robotics Supply</t>
        </is>
      </c>
      <c r="D52" s="1" t="inlineStr">
        <is>
          <t>2028Q3</t>
        </is>
      </c>
      <c r="E52" s="2" t="n">
        <v>45863</v>
      </c>
      <c r="F52" s="2" t="n">
        <v>46959</v>
      </c>
      <c r="G52" s="2" t="n">
        <v>46899</v>
      </c>
      <c r="H52" s="1" t="n">
        <v>619988.92</v>
      </c>
      <c r="I52" s="1" t="n">
        <v>663388.14</v>
      </c>
      <c r="J52" s="1">
        <f>ROUND(I52-H52,2)</f>
        <v/>
      </c>
      <c r="K52" s="1" t="inlineStr">
        <is>
          <t>T. Ferreira</t>
        </is>
      </c>
      <c r="L52" s="1" t="inlineStr">
        <is>
          <t>At risk</t>
        </is>
      </c>
      <c r="M52" s="1" t="inlineStr">
        <is>
          <t>Champion promoted, relationship strong</t>
        </is>
      </c>
    </row>
    <row r="53">
      <c r="A53" s="1" t="inlineStr">
        <is>
          <t>REN-2026-0052</t>
        </is>
      </c>
      <c r="B53" s="1" t="inlineStr">
        <is>
          <t>KPP-MSA-2025-69</t>
        </is>
      </c>
      <c r="C53" s="1" t="inlineStr">
        <is>
          <t>Keystone Paper &amp; Pack</t>
        </is>
      </c>
      <c r="D53" s="1" t="inlineStr">
        <is>
          <t>2026Q2</t>
        </is>
      </c>
      <c r="E53" s="2" t="n">
        <v>45835</v>
      </c>
      <c r="F53" s="2" t="n">
        <v>46200</v>
      </c>
      <c r="G53" s="2" t="n">
        <v>46170</v>
      </c>
      <c r="H53" s="1" t="n">
        <v>1239585.69</v>
      </c>
      <c r="I53" s="1" t="n">
        <v>1276773.26</v>
      </c>
      <c r="J53" s="1">
        <f>ROUND(I53-H53,2)</f>
        <v/>
      </c>
      <c r="K53" s="1" t="inlineStr">
        <is>
          <t>J. Alvarez</t>
        </is>
      </c>
      <c r="L53" s="1" t="inlineStr">
        <is>
          <t>Downgraded scope</t>
        </is>
      </c>
      <c r="M53" s="1" t="inlineStr">
        <is>
          <t>Champion promoted, relationship strong</t>
        </is>
      </c>
    </row>
    <row r="54">
      <c r="A54" s="1" t="inlineStr">
        <is>
          <t>REN-2027-0053</t>
        </is>
      </c>
      <c r="B54" s="1" t="inlineStr">
        <is>
          <t>ZAC-MSA-2024-32</t>
        </is>
      </c>
      <c r="C54" s="1" t="inlineStr">
        <is>
          <t>Zephyr Air Cargo</t>
        </is>
      </c>
      <c r="D54" s="1" t="inlineStr">
        <is>
          <t>2027Q2</t>
        </is>
      </c>
      <c r="E54" s="2" t="n">
        <v>45467</v>
      </c>
      <c r="F54" s="2" t="n">
        <v>46562</v>
      </c>
      <c r="G54" s="2" t="n">
        <v>46472</v>
      </c>
      <c r="H54" s="1" t="n">
        <v>91355.21000000001</v>
      </c>
      <c r="I54" s="1" t="n">
        <v>110539.8</v>
      </c>
      <c r="J54" s="1">
        <f>ROUND(I54-H54,2)</f>
        <v/>
      </c>
      <c r="K54" s="1" t="inlineStr">
        <is>
          <t>J. Alvarez</t>
        </is>
      </c>
      <c r="L54" s="1" t="inlineStr">
        <is>
          <t>In negotiation</t>
        </is>
      </c>
      <c r="M54" s="1" t="inlineStr">
        <is>
          <t>Throughput below customer target</t>
        </is>
      </c>
    </row>
    <row r="55">
      <c r="A55" s="1" t="inlineStr">
        <is>
          <t>REN-2026-0054</t>
        </is>
      </c>
      <c r="B55" s="1" t="inlineStr">
        <is>
          <t>ABT-MSA-2024-60</t>
        </is>
      </c>
      <c r="C55" s="1" t="inlineStr">
        <is>
          <t>Alderbrook Textiles</t>
        </is>
      </c>
      <c r="D55" s="1" t="inlineStr">
        <is>
          <t>2026Q3</t>
        </is>
      </c>
      <c r="E55" s="2" t="n">
        <v>45532</v>
      </c>
      <c r="F55" s="2" t="n">
        <v>46262</v>
      </c>
      <c r="G55" s="2" t="n">
        <v>46202</v>
      </c>
      <c r="H55" s="1" t="n">
        <v>220516.51</v>
      </c>
      <c r="I55" s="1" t="n">
        <v>242568.16</v>
      </c>
      <c r="J55" s="1">
        <f>ROUND(I55-H55,2)</f>
        <v/>
      </c>
      <c r="K55" s="1" t="inlineStr">
        <is>
          <t>J. Alvarez</t>
        </is>
      </c>
      <c r="L55" s="1" t="inlineStr">
        <is>
          <t>At risk</t>
        </is>
      </c>
      <c r="M55" s="1" t="inlineStr">
        <is>
          <t>Sponsor changed in the second quarter</t>
        </is>
      </c>
    </row>
    <row r="56">
      <c r="A56" s="1" t="inlineStr">
        <is>
          <t>REN-2026-0055</t>
        </is>
      </c>
      <c r="B56" s="1" t="inlineStr">
        <is>
          <t>UVP-MSA-2024-35</t>
        </is>
      </c>
      <c r="C56" s="1" t="inlineStr">
        <is>
          <t>Union Vale Pharma</t>
        </is>
      </c>
      <c r="D56" s="1" t="inlineStr">
        <is>
          <t>2026Q3</t>
        </is>
      </c>
      <c r="E56" s="2" t="n">
        <v>45490</v>
      </c>
      <c r="F56" s="2" t="n">
        <v>46220</v>
      </c>
      <c r="G56" s="2" t="n">
        <v>46130</v>
      </c>
      <c r="H56" s="1" t="n">
        <v>486749.76</v>
      </c>
      <c r="I56" s="1" t="n">
        <v>540292.23</v>
      </c>
      <c r="J56" s="1">
        <f>ROUND(I56-H56,2)</f>
        <v/>
      </c>
      <c r="K56" s="1" t="inlineStr">
        <is>
          <t>J. Alvarez</t>
        </is>
      </c>
      <c r="L56" s="1" t="inlineStr">
        <is>
          <t>Downgraded scope</t>
        </is>
      </c>
      <c r="M56" s="1" t="inlineStr">
        <is>
          <t>Champion promoted, relationship strong</t>
        </is>
      </c>
    </row>
    <row r="57">
      <c r="A57" s="1" t="inlineStr">
        <is>
          <t>REN-2026-0056</t>
        </is>
      </c>
      <c r="B57" s="1" t="inlineStr">
        <is>
          <t>AST-MSA-2024-28</t>
        </is>
      </c>
      <c r="C57" s="1" t="inlineStr">
        <is>
          <t>Asterion Logistics</t>
        </is>
      </c>
      <c r="D57" s="1" t="inlineStr">
        <is>
          <t>2026Q1</t>
        </is>
      </c>
      <c r="E57" s="2" t="n">
        <v>45363</v>
      </c>
      <c r="F57" s="2" t="n">
        <v>46093</v>
      </c>
      <c r="G57" s="2" t="n">
        <v>46033</v>
      </c>
      <c r="H57" s="1" t="n">
        <v>1204729.49</v>
      </c>
      <c r="I57" s="1" t="n">
        <v>1409533.5</v>
      </c>
      <c r="J57" s="1">
        <f>ROUND(I57-H57,2)</f>
        <v/>
      </c>
      <c r="K57" s="1" t="inlineStr">
        <is>
          <t>J. Alvarez</t>
        </is>
      </c>
      <c r="L57" s="1" t="inlineStr">
        <is>
          <t>In negotiation</t>
        </is>
      </c>
      <c r="M57" s="1" t="inlineStr">
        <is>
          <t>Throughput below customer target</t>
        </is>
      </c>
    </row>
    <row r="58">
      <c r="A58" s="1" t="inlineStr">
        <is>
          <t>REN-2026-0057</t>
        </is>
      </c>
      <c r="B58" s="1" t="inlineStr">
        <is>
          <t>GPD-MSA-2024-89</t>
        </is>
      </c>
      <c r="C58" s="1" t="inlineStr">
        <is>
          <t>Granite Peak Distribution</t>
        </is>
      </c>
      <c r="D58" s="1" t="inlineStr">
        <is>
          <t>2026Q4</t>
        </is>
      </c>
      <c r="E58" s="2" t="n">
        <v>45651</v>
      </c>
      <c r="F58" s="2" t="n">
        <v>46381</v>
      </c>
      <c r="G58" s="2" t="n">
        <v>46321</v>
      </c>
      <c r="H58" s="1" t="n">
        <v>541183.02</v>
      </c>
      <c r="I58" s="1" t="n">
        <v>557418.51</v>
      </c>
      <c r="J58" s="1">
        <f>ROUND(I58-H58,2)</f>
        <v/>
      </c>
      <c r="K58" s="1" t="inlineStr">
        <is>
          <t>J. Alvarez</t>
        </is>
      </c>
      <c r="L58" s="1" t="inlineStr">
        <is>
          <t>Notice served</t>
        </is>
      </c>
      <c r="M58" s="1" t="inlineStr">
        <is>
          <t>Budget freeze pending refinancing</t>
        </is>
      </c>
    </row>
    <row r="59">
      <c r="A59" s="1" t="inlineStr">
        <is>
          <t>REN-2028-0058</t>
        </is>
      </c>
      <c r="B59" s="1" t="inlineStr">
        <is>
          <t>YHG-MSA-2025-53</t>
        </is>
      </c>
      <c r="C59" s="1" t="inlineStr">
        <is>
          <t>Yarrow Home Goods</t>
        </is>
      </c>
      <c r="D59" s="1" t="inlineStr">
        <is>
          <t>2028Q1</t>
        </is>
      </c>
      <c r="E59" s="2" t="n">
        <v>45708</v>
      </c>
      <c r="F59" s="2" t="n">
        <v>46803</v>
      </c>
      <c r="G59" s="2" t="n">
        <v>46713</v>
      </c>
      <c r="H59" s="1" t="n">
        <v>153126.82</v>
      </c>
      <c r="I59" s="1" t="n">
        <v>183752.18</v>
      </c>
      <c r="J59" s="1">
        <f>ROUND(I59-H59,2)</f>
        <v/>
      </c>
      <c r="K59" s="1" t="inlineStr">
        <is>
          <t>T. Ferreira</t>
        </is>
      </c>
      <c r="L59" s="1" t="inlineStr">
        <is>
          <t>In negotiation</t>
        </is>
      </c>
      <c r="M59" s="1" t="inlineStr">
        <is>
          <t>Competitive evaluation underway</t>
        </is>
      </c>
    </row>
    <row r="60">
      <c r="A60" s="1" t="inlineStr">
        <is>
          <t>REN-2026-0059</t>
        </is>
      </c>
      <c r="B60" s="1" t="inlineStr">
        <is>
          <t>BWA-MSA-2025-18</t>
        </is>
      </c>
      <c r="C60" s="1" t="inlineStr">
        <is>
          <t>Bellweather Auto Group</t>
        </is>
      </c>
      <c r="D60" s="1" t="inlineStr">
        <is>
          <t>2026Q3</t>
        </is>
      </c>
      <c r="E60" s="2" t="n">
        <v>45852</v>
      </c>
      <c r="F60" s="2" t="n">
        <v>46217</v>
      </c>
      <c r="G60" s="2" t="n">
        <v>46157</v>
      </c>
      <c r="H60" s="1" t="n">
        <v>1064340.4</v>
      </c>
      <c r="I60" s="1" t="n">
        <v>1287851.88</v>
      </c>
      <c r="J60" s="1">
        <f>ROUND(I60-H60,2)</f>
        <v/>
      </c>
      <c r="K60" s="1" t="inlineStr">
        <is>
          <t>F. Roux</t>
        </is>
      </c>
      <c r="L60" s="1" t="inlineStr">
        <is>
          <t>Notice served</t>
        </is>
      </c>
      <c r="M60" s="1" t="inlineStr">
        <is>
          <t>Competitive evaluation underway</t>
        </is>
      </c>
    </row>
    <row r="61">
      <c r="A61" s="1" t="inlineStr">
        <is>
          <t>REN-2027-0060</t>
        </is>
      </c>
      <c r="B61" s="1" t="inlineStr">
        <is>
          <t>RWO-MSA-2024-19</t>
        </is>
      </c>
      <c r="C61" s="1" t="inlineStr">
        <is>
          <t>Redwood Optics</t>
        </is>
      </c>
      <c r="D61" s="1" t="inlineStr">
        <is>
          <t>2027Q3</t>
        </is>
      </c>
      <c r="E61" s="2" t="n">
        <v>45554</v>
      </c>
      <c r="F61" s="2" t="n">
        <v>46649</v>
      </c>
      <c r="G61" s="2" t="n">
        <v>46559</v>
      </c>
      <c r="H61" s="1" t="n">
        <v>1076812.64</v>
      </c>
      <c r="I61" s="1" t="n">
        <v>1152189.52</v>
      </c>
      <c r="J61" s="1">
        <f>ROUND(I61-H61,2)</f>
        <v/>
      </c>
      <c r="K61" s="1" t="inlineStr">
        <is>
          <t>F. Roux</t>
        </is>
      </c>
      <c r="L61" s="1" t="inlineStr">
        <is>
          <t>In negotiation</t>
        </is>
      </c>
      <c r="M61" s="1" t="inlineStr">
        <is>
          <t>Budget freeze pending refinancing</t>
        </is>
      </c>
    </row>
    <row r="62">
      <c r="A62" s="1" t="inlineStr">
        <is>
          <t>REN-2027-0061</t>
        </is>
      </c>
      <c r="B62" s="1" t="inlineStr">
        <is>
          <t>AST-MSA-2025-35</t>
        </is>
      </c>
      <c r="C62" s="1" t="inlineStr">
        <is>
          <t>Asterion Logistics</t>
        </is>
      </c>
      <c r="D62" s="1" t="inlineStr">
        <is>
          <t>2027Q2</t>
        </is>
      </c>
      <c r="E62" s="2" t="n">
        <v>45826</v>
      </c>
      <c r="F62" s="2" t="n">
        <v>46556</v>
      </c>
      <c r="G62" s="2" t="n">
        <v>46496</v>
      </c>
      <c r="H62" s="1" t="n">
        <v>136102.77</v>
      </c>
      <c r="I62" s="1" t="n">
        <v>137463.8</v>
      </c>
      <c r="J62" s="1">
        <f>ROUND(I62-H62,2)</f>
        <v/>
      </c>
      <c r="K62" s="1" t="inlineStr">
        <is>
          <t>J. Alvarez</t>
        </is>
      </c>
      <c r="L62" s="1" t="inlineStr">
        <is>
          <t>At risk</t>
        </is>
      </c>
      <c r="M62" s="1" t="inlineStr">
        <is>
          <t>Open service credit dispute</t>
        </is>
      </c>
    </row>
    <row r="63">
      <c r="A63" s="1" t="inlineStr">
        <is>
          <t>REN-2025-0062</t>
        </is>
      </c>
      <c r="B63" s="1" t="inlineStr">
        <is>
          <t>QBM-MSA-2024-22</t>
        </is>
      </c>
      <c r="C63" s="1" t="inlineStr">
        <is>
          <t>Quarrybridge Materials</t>
        </is>
      </c>
      <c r="D63" s="1" t="inlineStr">
        <is>
          <t>2025Q2</t>
        </is>
      </c>
      <c r="E63" s="2" t="n">
        <v>45464</v>
      </c>
      <c r="F63" s="2" t="n">
        <v>45829</v>
      </c>
      <c r="G63" s="2" t="n">
        <v>45739</v>
      </c>
      <c r="H63" s="1" t="n">
        <v>1239806.93</v>
      </c>
      <c r="I63" s="1" t="n">
        <v>1500166.39</v>
      </c>
      <c r="J63" s="1">
        <f>ROUND(I63-H63,2)</f>
        <v/>
      </c>
      <c r="K63" s="1" t="inlineStr">
        <is>
          <t>T. Ferreira</t>
        </is>
      </c>
      <c r="L63" s="1" t="inlineStr">
        <is>
          <t>In negotiation</t>
        </is>
      </c>
      <c r="M63" s="1" t="inlineStr">
        <is>
          <t>Sponsor changed in the second quarter</t>
        </is>
      </c>
    </row>
    <row r="64">
      <c r="A64" s="1" t="inlineStr">
        <is>
          <t>REN-2028-0063</t>
        </is>
      </c>
      <c r="B64" s="1" t="inlineStr">
        <is>
          <t>RWO-MSA-2025-22</t>
        </is>
      </c>
      <c r="C64" s="1" t="inlineStr">
        <is>
          <t>Redwood Optics</t>
        </is>
      </c>
      <c r="D64" s="1" t="inlineStr">
        <is>
          <t>2028Q1</t>
        </is>
      </c>
      <c r="E64" s="2" t="n">
        <v>45695</v>
      </c>
      <c r="F64" s="2" t="n">
        <v>46790</v>
      </c>
      <c r="G64" s="2" t="n">
        <v>46730</v>
      </c>
      <c r="H64" s="1" t="n">
        <v>187807.39</v>
      </c>
      <c r="I64" s="1" t="n">
        <v>193441.61</v>
      </c>
      <c r="J64" s="1">
        <f>ROUND(I64-H64,2)</f>
        <v/>
      </c>
      <c r="K64" s="1" t="inlineStr">
        <is>
          <t>J. Alvarez</t>
        </is>
      </c>
      <c r="L64" s="1" t="inlineStr">
        <is>
          <t>In negotiation</t>
        </is>
      </c>
      <c r="M64" s="1" t="inlineStr">
        <is>
          <t>Competitive evaluation underway</t>
        </is>
      </c>
    </row>
    <row r="65">
      <c r="A65" s="1" t="inlineStr">
        <is>
          <t>REN-2028-0064</t>
        </is>
      </c>
      <c r="B65" s="1" t="inlineStr">
        <is>
          <t>BWA-MSA-2025-79</t>
        </is>
      </c>
      <c r="C65" s="1" t="inlineStr">
        <is>
          <t>Bellweather Auto Group</t>
        </is>
      </c>
      <c r="D65" s="1" t="inlineStr">
        <is>
          <t>2028Q2</t>
        </is>
      </c>
      <c r="E65" s="2" t="n">
        <v>45834</v>
      </c>
      <c r="F65" s="2" t="n">
        <v>46930</v>
      </c>
      <c r="G65" s="2" t="n">
        <v>46870</v>
      </c>
      <c r="H65" s="1" t="n">
        <v>1017779.09</v>
      </c>
      <c r="I65" s="1" t="n">
        <v>1078845.84</v>
      </c>
      <c r="J65" s="1">
        <f>ROUND(I65-H65,2)</f>
        <v/>
      </c>
      <c r="K65" s="1" t="inlineStr">
        <is>
          <t>F. Roux</t>
        </is>
      </c>
      <c r="L65" s="1" t="inlineStr">
        <is>
          <t>Downgraded scope</t>
        </is>
      </c>
      <c r="M65" s="1" t="inlineStr">
        <is>
          <t>Throughput below customer target</t>
        </is>
      </c>
    </row>
    <row r="66">
      <c r="A66" s="1" t="inlineStr">
        <is>
          <t>REN-2027-0065</t>
        </is>
      </c>
      <c r="B66" s="1" t="inlineStr">
        <is>
          <t>HLS-MSA-2024-15</t>
        </is>
      </c>
      <c r="C66" s="1" t="inlineStr">
        <is>
          <t>Harborline Systems</t>
        </is>
      </c>
      <c r="D66" s="1" t="inlineStr">
        <is>
          <t>2027Q1</t>
        </is>
      </c>
      <c r="E66" s="2" t="n">
        <v>45380</v>
      </c>
      <c r="F66" s="2" t="n">
        <v>46475</v>
      </c>
      <c r="G66" s="2" t="n">
        <v>46445</v>
      </c>
      <c r="H66" s="1" t="n">
        <v>1198702.61</v>
      </c>
      <c r="I66" s="1" t="n">
        <v>1282611.79</v>
      </c>
      <c r="J66" s="1">
        <f>ROUND(I66-H66,2)</f>
        <v/>
      </c>
      <c r="K66" s="1" t="inlineStr">
        <is>
          <t>J. Alvarez</t>
        </is>
      </c>
      <c r="L66" s="1" t="inlineStr">
        <is>
          <t>At risk</t>
        </is>
      </c>
      <c r="M66" s="1" t="inlineStr">
        <is>
          <t>Budget freeze pending refinancing</t>
        </is>
      </c>
    </row>
    <row r="67">
      <c r="A67" s="1" t="inlineStr">
        <is>
          <t>REN-2027-0066</t>
        </is>
      </c>
      <c r="B67" s="1" t="inlineStr">
        <is>
          <t>WCD-MSA-2025-74</t>
        </is>
      </c>
      <c r="C67" s="1" t="inlineStr">
        <is>
          <t>Westlake Chemical Depot</t>
        </is>
      </c>
      <c r="D67" s="1" t="inlineStr">
        <is>
          <t>2027Q3</t>
        </is>
      </c>
      <c r="E67" s="2" t="n">
        <v>45898</v>
      </c>
      <c r="F67" s="2" t="n">
        <v>46628</v>
      </c>
      <c r="G67" s="2" t="n">
        <v>46568</v>
      </c>
      <c r="H67" s="1" t="n">
        <v>733966.95</v>
      </c>
      <c r="I67" s="1" t="n">
        <v>748646.29</v>
      </c>
      <c r="J67" s="1">
        <f>ROUND(I67-H67,2)</f>
        <v/>
      </c>
      <c r="K67" s="1" t="inlineStr">
        <is>
          <t>T. Ferreira</t>
        </is>
      </c>
      <c r="L67" s="1" t="inlineStr">
        <is>
          <t>Notice served</t>
        </is>
      </c>
      <c r="M67" s="1" t="inlineStr">
        <is>
          <t>Sponsor changed in the second quarter</t>
        </is>
      </c>
    </row>
    <row r="68">
      <c r="A68" s="1" t="inlineStr">
        <is>
          <t>REN-2026-0067</t>
        </is>
      </c>
      <c r="B68" s="1" t="inlineStr">
        <is>
          <t>DGC-MSA-2024-89</t>
        </is>
      </c>
      <c r="C68" s="1" t="inlineStr">
        <is>
          <t>Dorsey Grain Cooperative</t>
        </is>
      </c>
      <c r="D68" s="1" t="inlineStr">
        <is>
          <t>2026Q3</t>
        </is>
      </c>
      <c r="E68" s="2" t="n">
        <v>45524</v>
      </c>
      <c r="F68" s="2" t="n">
        <v>46254</v>
      </c>
      <c r="G68" s="2" t="n">
        <v>46164</v>
      </c>
      <c r="H68" s="1" t="n">
        <v>510267.43</v>
      </c>
      <c r="I68" s="1" t="n">
        <v>515370.1</v>
      </c>
      <c r="J68" s="1">
        <f>ROUND(I68-H68,2)</f>
        <v/>
      </c>
      <c r="K68" s="1" t="inlineStr">
        <is>
          <t>J. Alvarez</t>
        </is>
      </c>
      <c r="L68" s="1" t="inlineStr">
        <is>
          <t>Renewed</t>
        </is>
      </c>
      <c r="M68" s="1" t="inlineStr">
        <is>
          <t>Throughput below customer target</t>
        </is>
      </c>
    </row>
    <row r="69">
      <c r="A69" s="1" t="inlineStr">
        <is>
          <t>REN-2027-0068</t>
        </is>
      </c>
      <c r="B69" s="1" t="inlineStr">
        <is>
          <t>CFF-MSA-2024-70</t>
        </is>
      </c>
      <c r="C69" s="1" t="inlineStr">
        <is>
          <t>Crestline Fulfillment</t>
        </is>
      </c>
      <c r="D69" s="1" t="inlineStr">
        <is>
          <t>2027Q1</t>
        </is>
      </c>
      <c r="E69" s="2" t="n">
        <v>45317</v>
      </c>
      <c r="F69" s="2" t="n">
        <v>46413</v>
      </c>
      <c r="G69" s="2" t="n">
        <v>46353</v>
      </c>
      <c r="H69" s="1" t="n">
        <v>236147.89</v>
      </c>
      <c r="I69" s="1" t="n">
        <v>276293.03</v>
      </c>
      <c r="J69" s="1">
        <f>ROUND(I69-H69,2)</f>
        <v/>
      </c>
      <c r="K69" s="1" t="inlineStr">
        <is>
          <t>F. Roux</t>
        </is>
      </c>
      <c r="L69" s="1" t="inlineStr">
        <is>
          <t>Notice served</t>
        </is>
      </c>
      <c r="M69" s="1" t="inlineStr">
        <is>
          <t>Throughput below customer target</t>
        </is>
      </c>
    </row>
    <row r="70">
      <c r="A70" s="1" t="inlineStr">
        <is>
          <t>REN-2026-0069</t>
        </is>
      </c>
      <c r="B70" s="1" t="inlineStr">
        <is>
          <t>BWA-MSA-2025-29</t>
        </is>
      </c>
      <c r="C70" s="1" t="inlineStr">
        <is>
          <t>Bellweather Auto Group</t>
        </is>
      </c>
      <c r="D70" s="1" t="inlineStr">
        <is>
          <t>2026Q2</t>
        </is>
      </c>
      <c r="E70" s="2" t="n">
        <v>45800</v>
      </c>
      <c r="F70" s="2" t="n">
        <v>46165</v>
      </c>
      <c r="G70" s="2" t="n">
        <v>46135</v>
      </c>
      <c r="H70" s="1" t="n">
        <v>515386.62</v>
      </c>
      <c r="I70" s="1" t="n">
        <v>608156.21</v>
      </c>
      <c r="J70" s="1">
        <f>ROUND(I70-H70,2)</f>
        <v/>
      </c>
      <c r="K70" s="1" t="inlineStr">
        <is>
          <t>F. Roux</t>
        </is>
      </c>
      <c r="L70" s="1" t="inlineStr">
        <is>
          <t>Notice served</t>
        </is>
      </c>
      <c r="M70" s="1" t="inlineStr">
        <is>
          <t>Champion promoted, relationship strong</t>
        </is>
      </c>
    </row>
    <row r="71">
      <c r="A71" s="1" t="inlineStr">
        <is>
          <t>REN-2027-0070</t>
        </is>
      </c>
      <c r="B71" s="1" t="inlineStr">
        <is>
          <t>IVG-MSA-2025-11</t>
        </is>
      </c>
      <c r="C71" s="1" t="inlineStr">
        <is>
          <t>Ironvale Grocery Group</t>
        </is>
      </c>
      <c r="D71" s="1" t="inlineStr">
        <is>
          <t>2027Q1</t>
        </is>
      </c>
      <c r="E71" s="2" t="n">
        <v>45698</v>
      </c>
      <c r="F71" s="2" t="n">
        <v>46428</v>
      </c>
      <c r="G71" s="2" t="n">
        <v>46398</v>
      </c>
      <c r="H71" s="1" t="n">
        <v>720182.11</v>
      </c>
      <c r="I71" s="1" t="n">
        <v>821007.61</v>
      </c>
      <c r="J71" s="1">
        <f>ROUND(I71-H71,2)</f>
        <v/>
      </c>
      <c r="K71" s="1" t="inlineStr">
        <is>
          <t>F. Roux</t>
        </is>
      </c>
      <c r="L71" s="1" t="inlineStr">
        <is>
          <t>Renewed</t>
        </is>
      </c>
      <c r="M71" s="1" t="inlineStr">
        <is>
          <t>Budget freeze pending refinancing</t>
        </is>
      </c>
    </row>
    <row r="72">
      <c r="A72" s="1" t="inlineStr">
        <is>
          <t>REN-2026-0071</t>
        </is>
      </c>
      <c r="B72" s="1" t="inlineStr">
        <is>
          <t>CFF-MSA-2024-71</t>
        </is>
      </c>
      <c r="C72" s="1" t="inlineStr">
        <is>
          <t>Crestline Fulfillment</t>
        </is>
      </c>
      <c r="D72" s="1" t="inlineStr">
        <is>
          <t>2026Q4</t>
        </is>
      </c>
      <c r="E72" s="2" t="n">
        <v>45639</v>
      </c>
      <c r="F72" s="2" t="n">
        <v>46369</v>
      </c>
      <c r="G72" s="2" t="n">
        <v>46279</v>
      </c>
      <c r="H72" s="1" t="n">
        <v>896760.45</v>
      </c>
      <c r="I72" s="1" t="n">
        <v>1049209.73</v>
      </c>
      <c r="J72" s="1">
        <f>ROUND(I72-H72,2)</f>
        <v/>
      </c>
      <c r="K72" s="1" t="inlineStr">
        <is>
          <t>T. Ferreira</t>
        </is>
      </c>
      <c r="L72" s="1" t="inlineStr">
        <is>
          <t>At risk</t>
        </is>
      </c>
      <c r="M72" s="1" t="inlineStr">
        <is>
          <t>Open service credit dispute</t>
        </is>
      </c>
    </row>
    <row r="73">
      <c r="A73" s="1" t="inlineStr">
        <is>
          <t>REN-2026-0072</t>
        </is>
      </c>
      <c r="B73" s="1" t="inlineStr">
        <is>
          <t>CMS-MSA-2025-31</t>
        </is>
      </c>
      <c r="C73" s="1" t="inlineStr">
        <is>
          <t>Calder Marine Supply</t>
        </is>
      </c>
      <c r="D73" s="1" t="inlineStr">
        <is>
          <t>2026Q3</t>
        </is>
      </c>
      <c r="E73" s="2" t="n">
        <v>45842</v>
      </c>
      <c r="F73" s="2" t="n">
        <v>46207</v>
      </c>
      <c r="G73" s="2" t="n">
        <v>46147</v>
      </c>
      <c r="H73" s="1" t="n">
        <v>975199.54</v>
      </c>
      <c r="I73" s="1" t="n">
        <v>1062967.5</v>
      </c>
      <c r="J73" s="1">
        <f>ROUND(I73-H73,2)</f>
        <v/>
      </c>
      <c r="K73" s="1" t="inlineStr">
        <is>
          <t>T. Ferreira</t>
        </is>
      </c>
      <c r="L73" s="1" t="inlineStr">
        <is>
          <t>Notice served</t>
        </is>
      </c>
      <c r="M73" s="1" t="inlineStr">
        <is>
          <t>Competitive evaluation underway</t>
        </is>
      </c>
    </row>
    <row r="74">
      <c r="A74" s="1" t="inlineStr">
        <is>
          <t>REN-2027-0073</t>
        </is>
      </c>
      <c r="B74" s="1" t="inlineStr">
        <is>
          <t>JHS-MSA-2024-19</t>
        </is>
      </c>
      <c r="C74" s="1" t="inlineStr">
        <is>
          <t>Juniper Health Supply</t>
        </is>
      </c>
      <c r="D74" s="1" t="inlineStr">
        <is>
          <t>2027Q4</t>
        </is>
      </c>
      <c r="E74" s="2" t="n">
        <v>45631</v>
      </c>
      <c r="F74" s="2" t="n">
        <v>46726</v>
      </c>
      <c r="G74" s="2" t="n">
        <v>46636</v>
      </c>
      <c r="H74" s="1" t="n">
        <v>1103824.99</v>
      </c>
      <c r="I74" s="1" t="n">
        <v>1280436.99</v>
      </c>
      <c r="J74" s="1">
        <f>ROUND(I74-H74,2)</f>
        <v/>
      </c>
      <c r="K74" s="1" t="inlineStr">
        <is>
          <t>J. Alvarez</t>
        </is>
      </c>
      <c r="L74" s="1" t="inlineStr">
        <is>
          <t>Notice served</t>
        </is>
      </c>
      <c r="M74" s="1" t="inlineStr">
        <is>
          <t>Sponsor changed in the second quarter</t>
        </is>
      </c>
    </row>
    <row r="75">
      <c r="A75" s="1" t="inlineStr">
        <is>
          <t>REN-2026-0074</t>
        </is>
      </c>
      <c r="B75" s="1" t="inlineStr">
        <is>
          <t>RWO-MSA-2025-70</t>
        </is>
      </c>
      <c r="C75" s="1" t="inlineStr">
        <is>
          <t>Redwood Optics</t>
        </is>
      </c>
      <c r="D75" s="1" t="inlineStr">
        <is>
          <t>2026Q1</t>
        </is>
      </c>
      <c r="E75" s="2" t="n">
        <v>45670</v>
      </c>
      <c r="F75" s="2" t="n">
        <v>46035</v>
      </c>
      <c r="G75" s="2" t="n">
        <v>45945</v>
      </c>
      <c r="H75" s="1" t="n">
        <v>571872.63</v>
      </c>
      <c r="I75" s="1" t="n">
        <v>583310.08</v>
      </c>
      <c r="J75" s="1">
        <f>ROUND(I75-H75,2)</f>
        <v/>
      </c>
      <c r="K75" s="1" t="inlineStr">
        <is>
          <t>F. Roux</t>
        </is>
      </c>
      <c r="L75" s="1" t="inlineStr">
        <is>
          <t>Renewed</t>
        </is>
      </c>
      <c r="M75" s="1" t="inlineStr">
        <is>
          <t>Competitive evaluation underway</t>
        </is>
      </c>
    </row>
    <row r="76">
      <c r="A76" s="1" t="inlineStr">
        <is>
          <t>REN-2028-0075</t>
        </is>
      </c>
      <c r="B76" s="1" t="inlineStr">
        <is>
          <t>TCE-MSA-2025-19</t>
        </is>
      </c>
      <c r="C76" s="1" t="inlineStr">
        <is>
          <t>Tamarack Electronics</t>
        </is>
      </c>
      <c r="D76" s="1" t="inlineStr">
        <is>
          <t>2028Q1</t>
        </is>
      </c>
      <c r="E76" s="2" t="n">
        <v>45742</v>
      </c>
      <c r="F76" s="2" t="n">
        <v>46838</v>
      </c>
      <c r="G76" s="2" t="n">
        <v>46808</v>
      </c>
      <c r="H76" s="1" t="n">
        <v>622760.02</v>
      </c>
      <c r="I76" s="1" t="n">
        <v>716174.02</v>
      </c>
      <c r="J76" s="1">
        <f>ROUND(I76-H76,2)</f>
        <v/>
      </c>
      <c r="K76" s="1" t="inlineStr">
        <is>
          <t>F. Roux</t>
        </is>
      </c>
      <c r="L76" s="1" t="inlineStr">
        <is>
          <t>Downgraded scope</t>
        </is>
      </c>
      <c r="M76" s="1" t="inlineStr">
        <is>
          <t>Throughput below customer target</t>
        </is>
      </c>
    </row>
    <row r="77">
      <c r="A77" s="1" t="inlineStr">
        <is>
          <t>REN-2026-0076</t>
        </is>
      </c>
      <c r="B77" s="1" t="inlineStr">
        <is>
          <t>EVW-MSA-2025-66</t>
        </is>
      </c>
      <c r="C77" s="1" t="inlineStr">
        <is>
          <t>Evergreen Warehousing</t>
        </is>
      </c>
      <c r="D77" s="1" t="inlineStr">
        <is>
          <t>2026Q1</t>
        </is>
      </c>
      <c r="E77" s="2" t="n">
        <v>45660</v>
      </c>
      <c r="F77" s="2" t="n">
        <v>46025</v>
      </c>
      <c r="G77" s="2" t="n">
        <v>45995</v>
      </c>
      <c r="H77" s="1" t="n">
        <v>1142445.39</v>
      </c>
      <c r="I77" s="1" t="n">
        <v>1279538.84</v>
      </c>
      <c r="J77" s="1">
        <f>ROUND(I77-H77,2)</f>
        <v/>
      </c>
      <c r="K77" s="1" t="inlineStr">
        <is>
          <t>T. Ferreira</t>
        </is>
      </c>
      <c r="L77" s="1" t="inlineStr">
        <is>
          <t>In negotiation</t>
        </is>
      </c>
      <c r="M77" s="1" t="inlineStr">
        <is>
          <t>Open service credit dispute</t>
        </is>
      </c>
    </row>
    <row r="78">
      <c r="A78" s="1" t="inlineStr">
        <is>
          <t>REN-2025-0077</t>
        </is>
      </c>
      <c r="B78" s="1" t="inlineStr">
        <is>
          <t>OGF-MSA-2024-22</t>
        </is>
      </c>
      <c r="C78" s="1" t="inlineStr">
        <is>
          <t>Orchard Grove Foods</t>
        </is>
      </c>
      <c r="D78" s="1" t="inlineStr">
        <is>
          <t>2025Q4</t>
        </is>
      </c>
      <c r="E78" s="2" t="n">
        <v>45589</v>
      </c>
      <c r="F78" s="2" t="n">
        <v>45954</v>
      </c>
      <c r="G78" s="2" t="n">
        <v>45864</v>
      </c>
      <c r="H78" s="1" t="n">
        <v>586680.08</v>
      </c>
      <c r="I78" s="1" t="n">
        <v>592546.88</v>
      </c>
      <c r="J78" s="1">
        <f>ROUND(I78-H78,2)</f>
        <v/>
      </c>
      <c r="K78" s="1" t="inlineStr">
        <is>
          <t>T. Ferreira</t>
        </is>
      </c>
      <c r="L78" s="1" t="inlineStr">
        <is>
          <t>At risk</t>
        </is>
      </c>
      <c r="M78" s="1" t="inlineStr">
        <is>
          <t>Budget freeze pending refinancing</t>
        </is>
      </c>
    </row>
    <row r="79">
      <c r="A79" s="1" t="inlineStr">
        <is>
          <t>REN-2026-0078</t>
        </is>
      </c>
      <c r="B79" s="1" t="inlineStr">
        <is>
          <t>BMC-MSA-2025-74</t>
        </is>
      </c>
      <c r="C79" s="1" t="inlineStr">
        <is>
          <t>Blue Mesa Components</t>
        </is>
      </c>
      <c r="D79" s="1" t="inlineStr">
        <is>
          <t>2026Q3</t>
        </is>
      </c>
      <c r="E79" s="2" t="n">
        <v>45882</v>
      </c>
      <c r="F79" s="2" t="n">
        <v>46247</v>
      </c>
      <c r="G79" s="2" t="n">
        <v>46187</v>
      </c>
      <c r="H79" s="1" t="n">
        <v>197830.01</v>
      </c>
      <c r="I79" s="1" t="n">
        <v>237396.01</v>
      </c>
      <c r="J79" s="1">
        <f>ROUND(I79-H79,2)</f>
        <v/>
      </c>
      <c r="K79" s="1" t="inlineStr">
        <is>
          <t>F. Roux</t>
        </is>
      </c>
      <c r="L79" s="1" t="inlineStr">
        <is>
          <t>In negotiation</t>
        </is>
      </c>
      <c r="M79" s="1" t="inlineStr">
        <is>
          <t>Budget freeze pending refinancing</t>
        </is>
      </c>
    </row>
    <row r="80">
      <c r="A80" s="1" t="inlineStr">
        <is>
          <t>REN-2025-0079</t>
        </is>
      </c>
      <c r="B80" s="1" t="inlineStr">
        <is>
          <t>GPD-MSA-2024-58</t>
        </is>
      </c>
      <c r="C80" s="1" t="inlineStr">
        <is>
          <t>Granite Peak Distribution</t>
        </is>
      </c>
      <c r="D80" s="1" t="inlineStr">
        <is>
          <t>2025Q1</t>
        </is>
      </c>
      <c r="E80" s="2" t="n">
        <v>45365</v>
      </c>
      <c r="F80" s="2" t="n">
        <v>45730</v>
      </c>
      <c r="G80" s="2" t="n">
        <v>45640</v>
      </c>
      <c r="H80" s="1" t="n">
        <v>699718.08</v>
      </c>
      <c r="I80" s="1" t="n">
        <v>790681.4300000001</v>
      </c>
      <c r="J80" s="1">
        <f>ROUND(I80-H80,2)</f>
        <v/>
      </c>
      <c r="K80" s="1" t="inlineStr">
        <is>
          <t>T. Ferreira</t>
        </is>
      </c>
      <c r="L80" s="1" t="inlineStr">
        <is>
          <t>In negotiation</t>
        </is>
      </c>
      <c r="M80" s="1" t="inlineStr">
        <is>
          <t>Open service credit dispute</t>
        </is>
      </c>
    </row>
    <row r="81">
      <c r="A81" s="1" t="inlineStr">
        <is>
          <t>REN-2026-0080</t>
        </is>
      </c>
      <c r="B81" s="1" t="inlineStr">
        <is>
          <t>HLS-MSA-2025-32</t>
        </is>
      </c>
      <c r="C81" s="1" t="inlineStr">
        <is>
          <t>Harborline Systems</t>
        </is>
      </c>
      <c r="D81" s="1" t="inlineStr">
        <is>
          <t>2026Q3</t>
        </is>
      </c>
      <c r="E81" s="2" t="n">
        <v>45849</v>
      </c>
      <c r="F81" s="2" t="n">
        <v>46214</v>
      </c>
      <c r="G81" s="2" t="n">
        <v>46124</v>
      </c>
      <c r="H81" s="1" t="n">
        <v>538273.2</v>
      </c>
      <c r="I81" s="1" t="n">
        <v>602865.98</v>
      </c>
      <c r="J81" s="1">
        <f>ROUND(I81-H81,2)</f>
        <v/>
      </c>
      <c r="K81" s="1" t="inlineStr">
        <is>
          <t>T. Ferreira</t>
        </is>
      </c>
      <c r="L81" s="1" t="inlineStr">
        <is>
          <t>At risk</t>
        </is>
      </c>
      <c r="M81" s="1" t="inlineStr">
        <is>
          <t>Open service credit dispute</t>
        </is>
      </c>
    </row>
    <row r="82">
      <c r="A82" s="1" t="inlineStr">
        <is>
          <t>REN-2026-0081</t>
        </is>
      </c>
      <c r="B82" s="1" t="inlineStr">
        <is>
          <t>NFB-MSA-2024-79</t>
        </is>
      </c>
      <c r="C82" s="1" t="inlineStr">
        <is>
          <t>Northfield Beverage</t>
        </is>
      </c>
      <c r="D82" s="1" t="inlineStr">
        <is>
          <t>2026Q1</t>
        </is>
      </c>
      <c r="E82" s="2" t="n">
        <v>45331</v>
      </c>
      <c r="F82" s="2" t="n">
        <v>46062</v>
      </c>
      <c r="G82" s="2" t="n">
        <v>45972</v>
      </c>
      <c r="H82" s="1" t="n">
        <v>896194.13</v>
      </c>
      <c r="I82" s="1" t="n">
        <v>1021661.31</v>
      </c>
      <c r="J82" s="1">
        <f>ROUND(I82-H82,2)</f>
        <v/>
      </c>
      <c r="K82" s="1" t="inlineStr">
        <is>
          <t>J. Alvarez</t>
        </is>
      </c>
      <c r="L82" s="1" t="inlineStr">
        <is>
          <t>In negotiation</t>
        </is>
      </c>
      <c r="M82" s="1" t="inlineStr">
        <is>
          <t>Open service credit dispute</t>
        </is>
      </c>
    </row>
    <row r="83">
      <c r="A83" s="1" t="inlineStr">
        <is>
          <t>REN-2026-0082</t>
        </is>
      </c>
      <c r="B83" s="1" t="inlineStr">
        <is>
          <t>HLS-MSA-2024-85</t>
        </is>
      </c>
      <c r="C83" s="1" t="inlineStr">
        <is>
          <t>Harborline Systems</t>
        </is>
      </c>
      <c r="D83" s="1" t="inlineStr">
        <is>
          <t>2026Q2</t>
        </is>
      </c>
      <c r="E83" s="2" t="n">
        <v>45440</v>
      </c>
      <c r="F83" s="2" t="n">
        <v>46170</v>
      </c>
      <c r="G83" s="2" t="n">
        <v>46110</v>
      </c>
      <c r="H83" s="1" t="n">
        <v>815232.37</v>
      </c>
      <c r="I83" s="1" t="n">
        <v>831537.02</v>
      </c>
      <c r="J83" s="1">
        <f>ROUND(I83-H83,2)</f>
        <v/>
      </c>
      <c r="K83" s="1" t="inlineStr">
        <is>
          <t>T. Ferreira</t>
        </is>
      </c>
      <c r="L83" s="1" t="inlineStr">
        <is>
          <t>In negotiation</t>
        </is>
      </c>
      <c r="M83" s="1" t="inlineStr">
        <is>
          <t>Sponsor changed in the second quarter</t>
        </is>
      </c>
    </row>
    <row r="84">
      <c r="A84" s="1" t="inlineStr">
        <is>
          <t>REN-2026-0083</t>
        </is>
      </c>
      <c r="B84" s="1" t="inlineStr">
        <is>
          <t>EWP-MSA-2024-32</t>
        </is>
      </c>
      <c r="C84" s="1" t="inlineStr">
        <is>
          <t>Elmsworth Publishing</t>
        </is>
      </c>
      <c r="D84" s="1" t="inlineStr">
        <is>
          <t>2026Q3</t>
        </is>
      </c>
      <c r="E84" s="2" t="n">
        <v>45492</v>
      </c>
      <c r="F84" s="2" t="n">
        <v>46222</v>
      </c>
      <c r="G84" s="2" t="n">
        <v>46192</v>
      </c>
      <c r="H84" s="1" t="n">
        <v>909776.1</v>
      </c>
      <c r="I84" s="1" t="n">
        <v>1073535.8</v>
      </c>
      <c r="J84" s="1">
        <f>ROUND(I84-H84,2)</f>
        <v/>
      </c>
      <c r="K84" s="1" t="inlineStr">
        <is>
          <t>F. Roux</t>
        </is>
      </c>
      <c r="L84" s="1" t="inlineStr">
        <is>
          <t>At risk</t>
        </is>
      </c>
      <c r="M84" s="1" t="inlineStr">
        <is>
          <t>Open service credit dispute</t>
        </is>
      </c>
    </row>
    <row r="85">
      <c r="A85" s="1" t="inlineStr">
        <is>
          <t>REN-2026-0084</t>
        </is>
      </c>
      <c r="B85" s="1" t="inlineStr">
        <is>
          <t>BWA-MSA-2025-70</t>
        </is>
      </c>
      <c r="C85" s="1" t="inlineStr">
        <is>
          <t>Bellweather Auto Group</t>
        </is>
      </c>
      <c r="D85" s="1" t="inlineStr">
        <is>
          <t>2026Q3</t>
        </is>
      </c>
      <c r="E85" s="2" t="n">
        <v>45919</v>
      </c>
      <c r="F85" s="2" t="n">
        <v>46284</v>
      </c>
      <c r="G85" s="2" t="n">
        <v>46254</v>
      </c>
      <c r="H85" s="1" t="n">
        <v>847458</v>
      </c>
      <c r="I85" s="1" t="n">
        <v>847458</v>
      </c>
      <c r="J85" s="1">
        <f>ROUND(I85-H85,2)</f>
        <v/>
      </c>
      <c r="K85" s="1" t="inlineStr">
        <is>
          <t>T. Ferreira</t>
        </is>
      </c>
      <c r="L85" s="1" t="inlineStr">
        <is>
          <t>Renewed</t>
        </is>
      </c>
      <c r="M85" s="1" t="inlineStr">
        <is>
          <t>Competitive evaluation underway</t>
        </is>
      </c>
    </row>
    <row r="86">
      <c r="A86" s="1" t="inlineStr">
        <is>
          <t>REN-2027-0085</t>
        </is>
      </c>
      <c r="B86" s="1" t="inlineStr">
        <is>
          <t>DBI-MSA-2025-81</t>
        </is>
      </c>
      <c r="C86" s="1" t="inlineStr">
        <is>
          <t>Dunbar Industrial</t>
        </is>
      </c>
      <c r="D86" s="1" t="inlineStr">
        <is>
          <t>2027Q3</t>
        </is>
      </c>
      <c r="E86" s="2" t="n">
        <v>45888</v>
      </c>
      <c r="F86" s="2" t="n">
        <v>46618</v>
      </c>
      <c r="G86" s="2" t="n">
        <v>46558</v>
      </c>
      <c r="H86" s="1" t="n">
        <v>369481.08</v>
      </c>
      <c r="I86" s="1" t="n">
        <v>432292.86</v>
      </c>
      <c r="J86" s="1">
        <f>ROUND(I86-H86,2)</f>
        <v/>
      </c>
      <c r="K86" s="1" t="inlineStr">
        <is>
          <t>F. Roux</t>
        </is>
      </c>
      <c r="L86" s="1" t="inlineStr">
        <is>
          <t>At risk</t>
        </is>
      </c>
      <c r="M86" s="1" t="inlineStr">
        <is>
          <t>Sponsor changed in the second quarter</t>
        </is>
      </c>
    </row>
    <row r="87">
      <c r="A87" s="1" t="inlineStr">
        <is>
          <t>REN-2025-0086</t>
        </is>
      </c>
      <c r="B87" s="1" t="inlineStr">
        <is>
          <t>AST-MSA-2024-26</t>
        </is>
      </c>
      <c r="C87" s="1" t="inlineStr">
        <is>
          <t>Asterion Logistics</t>
        </is>
      </c>
      <c r="D87" s="1" t="inlineStr">
        <is>
          <t>2025Q1</t>
        </is>
      </c>
      <c r="E87" s="2" t="n">
        <v>45352</v>
      </c>
      <c r="F87" s="2" t="n">
        <v>45717</v>
      </c>
      <c r="G87" s="2" t="n">
        <v>45657</v>
      </c>
      <c r="H87" s="1" t="n">
        <v>1073443.26</v>
      </c>
      <c r="I87" s="1" t="n">
        <v>1288131.91</v>
      </c>
      <c r="J87" s="1">
        <f>ROUND(I87-H87,2)</f>
        <v/>
      </c>
      <c r="K87" s="1" t="inlineStr">
        <is>
          <t>T. Ferreira</t>
        </is>
      </c>
      <c r="L87" s="1" t="inlineStr">
        <is>
          <t>At risk</t>
        </is>
      </c>
      <c r="M87" s="1" t="inlineStr">
        <is>
          <t>Throughput below customer target</t>
        </is>
      </c>
    </row>
    <row r="88">
      <c r="A88" s="1" t="inlineStr">
        <is>
          <t>REN-2026-0087</t>
        </is>
      </c>
      <c r="B88" s="1" t="inlineStr">
        <is>
          <t>DBI-MSA-2024-47</t>
        </is>
      </c>
      <c r="C88" s="1" t="inlineStr">
        <is>
          <t>Dunbar Industrial</t>
        </is>
      </c>
      <c r="D88" s="1" t="inlineStr">
        <is>
          <t>2026Q2</t>
        </is>
      </c>
      <c r="E88" s="2" t="n">
        <v>45448</v>
      </c>
      <c r="F88" s="2" t="n">
        <v>46178</v>
      </c>
      <c r="G88" s="2" t="n">
        <v>46088</v>
      </c>
      <c r="H88" s="1" t="n">
        <v>604117.61</v>
      </c>
      <c r="I88" s="1" t="n">
        <v>712858.78</v>
      </c>
      <c r="J88" s="1">
        <f>ROUND(I88-H88,2)</f>
        <v/>
      </c>
      <c r="K88" s="1" t="inlineStr">
        <is>
          <t>J. Alvarez</t>
        </is>
      </c>
      <c r="L88" s="1" t="inlineStr">
        <is>
          <t>Renewed</t>
        </is>
      </c>
      <c r="M88" s="1" t="inlineStr">
        <is>
          <t>Open service credit dispute</t>
        </is>
      </c>
    </row>
    <row r="89">
      <c r="A89" s="1" t="inlineStr">
        <is>
          <t>REN-2027-0088</t>
        </is>
      </c>
      <c r="B89" s="1" t="inlineStr">
        <is>
          <t>EVW-MSA-2025-68</t>
        </is>
      </c>
      <c r="C89" s="1" t="inlineStr">
        <is>
          <t>Evergreen Warehousing</t>
        </is>
      </c>
      <c r="D89" s="1" t="inlineStr">
        <is>
          <t>2027Q1</t>
        </is>
      </c>
      <c r="E89" s="2" t="n">
        <v>45688</v>
      </c>
      <c r="F89" s="2" t="n">
        <v>46418</v>
      </c>
      <c r="G89" s="2" t="n">
        <v>46388</v>
      </c>
      <c r="H89" s="1" t="n">
        <v>112944.6</v>
      </c>
      <c r="I89" s="1" t="n">
        <v>119721.28</v>
      </c>
      <c r="J89" s="1">
        <f>ROUND(I89-H89,2)</f>
        <v/>
      </c>
      <c r="K89" s="1" t="inlineStr">
        <is>
          <t>J. Alvarez</t>
        </is>
      </c>
      <c r="L89" s="1" t="inlineStr">
        <is>
          <t>In negotiation</t>
        </is>
      </c>
      <c r="M89" s="1" t="inlineStr">
        <is>
          <t>Throughput below customer target</t>
        </is>
      </c>
    </row>
    <row r="90">
      <c r="A90" s="1" t="inlineStr">
        <is>
          <t>REN-2026-0089</t>
        </is>
      </c>
      <c r="B90" s="1" t="inlineStr">
        <is>
          <t>CMS-MSA-2025-28</t>
        </is>
      </c>
      <c r="C90" s="1" t="inlineStr">
        <is>
          <t>Calder Marine Supply</t>
        </is>
      </c>
      <c r="D90" s="1" t="inlineStr">
        <is>
          <t>2026Q1</t>
        </is>
      </c>
      <c r="E90" s="2" t="n">
        <v>45681</v>
      </c>
      <c r="F90" s="2" t="n">
        <v>46046</v>
      </c>
      <c r="G90" s="2" t="n">
        <v>45986</v>
      </c>
      <c r="H90" s="1" t="n">
        <v>424701</v>
      </c>
      <c r="I90" s="1" t="n">
        <v>437442.03</v>
      </c>
      <c r="J90" s="1">
        <f>ROUND(I90-H90,2)</f>
        <v/>
      </c>
      <c r="K90" s="1" t="inlineStr">
        <is>
          <t>J. Alvarez</t>
        </is>
      </c>
      <c r="L90" s="1" t="inlineStr">
        <is>
          <t>At risk</t>
        </is>
      </c>
      <c r="M90" s="1" t="inlineStr">
        <is>
          <t>Budget freeze pending refinancing</t>
        </is>
      </c>
    </row>
    <row r="91">
      <c r="A91" s="1" t="inlineStr">
        <is>
          <t>REN-2026-0090</t>
        </is>
      </c>
      <c r="B91" s="1" t="inlineStr">
        <is>
          <t>BMC-MSA-2025-55</t>
        </is>
      </c>
      <c r="C91" s="1" t="inlineStr">
        <is>
          <t>Blue Mesa Components</t>
        </is>
      </c>
      <c r="D91" s="1" t="inlineStr">
        <is>
          <t>2026Q4</t>
        </is>
      </c>
      <c r="E91" s="2" t="n">
        <v>46003</v>
      </c>
      <c r="F91" s="2" t="n">
        <v>46368</v>
      </c>
      <c r="G91" s="2" t="n">
        <v>46278</v>
      </c>
      <c r="H91" s="1" t="n">
        <v>348775.31</v>
      </c>
      <c r="I91" s="1" t="n">
        <v>397603.85</v>
      </c>
      <c r="J91" s="1">
        <f>ROUND(I91-H91,2)</f>
        <v/>
      </c>
      <c r="K91" s="1" t="inlineStr">
        <is>
          <t>T. Ferreira</t>
        </is>
      </c>
      <c r="L91" s="1" t="inlineStr">
        <is>
          <t>At risk</t>
        </is>
      </c>
      <c r="M91" s="1" t="inlineStr">
        <is>
          <t>Competitive evaluation underway</t>
        </is>
      </c>
    </row>
    <row r="92">
      <c r="A92" s="1" t="inlineStr">
        <is>
          <t>REN-2027-0091</t>
        </is>
      </c>
      <c r="B92" s="1" t="inlineStr">
        <is>
          <t>CMS-MSA-2025-30</t>
        </is>
      </c>
      <c r="C92" s="1" t="inlineStr">
        <is>
          <t>Calder Marine Supply</t>
        </is>
      </c>
      <c r="D92" s="1" t="inlineStr">
        <is>
          <t>2027Q2</t>
        </is>
      </c>
      <c r="E92" s="2" t="n">
        <v>45799</v>
      </c>
      <c r="F92" s="2" t="n">
        <v>46529</v>
      </c>
      <c r="G92" s="2" t="n">
        <v>46439</v>
      </c>
      <c r="H92" s="1" t="n">
        <v>971647.4300000001</v>
      </c>
      <c r="I92" s="1" t="n">
        <v>1136827.49</v>
      </c>
      <c r="J92" s="1">
        <f>ROUND(I92-H92,2)</f>
        <v/>
      </c>
      <c r="K92" s="1" t="inlineStr">
        <is>
          <t>T. Ferreira</t>
        </is>
      </c>
      <c r="L92" s="1" t="inlineStr">
        <is>
          <t>At risk</t>
        </is>
      </c>
      <c r="M92" s="1" t="inlineStr">
        <is>
          <t>Budget freeze pending refinancing</t>
        </is>
      </c>
    </row>
    <row r="93">
      <c r="A93" s="1" t="inlineStr">
        <is>
          <t>REN-2027-0092</t>
        </is>
      </c>
      <c r="B93" s="1" t="inlineStr">
        <is>
          <t>BMC-MSA-2025-49</t>
        </is>
      </c>
      <c r="C93" s="1" t="inlineStr">
        <is>
          <t>Blue Mesa Components</t>
        </is>
      </c>
      <c r="D93" s="1" t="inlineStr">
        <is>
          <t>2027Q3</t>
        </is>
      </c>
      <c r="E93" s="2" t="n">
        <v>45905</v>
      </c>
      <c r="F93" s="2" t="n">
        <v>46635</v>
      </c>
      <c r="G93" s="2" t="n">
        <v>46605</v>
      </c>
      <c r="H93" s="1" t="n">
        <v>950949.59</v>
      </c>
      <c r="I93" s="1" t="n">
        <v>1150649</v>
      </c>
      <c r="J93" s="1">
        <f>ROUND(I93-H93,2)</f>
        <v/>
      </c>
      <c r="K93" s="1" t="inlineStr">
        <is>
          <t>F. Roux</t>
        </is>
      </c>
      <c r="L93" s="1" t="inlineStr">
        <is>
          <t>Notice served</t>
        </is>
      </c>
      <c r="M93" s="1" t="inlineStr">
        <is>
          <t>Open service credit dispute</t>
        </is>
      </c>
    </row>
    <row r="94">
      <c r="A94" s="1" t="inlineStr">
        <is>
          <t>REN-2027-0093</t>
        </is>
      </c>
      <c r="B94" s="1" t="inlineStr">
        <is>
          <t>UVP-MSA-2025-85</t>
        </is>
      </c>
      <c r="C94" s="1" t="inlineStr">
        <is>
          <t>Union Vale Pharma</t>
        </is>
      </c>
      <c r="D94" s="1" t="inlineStr">
        <is>
          <t>2027Q4</t>
        </is>
      </c>
      <c r="E94" s="2" t="n">
        <v>45961</v>
      </c>
      <c r="F94" s="2" t="n">
        <v>46691</v>
      </c>
      <c r="G94" s="2" t="n">
        <v>46601</v>
      </c>
      <c r="H94" s="1" t="n">
        <v>234901.69</v>
      </c>
      <c r="I94" s="1" t="n">
        <v>251344.81</v>
      </c>
      <c r="J94" s="1">
        <f>ROUND(I94-H94,2)</f>
        <v/>
      </c>
      <c r="K94" s="1" t="inlineStr">
        <is>
          <t>F. Roux</t>
        </is>
      </c>
      <c r="L94" s="1" t="inlineStr">
        <is>
          <t>Renewed</t>
        </is>
      </c>
      <c r="M94" s="1" t="inlineStr">
        <is>
          <t>Budget freeze pending refinancing</t>
        </is>
      </c>
    </row>
    <row r="95">
      <c r="A95" s="1" t="inlineStr">
        <is>
          <t>REN-2028-0094</t>
        </is>
      </c>
      <c r="B95" s="1" t="inlineStr">
        <is>
          <t>LKA-MSA-2025-68</t>
        </is>
      </c>
      <c r="C95" s="1" t="inlineStr">
        <is>
          <t>Larkspur Apparel</t>
        </is>
      </c>
      <c r="D95" s="1" t="inlineStr">
        <is>
          <t>2028Q1</t>
        </is>
      </c>
      <c r="E95" s="2" t="n">
        <v>45715</v>
      </c>
      <c r="F95" s="2" t="n">
        <v>46810</v>
      </c>
      <c r="G95" s="2" t="n">
        <v>46750</v>
      </c>
      <c r="H95" s="1" t="n">
        <v>510211.13</v>
      </c>
      <c r="I95" s="1" t="n">
        <v>612253.36</v>
      </c>
      <c r="J95" s="1">
        <f>ROUND(I95-H95,2)</f>
        <v/>
      </c>
      <c r="K95" s="1" t="inlineStr">
        <is>
          <t>J. Alvarez</t>
        </is>
      </c>
      <c r="L95" s="1" t="inlineStr">
        <is>
          <t>Renewed</t>
        </is>
      </c>
      <c r="M95" s="1" t="inlineStr">
        <is>
          <t>Open service credit dispute</t>
        </is>
      </c>
    </row>
    <row r="96">
      <c r="A96" s="1" t="inlineStr">
        <is>
          <t>REN-2027-0095</t>
        </is>
      </c>
      <c r="B96" s="1" t="inlineStr">
        <is>
          <t>ABT-MSA-2025-14</t>
        </is>
      </c>
      <c r="C96" s="1" t="inlineStr">
        <is>
          <t>Alderbrook Textiles</t>
        </is>
      </c>
      <c r="D96" s="1" t="inlineStr">
        <is>
          <t>2027Q1</t>
        </is>
      </c>
      <c r="E96" s="2" t="n">
        <v>45688</v>
      </c>
      <c r="F96" s="2" t="n">
        <v>46418</v>
      </c>
      <c r="G96" s="2" t="n">
        <v>46358</v>
      </c>
      <c r="H96" s="1" t="n">
        <v>202269.15</v>
      </c>
      <c r="I96" s="1" t="n">
        <v>244745.67</v>
      </c>
      <c r="J96" s="1">
        <f>ROUND(I96-H96,2)</f>
        <v/>
      </c>
      <c r="K96" s="1" t="inlineStr">
        <is>
          <t>T. Ferreira</t>
        </is>
      </c>
      <c r="L96" s="1" t="inlineStr">
        <is>
          <t>Renewed</t>
        </is>
      </c>
      <c r="M96" s="1" t="inlineStr">
        <is>
          <t>Throughput below customer target</t>
        </is>
      </c>
    </row>
    <row r="97">
      <c r="A97" s="1" t="inlineStr">
        <is>
          <t>REN-2028-0096</t>
        </is>
      </c>
      <c r="B97" s="1" t="inlineStr">
        <is>
          <t>VRS-MSA-2025-25</t>
        </is>
      </c>
      <c r="C97" s="1" t="inlineStr">
        <is>
          <t>Vantage Robotics Supply</t>
        </is>
      </c>
      <c r="D97" s="1" t="inlineStr">
        <is>
          <t>2028Q1</t>
        </is>
      </c>
      <c r="E97" s="2" t="n">
        <v>45674</v>
      </c>
      <c r="F97" s="2" t="n">
        <v>46769</v>
      </c>
      <c r="G97" s="2" t="n">
        <v>46679</v>
      </c>
      <c r="H97" s="1" t="n">
        <v>1181539.73</v>
      </c>
      <c r="I97" s="1" t="n">
        <v>1335139.89</v>
      </c>
      <c r="J97" s="1">
        <f>ROUND(I97-H97,2)</f>
        <v/>
      </c>
      <c r="K97" s="1" t="inlineStr">
        <is>
          <t>F. Roux</t>
        </is>
      </c>
      <c r="L97" s="1" t="inlineStr">
        <is>
          <t>At risk</t>
        </is>
      </c>
      <c r="M97" s="1" t="inlineStr">
        <is>
          <t>Throughput below customer target</t>
        </is>
      </c>
    </row>
    <row r="98">
      <c r="A98" s="1" t="inlineStr">
        <is>
          <t>REN-2026-0097</t>
        </is>
      </c>
      <c r="B98" s="1" t="inlineStr">
        <is>
          <t>CFF-MSA-2024-68</t>
        </is>
      </c>
      <c r="C98" s="1" t="inlineStr">
        <is>
          <t>Crestline Fulfillment</t>
        </is>
      </c>
      <c r="D98" s="1" t="inlineStr">
        <is>
          <t>2026Q2</t>
        </is>
      </c>
      <c r="E98" s="2" t="n">
        <v>45422</v>
      </c>
      <c r="F98" s="2" t="n">
        <v>46152</v>
      </c>
      <c r="G98" s="2" t="n">
        <v>46062</v>
      </c>
      <c r="H98" s="1" t="n">
        <v>439181.95</v>
      </c>
      <c r="I98" s="1" t="n">
        <v>461141.05</v>
      </c>
      <c r="J98" s="1">
        <f>ROUND(I98-H98,2)</f>
        <v/>
      </c>
      <c r="K98" s="1" t="inlineStr">
        <is>
          <t>F. Roux</t>
        </is>
      </c>
      <c r="L98" s="1" t="inlineStr">
        <is>
          <t>Downgraded scope</t>
        </is>
      </c>
      <c r="M98" s="1" t="inlineStr">
        <is>
          <t>Budget freeze pending refinancing</t>
        </is>
      </c>
    </row>
    <row r="99">
      <c r="A99" s="1" t="inlineStr">
        <is>
          <t>REN-2026-0098</t>
        </is>
      </c>
      <c r="B99" s="1" t="inlineStr">
        <is>
          <t>DBI-MSA-2025-11</t>
        </is>
      </c>
      <c r="C99" s="1" t="inlineStr">
        <is>
          <t>Dunbar Industrial</t>
        </is>
      </c>
      <c r="D99" s="1" t="inlineStr">
        <is>
          <t>2026Q1</t>
        </is>
      </c>
      <c r="E99" s="2" t="n">
        <v>45744</v>
      </c>
      <c r="F99" s="2" t="n">
        <v>46109</v>
      </c>
      <c r="G99" s="2" t="n">
        <v>46049</v>
      </c>
      <c r="H99" s="1" t="n">
        <v>305648.14</v>
      </c>
      <c r="I99" s="1" t="n">
        <v>360664.81</v>
      </c>
      <c r="J99" s="1">
        <f>ROUND(I99-H99,2)</f>
        <v/>
      </c>
      <c r="K99" s="1" t="inlineStr">
        <is>
          <t>J. Alvarez</t>
        </is>
      </c>
      <c r="L99" s="1" t="inlineStr">
        <is>
          <t>In negotiation</t>
        </is>
      </c>
      <c r="M99" s="1" t="inlineStr">
        <is>
          <t>Open service credit dispute</t>
        </is>
      </c>
    </row>
    <row r="100">
      <c r="A100" s="1" t="inlineStr">
        <is>
          <t>REN-2026-0099</t>
        </is>
      </c>
      <c r="B100" s="1" t="inlineStr">
        <is>
          <t>BMC-MSA-2024-66</t>
        </is>
      </c>
      <c r="C100" s="1" t="inlineStr">
        <is>
          <t>Blue Mesa Components</t>
        </is>
      </c>
      <c r="D100" s="1" t="inlineStr">
        <is>
          <t>2026Q4</t>
        </is>
      </c>
      <c r="E100" s="2" t="n">
        <v>45621</v>
      </c>
      <c r="F100" s="2" t="n">
        <v>46351</v>
      </c>
      <c r="G100" s="2" t="n">
        <v>46321</v>
      </c>
      <c r="H100" s="1" t="n">
        <v>303971.66</v>
      </c>
      <c r="I100" s="1" t="n">
        <v>340448.26</v>
      </c>
      <c r="J100" s="1">
        <f>ROUND(I100-H100,2)</f>
        <v/>
      </c>
      <c r="K100" s="1" t="inlineStr">
        <is>
          <t>F. Roux</t>
        </is>
      </c>
      <c r="L100" s="1" t="inlineStr">
        <is>
          <t>Renewed</t>
        </is>
      </c>
      <c r="M100" s="1" t="inlineStr">
        <is>
          <t>Sponsor changed in the second quarter</t>
        </is>
      </c>
    </row>
    <row r="101">
      <c r="A101" s="1" t="inlineStr">
        <is>
          <t>REN-2027-0100</t>
        </is>
      </c>
      <c r="B101" s="1" t="inlineStr">
        <is>
          <t>QBM-MSA-2025-58</t>
        </is>
      </c>
      <c r="C101" s="1" t="inlineStr">
        <is>
          <t>Quarrybridge Materials</t>
        </is>
      </c>
      <c r="D101" s="1" t="inlineStr">
        <is>
          <t>2027Q3</t>
        </is>
      </c>
      <c r="E101" s="2" t="n">
        <v>45848</v>
      </c>
      <c r="F101" s="2" t="n">
        <v>46578</v>
      </c>
      <c r="G101" s="2" t="n">
        <v>46488</v>
      </c>
      <c r="H101" s="1" t="n">
        <v>1094045.84</v>
      </c>
      <c r="I101" s="1" t="n">
        <v>1137807.67</v>
      </c>
      <c r="J101" s="1">
        <f>ROUND(I101-H101,2)</f>
        <v/>
      </c>
      <c r="K101" s="1" t="inlineStr">
        <is>
          <t>J. Alvarez</t>
        </is>
      </c>
      <c r="L101" s="1" t="inlineStr">
        <is>
          <t>At risk</t>
        </is>
      </c>
      <c r="M101" s="1" t="inlineStr">
        <is>
          <t>Open service credit dispute</t>
        </is>
      </c>
    </row>
    <row r="102">
      <c r="A102" s="1" t="inlineStr">
        <is>
          <t>REN-2026-0101</t>
        </is>
      </c>
      <c r="B102" s="1" t="inlineStr">
        <is>
          <t>WCD-MSA-2025-38</t>
        </is>
      </c>
      <c r="C102" s="1" t="inlineStr">
        <is>
          <t>Westlake Chemical Depot</t>
        </is>
      </c>
      <c r="D102" s="1" t="inlineStr">
        <is>
          <t>2026Q1</t>
        </is>
      </c>
      <c r="E102" s="2" t="n">
        <v>45701</v>
      </c>
      <c r="F102" s="2" t="n">
        <v>46066</v>
      </c>
      <c r="G102" s="2" t="n">
        <v>46036</v>
      </c>
      <c r="H102" s="1" t="n">
        <v>95694.53</v>
      </c>
      <c r="I102" s="1" t="n">
        <v>111962.6</v>
      </c>
      <c r="J102" s="1">
        <f>ROUND(I102-H102,2)</f>
        <v/>
      </c>
      <c r="K102" s="1" t="inlineStr">
        <is>
          <t>T. Ferreira</t>
        </is>
      </c>
      <c r="L102" s="1" t="inlineStr">
        <is>
          <t>Renewed</t>
        </is>
      </c>
      <c r="M102" s="1" t="inlineStr">
        <is>
          <t>Throughput below customer target</t>
        </is>
      </c>
    </row>
    <row r="103">
      <c r="A103" s="1" t="inlineStr">
        <is>
          <t>REN-2027-0102</t>
        </is>
      </c>
      <c r="B103" s="1" t="inlineStr">
        <is>
          <t>KPP-MSA-2024-57</t>
        </is>
      </c>
      <c r="C103" s="1" t="inlineStr">
        <is>
          <t>Keystone Paper &amp; Pack</t>
        </is>
      </c>
      <c r="D103" s="1" t="inlineStr">
        <is>
          <t>2027Q2</t>
        </is>
      </c>
      <c r="E103" s="2" t="n">
        <v>45435</v>
      </c>
      <c r="F103" s="2" t="n">
        <v>46530</v>
      </c>
      <c r="G103" s="2" t="n">
        <v>46500</v>
      </c>
      <c r="H103" s="1" t="n">
        <v>959637.33</v>
      </c>
      <c r="I103" s="1" t="n">
        <v>1161161.17</v>
      </c>
      <c r="J103" s="1">
        <f>ROUND(I103-H103,2)</f>
        <v/>
      </c>
      <c r="K103" s="1" t="inlineStr">
        <is>
          <t>F. Roux</t>
        </is>
      </c>
      <c r="L103" s="1" t="inlineStr">
        <is>
          <t>At risk</t>
        </is>
      </c>
      <c r="M103" s="1" t="inlineStr">
        <is>
          <t>Competitive evaluation underway</t>
        </is>
      </c>
    </row>
    <row r="104">
      <c r="A104" s="1" t="inlineStr">
        <is>
          <t>REN-2027-0103</t>
        </is>
      </c>
      <c r="B104" s="1" t="inlineStr">
        <is>
          <t>DGC-MSA-2024-23</t>
        </is>
      </c>
      <c r="C104" s="1" t="inlineStr">
        <is>
          <t>Dorsey Grain Cooperative</t>
        </is>
      </c>
      <c r="D104" s="1" t="inlineStr">
        <is>
          <t>2027Q2</t>
        </is>
      </c>
      <c r="E104" s="2" t="n">
        <v>45463</v>
      </c>
      <c r="F104" s="2" t="n">
        <v>46558</v>
      </c>
      <c r="G104" s="2" t="n">
        <v>46498</v>
      </c>
      <c r="H104" s="1" t="n">
        <v>126704.07</v>
      </c>
      <c r="I104" s="1" t="n">
        <v>138107.44</v>
      </c>
      <c r="J104" s="1">
        <f>ROUND(I104-H104,2)</f>
        <v/>
      </c>
      <c r="K104" s="1" t="inlineStr">
        <is>
          <t>J. Alvarez</t>
        </is>
      </c>
      <c r="L104" s="1" t="inlineStr">
        <is>
          <t>Downgraded scope</t>
        </is>
      </c>
      <c r="M104" s="1" t="inlineStr">
        <is>
          <t>Champion promoted, relationship strong</t>
        </is>
      </c>
    </row>
    <row r="105">
      <c r="A105" s="1" t="inlineStr">
        <is>
          <t>REN-2027-0104</t>
        </is>
      </c>
      <c r="B105" s="1" t="inlineStr">
        <is>
          <t>WCD-MSA-2024-65</t>
        </is>
      </c>
      <c r="C105" s="1" t="inlineStr">
        <is>
          <t>Westlake Chemical Depot</t>
        </is>
      </c>
      <c r="D105" s="1" t="inlineStr">
        <is>
          <t>2027Q3</t>
        </is>
      </c>
      <c r="E105" s="2" t="n">
        <v>45513</v>
      </c>
      <c r="F105" s="2" t="n">
        <v>46608</v>
      </c>
      <c r="G105" s="2" t="n">
        <v>46578</v>
      </c>
      <c r="H105" s="1" t="n">
        <v>571142.73</v>
      </c>
      <c r="I105" s="1" t="n">
        <v>651102.71</v>
      </c>
      <c r="J105" s="1">
        <f>ROUND(I105-H105,2)</f>
        <v/>
      </c>
      <c r="K105" s="1" t="inlineStr">
        <is>
          <t>T. Ferreira</t>
        </is>
      </c>
      <c r="L105" s="1" t="inlineStr">
        <is>
          <t>Downgraded scope</t>
        </is>
      </c>
      <c r="M105" s="1" t="inlineStr">
        <is>
          <t>Open service credit dispute</t>
        </is>
      </c>
    </row>
    <row r="106">
      <c r="A106" s="1" t="inlineStr">
        <is>
          <t>REN-2025-0105</t>
        </is>
      </c>
      <c r="B106" s="1" t="inlineStr">
        <is>
          <t>NFB-MSA-2024-37</t>
        </is>
      </c>
      <c r="C106" s="1" t="inlineStr">
        <is>
          <t>Northfield Beverage</t>
        </is>
      </c>
      <c r="D106" s="1" t="inlineStr">
        <is>
          <t>2025Q2</t>
        </is>
      </c>
      <c r="E106" s="2" t="n">
        <v>45394</v>
      </c>
      <c r="F106" s="2" t="n">
        <v>45759</v>
      </c>
      <c r="G106" s="2" t="n">
        <v>45669</v>
      </c>
      <c r="H106" s="1" t="n">
        <v>1231470.89</v>
      </c>
      <c r="I106" s="1" t="n">
        <v>1280729.73</v>
      </c>
      <c r="J106" s="1">
        <f>ROUND(I106-H106,2)</f>
        <v/>
      </c>
      <c r="K106" s="1" t="inlineStr">
        <is>
          <t>F. Roux</t>
        </is>
      </c>
      <c r="L106" s="1" t="inlineStr">
        <is>
          <t>At risk</t>
        </is>
      </c>
      <c r="M106" s="1" t="inlineStr">
        <is>
          <t>Budget freeze pending refinancing</t>
        </is>
      </c>
    </row>
    <row r="107">
      <c r="A107" s="1" t="inlineStr">
        <is>
          <t>REN-2026-0106</t>
        </is>
      </c>
      <c r="B107" s="1" t="inlineStr">
        <is>
          <t>EVW-MSA-2025-23</t>
        </is>
      </c>
      <c r="C107" s="1" t="inlineStr">
        <is>
          <t>Evergreen Warehousing</t>
        </is>
      </c>
      <c r="D107" s="1" t="inlineStr">
        <is>
          <t>2026Q3</t>
        </is>
      </c>
      <c r="E107" s="2" t="n">
        <v>45897</v>
      </c>
      <c r="F107" s="2" t="n">
        <v>46262</v>
      </c>
      <c r="G107" s="2" t="n">
        <v>46232</v>
      </c>
      <c r="H107" s="1" t="n">
        <v>1127259.39</v>
      </c>
      <c r="I107" s="1" t="n">
        <v>1251257.92</v>
      </c>
      <c r="J107" s="1">
        <f>ROUND(I107-H107,2)</f>
        <v/>
      </c>
      <c r="K107" s="1" t="inlineStr">
        <is>
          <t>T. Ferreira</t>
        </is>
      </c>
      <c r="L107" s="1" t="inlineStr">
        <is>
          <t>At risk</t>
        </is>
      </c>
      <c r="M107" s="1" t="inlineStr">
        <is>
          <t>Budget freeze pending refinancing</t>
        </is>
      </c>
    </row>
    <row r="108">
      <c r="A108" s="1" t="inlineStr">
        <is>
          <t>REN-2025-0107</t>
        </is>
      </c>
      <c r="B108" s="1" t="inlineStr">
        <is>
          <t>DBI-MSA-2024-14</t>
        </is>
      </c>
      <c r="C108" s="1" t="inlineStr">
        <is>
          <t>Dunbar Industrial</t>
        </is>
      </c>
      <c r="D108" s="1" t="inlineStr">
        <is>
          <t>2025Q3</t>
        </is>
      </c>
      <c r="E108" s="2" t="n">
        <v>45502</v>
      </c>
      <c r="F108" s="2" t="n">
        <v>45867</v>
      </c>
      <c r="G108" s="2" t="n">
        <v>45837</v>
      </c>
      <c r="H108" s="1" t="n">
        <v>722299.08</v>
      </c>
      <c r="I108" s="1" t="n">
        <v>830643.9399999999</v>
      </c>
      <c r="J108" s="1">
        <f>ROUND(I108-H108,2)</f>
        <v/>
      </c>
      <c r="K108" s="1" t="inlineStr">
        <is>
          <t>T. Ferreira</t>
        </is>
      </c>
      <c r="L108" s="1" t="inlineStr">
        <is>
          <t>Renewed</t>
        </is>
      </c>
      <c r="M108" s="1" t="inlineStr">
        <is>
          <t>Budget freeze pending refinancing</t>
        </is>
      </c>
    </row>
    <row r="109">
      <c r="A109" s="1" t="inlineStr">
        <is>
          <t>REN-2027-0108</t>
        </is>
      </c>
      <c r="B109" s="1" t="inlineStr">
        <is>
          <t>ABT-MSA-2024-55</t>
        </is>
      </c>
      <c r="C109" s="1" t="inlineStr">
        <is>
          <t>Alderbrook Textiles</t>
        </is>
      </c>
      <c r="D109" s="1" t="inlineStr">
        <is>
          <t>2027Q4</t>
        </is>
      </c>
      <c r="E109" s="2" t="n">
        <v>45576</v>
      </c>
      <c r="F109" s="2" t="n">
        <v>46671</v>
      </c>
      <c r="G109" s="2" t="n">
        <v>46611</v>
      </c>
      <c r="H109" s="1" t="n">
        <v>309798.3</v>
      </c>
      <c r="I109" s="1" t="n">
        <v>356268.04</v>
      </c>
      <c r="J109" s="1">
        <f>ROUND(I109-H109,2)</f>
        <v/>
      </c>
      <c r="K109" s="1" t="inlineStr">
        <is>
          <t>F. Roux</t>
        </is>
      </c>
      <c r="L109" s="1" t="inlineStr">
        <is>
          <t>Renewed</t>
        </is>
      </c>
      <c r="M109" s="1" t="inlineStr">
        <is>
          <t>Budget freeze pending refinancing</t>
        </is>
      </c>
    </row>
    <row r="110">
      <c r="A110" s="1" t="inlineStr">
        <is>
          <t>REN-2025-0109</t>
        </is>
      </c>
      <c r="B110" s="1" t="inlineStr">
        <is>
          <t>EVW-MSA-2024-55</t>
        </is>
      </c>
      <c r="C110" s="1" t="inlineStr">
        <is>
          <t>Evergreen Warehousing</t>
        </is>
      </c>
      <c r="D110" s="1" t="inlineStr">
        <is>
          <t>2025Q3</t>
        </is>
      </c>
      <c r="E110" s="2" t="n">
        <v>45513</v>
      </c>
      <c r="F110" s="2" t="n">
        <v>45878</v>
      </c>
      <c r="G110" s="2" t="n">
        <v>45848</v>
      </c>
      <c r="H110" s="1" t="n">
        <v>629589.29</v>
      </c>
      <c r="I110" s="1" t="n">
        <v>705140</v>
      </c>
      <c r="J110" s="1">
        <f>ROUND(I110-H110,2)</f>
        <v/>
      </c>
      <c r="K110" s="1" t="inlineStr">
        <is>
          <t>F. Roux</t>
        </is>
      </c>
      <c r="L110" s="1" t="inlineStr">
        <is>
          <t>Notice served</t>
        </is>
      </c>
      <c r="M110" s="1" t="inlineStr">
        <is>
          <t>Champion promoted, relationship strong</t>
        </is>
      </c>
    </row>
    <row r="111">
      <c r="A111" s="1" t="inlineStr">
        <is>
          <t>REN-2027-0110</t>
        </is>
      </c>
      <c r="B111" s="1" t="inlineStr">
        <is>
          <t>PFU-MSA-2024-82</t>
        </is>
      </c>
      <c r="C111" s="1" t="inlineStr">
        <is>
          <t>Pioneer Freight Union</t>
        </is>
      </c>
      <c r="D111" s="1" t="inlineStr">
        <is>
          <t>2027Q2</t>
        </is>
      </c>
      <c r="E111" s="2" t="n">
        <v>45469</v>
      </c>
      <c r="F111" s="2" t="n">
        <v>46564</v>
      </c>
      <c r="G111" s="2" t="n">
        <v>46474</v>
      </c>
      <c r="H111" s="1" t="n">
        <v>781536.13</v>
      </c>
      <c r="I111" s="1" t="n">
        <v>898766.55</v>
      </c>
      <c r="J111" s="1">
        <f>ROUND(I111-H111,2)</f>
        <v/>
      </c>
      <c r="K111" s="1" t="inlineStr">
        <is>
          <t>T. Ferreira</t>
        </is>
      </c>
      <c r="L111" s="1" t="inlineStr">
        <is>
          <t>Downgraded scope</t>
        </is>
      </c>
      <c r="M111" s="1" t="inlineStr">
        <is>
          <t>Champion promoted, relationship strong</t>
        </is>
      </c>
    </row>
    <row r="112">
      <c r="A112" s="1" t="inlineStr">
        <is>
          <t>REN-2028-0111</t>
        </is>
      </c>
      <c r="B112" s="1" t="inlineStr">
        <is>
          <t>QBM-MSA-2025-85</t>
        </is>
      </c>
      <c r="C112" s="1" t="inlineStr">
        <is>
          <t>Quarrybridge Materials</t>
        </is>
      </c>
      <c r="D112" s="1" t="inlineStr">
        <is>
          <t>2028Q3</t>
        </is>
      </c>
      <c r="E112" s="2" t="n">
        <v>45856</v>
      </c>
      <c r="F112" s="2" t="n">
        <v>46952</v>
      </c>
      <c r="G112" s="2" t="n">
        <v>46862</v>
      </c>
      <c r="H112" s="1" t="n">
        <v>1223570.13</v>
      </c>
      <c r="I112" s="1" t="n">
        <v>1321455.74</v>
      </c>
      <c r="J112" s="1">
        <f>ROUND(I112-H112,2)</f>
        <v/>
      </c>
      <c r="K112" s="1" t="inlineStr">
        <is>
          <t>J. Alvarez</t>
        </is>
      </c>
      <c r="L112" s="1" t="inlineStr">
        <is>
          <t>Renewed</t>
        </is>
      </c>
      <c r="M112" s="1" t="inlineStr">
        <is>
          <t>Competitive evaluation underway</t>
        </is>
      </c>
    </row>
    <row r="113">
      <c r="A113" s="1" t="inlineStr">
        <is>
          <t>REN-2026-0112</t>
        </is>
      </c>
      <c r="B113" s="1" t="inlineStr">
        <is>
          <t>OGF-MSA-2024-87</t>
        </is>
      </c>
      <c r="C113" s="1" t="inlineStr">
        <is>
          <t>Orchard Grove Foods</t>
        </is>
      </c>
      <c r="D113" s="1" t="inlineStr">
        <is>
          <t>2026Q2</t>
        </is>
      </c>
      <c r="E113" s="2" t="n">
        <v>45406</v>
      </c>
      <c r="F113" s="2" t="n">
        <v>46136</v>
      </c>
      <c r="G113" s="2" t="n">
        <v>46046</v>
      </c>
      <c r="H113" s="1" t="n">
        <v>485429.97</v>
      </c>
      <c r="I113" s="1" t="n">
        <v>499992.87</v>
      </c>
      <c r="J113" s="1">
        <f>ROUND(I113-H113,2)</f>
        <v/>
      </c>
      <c r="K113" s="1" t="inlineStr">
        <is>
          <t>F. Roux</t>
        </is>
      </c>
      <c r="L113" s="1" t="inlineStr">
        <is>
          <t>Renewed</t>
        </is>
      </c>
      <c r="M113" s="1" t="inlineStr">
        <is>
          <t>Budget freeze pending refinancing</t>
        </is>
      </c>
    </row>
    <row r="114">
      <c r="A114" s="1" t="inlineStr">
        <is>
          <t>REN-2025-0113</t>
        </is>
      </c>
      <c r="B114" s="1" t="inlineStr">
        <is>
          <t>RWO-MSA-2024-17</t>
        </is>
      </c>
      <c r="C114" s="1" t="inlineStr">
        <is>
          <t>Redwood Optics</t>
        </is>
      </c>
      <c r="D114" s="1" t="inlineStr">
        <is>
          <t>2025Q1</t>
        </is>
      </c>
      <c r="E114" s="2" t="n">
        <v>45315</v>
      </c>
      <c r="F114" s="2" t="n">
        <v>45681</v>
      </c>
      <c r="G114" s="2" t="n">
        <v>45591</v>
      </c>
      <c r="H114" s="1" t="n">
        <v>811360.53</v>
      </c>
      <c r="I114" s="1" t="n">
        <v>860042.16</v>
      </c>
      <c r="J114" s="1">
        <f>ROUND(I114-H114,2)</f>
        <v/>
      </c>
      <c r="K114" s="1" t="inlineStr">
        <is>
          <t>T. Ferreira</t>
        </is>
      </c>
      <c r="L114" s="1" t="inlineStr">
        <is>
          <t>In negotiation</t>
        </is>
      </c>
      <c r="M114" s="1" t="inlineStr">
        <is>
          <t>Budget freeze pending refinancing</t>
        </is>
      </c>
    </row>
    <row r="115">
      <c r="A115" s="1" t="inlineStr">
        <is>
          <t>REN-2026-0114</t>
        </is>
      </c>
      <c r="B115" s="1" t="inlineStr">
        <is>
          <t>FTM-MSA-2024-18</t>
        </is>
      </c>
      <c r="C115" s="1" t="inlineStr">
        <is>
          <t>Fathom Mobility</t>
        </is>
      </c>
      <c r="D115" s="1" t="inlineStr">
        <is>
          <t>2026Q2</t>
        </is>
      </c>
      <c r="E115" s="2" t="n">
        <v>45394</v>
      </c>
      <c r="F115" s="2" t="n">
        <v>46124</v>
      </c>
      <c r="G115" s="2" t="n">
        <v>46094</v>
      </c>
      <c r="H115" s="1" t="n">
        <v>133478.74</v>
      </c>
      <c r="I115" s="1" t="n">
        <v>153500.55</v>
      </c>
      <c r="J115" s="1">
        <f>ROUND(I115-H115,2)</f>
        <v/>
      </c>
      <c r="K115" s="1" t="inlineStr">
        <is>
          <t>T. Ferreira</t>
        </is>
      </c>
      <c r="L115" s="1" t="inlineStr">
        <is>
          <t>Renewed</t>
        </is>
      </c>
      <c r="M115" s="1" t="inlineStr">
        <is>
          <t>Throughput below customer target</t>
        </is>
      </c>
    </row>
    <row r="116">
      <c r="A116" s="1" t="inlineStr">
        <is>
          <t>REN-2025-0115</t>
        </is>
      </c>
      <c r="B116" s="1" t="inlineStr">
        <is>
          <t>HLS-MSA-2024-64</t>
        </is>
      </c>
      <c r="C116" s="1" t="inlineStr">
        <is>
          <t>Harborline Systems</t>
        </is>
      </c>
      <c r="D116" s="1" t="inlineStr">
        <is>
          <t>2025Q2</t>
        </is>
      </c>
      <c r="E116" s="2" t="n">
        <v>45463</v>
      </c>
      <c r="F116" s="2" t="n">
        <v>45828</v>
      </c>
      <c r="G116" s="2" t="n">
        <v>45768</v>
      </c>
      <c r="H116" s="1" t="n">
        <v>993482.35</v>
      </c>
      <c r="I116" s="1" t="n">
        <v>1172309.17</v>
      </c>
      <c r="J116" s="1">
        <f>ROUND(I116-H116,2)</f>
        <v/>
      </c>
      <c r="K116" s="1" t="inlineStr">
        <is>
          <t>F. Roux</t>
        </is>
      </c>
      <c r="L116" s="1" t="inlineStr">
        <is>
          <t>Notice served</t>
        </is>
      </c>
      <c r="M116" s="1" t="inlineStr">
        <is>
          <t>Open service credit dispute</t>
        </is>
      </c>
    </row>
    <row r="117">
      <c r="A117" s="1" t="inlineStr">
        <is>
          <t>REN-2025-0116</t>
        </is>
      </c>
      <c r="B117" s="1" t="inlineStr">
        <is>
          <t>ABT-MSA-2024-39</t>
        </is>
      </c>
      <c r="C117" s="1" t="inlineStr">
        <is>
          <t>Alderbrook Textiles</t>
        </is>
      </c>
      <c r="D117" s="1" t="inlineStr">
        <is>
          <t>2025Q2</t>
        </is>
      </c>
      <c r="E117" s="2" t="n">
        <v>45387</v>
      </c>
      <c r="F117" s="2" t="n">
        <v>45752</v>
      </c>
      <c r="G117" s="2" t="n">
        <v>45692</v>
      </c>
      <c r="H117" s="1" t="n">
        <v>911792.1899999999</v>
      </c>
      <c r="I117" s="1" t="n">
        <v>1057678.94</v>
      </c>
      <c r="J117" s="1">
        <f>ROUND(I117-H117,2)</f>
        <v/>
      </c>
      <c r="K117" s="1" t="inlineStr">
        <is>
          <t>T. Ferreira</t>
        </is>
      </c>
      <c r="L117" s="1" t="inlineStr">
        <is>
          <t>At risk</t>
        </is>
      </c>
      <c r="M117" s="1" t="inlineStr">
        <is>
          <t>Open service credit dispute</t>
        </is>
      </c>
    </row>
    <row r="118">
      <c r="A118" s="1" t="inlineStr">
        <is>
          <t>REN-2026-0117</t>
        </is>
      </c>
      <c r="B118" s="1" t="inlineStr">
        <is>
          <t>EVW-MSA-2024-27</t>
        </is>
      </c>
      <c r="C118" s="1" t="inlineStr">
        <is>
          <t>Evergreen Warehousing</t>
        </is>
      </c>
      <c r="D118" s="1" t="inlineStr">
        <is>
          <t>2026Q2</t>
        </is>
      </c>
      <c r="E118" s="2" t="n">
        <v>45453</v>
      </c>
      <c r="F118" s="2" t="n">
        <v>46183</v>
      </c>
      <c r="G118" s="2" t="n">
        <v>46093</v>
      </c>
      <c r="H118" s="1" t="n">
        <v>869400.72</v>
      </c>
      <c r="I118" s="1" t="n">
        <v>947646.78</v>
      </c>
      <c r="J118" s="1">
        <f>ROUND(I118-H118,2)</f>
        <v/>
      </c>
      <c r="K118" s="1" t="inlineStr">
        <is>
          <t>J. Alvarez</t>
        </is>
      </c>
      <c r="L118" s="1" t="inlineStr">
        <is>
          <t>Notice served</t>
        </is>
      </c>
      <c r="M118" s="1" t="inlineStr">
        <is>
          <t>Throughput below customer target</t>
        </is>
      </c>
    </row>
    <row r="119">
      <c r="A119" s="1" t="inlineStr">
        <is>
          <t>REN-2027-0118</t>
        </is>
      </c>
      <c r="B119" s="1" t="inlineStr">
        <is>
          <t>OGF-MSA-2025-78</t>
        </is>
      </c>
      <c r="C119" s="1" t="inlineStr">
        <is>
          <t>Orchard Grove Foods</t>
        </is>
      </c>
      <c r="D119" s="1" t="inlineStr">
        <is>
          <t>2027Q1</t>
        </is>
      </c>
      <c r="E119" s="2" t="n">
        <v>45720</v>
      </c>
      <c r="F119" s="2" t="n">
        <v>46450</v>
      </c>
      <c r="G119" s="2" t="n">
        <v>46420</v>
      </c>
      <c r="H119" s="1" t="n">
        <v>1185135.49</v>
      </c>
      <c r="I119" s="1" t="n">
        <v>1386608.52</v>
      </c>
      <c r="J119" s="1">
        <f>ROUND(I119-H119,2)</f>
        <v/>
      </c>
      <c r="K119" s="1" t="inlineStr">
        <is>
          <t>T. Ferreira</t>
        </is>
      </c>
      <c r="L119" s="1" t="inlineStr">
        <is>
          <t>Notice served</t>
        </is>
      </c>
      <c r="M119" s="1" t="inlineStr">
        <is>
          <t>Champion promoted, relationship strong</t>
        </is>
      </c>
    </row>
    <row r="120">
      <c r="A120" s="1" t="inlineStr">
        <is>
          <t>REN-2028-0119</t>
        </is>
      </c>
      <c r="B120" s="1" t="inlineStr">
        <is>
          <t>UVP-MSA-2025-60</t>
        </is>
      </c>
      <c r="C120" s="1" t="inlineStr">
        <is>
          <t>Union Vale Pharma</t>
        </is>
      </c>
      <c r="D120" s="1" t="inlineStr">
        <is>
          <t>2028Q2</t>
        </is>
      </c>
      <c r="E120" s="2" t="n">
        <v>45814</v>
      </c>
      <c r="F120" s="2" t="n">
        <v>46910</v>
      </c>
      <c r="G120" s="2" t="n">
        <v>46880</v>
      </c>
      <c r="H120" s="1" t="n">
        <v>1072205.18</v>
      </c>
      <c r="I120" s="1" t="n">
        <v>1082927.23</v>
      </c>
      <c r="J120" s="1">
        <f>ROUND(I120-H120,2)</f>
        <v/>
      </c>
      <c r="K120" s="1" t="inlineStr">
        <is>
          <t>T. Ferreira</t>
        </is>
      </c>
      <c r="L120" s="1" t="inlineStr">
        <is>
          <t>Notice served</t>
        </is>
      </c>
      <c r="M120" s="1" t="inlineStr">
        <is>
          <t>Open service credit dispute</t>
        </is>
      </c>
    </row>
    <row r="121">
      <c r="A121" s="1" t="inlineStr">
        <is>
          <t>REN-2027-0120</t>
        </is>
      </c>
      <c r="B121" s="1" t="inlineStr">
        <is>
          <t>NFB-MSA-2024-80</t>
        </is>
      </c>
      <c r="C121" s="1" t="inlineStr">
        <is>
          <t>Northfield Beverage</t>
        </is>
      </c>
      <c r="D121" s="1" t="inlineStr">
        <is>
          <t>2027Q4</t>
        </is>
      </c>
      <c r="E121" s="2" t="n">
        <v>45589</v>
      </c>
      <c r="F121" s="2" t="n">
        <v>46684</v>
      </c>
      <c r="G121" s="2" t="n">
        <v>46594</v>
      </c>
      <c r="H121" s="1" t="n">
        <v>908878.4399999999</v>
      </c>
      <c r="I121" s="1" t="n">
        <v>1027032.64</v>
      </c>
      <c r="J121" s="1">
        <f>ROUND(I121-H121,2)</f>
        <v/>
      </c>
      <c r="K121" s="1" t="inlineStr">
        <is>
          <t>F. Roux</t>
        </is>
      </c>
      <c r="L121" s="1" t="inlineStr">
        <is>
          <t>Notice served</t>
        </is>
      </c>
      <c r="M121" s="1" t="inlineStr">
        <is>
          <t>Budget freeze pending refinancing</t>
        </is>
      </c>
    </row>
    <row r="122">
      <c r="A122" s="1" t="inlineStr">
        <is>
          <t>REN-2027-0121</t>
        </is>
      </c>
      <c r="B122" s="1" t="inlineStr">
        <is>
          <t>EWP-MSA-2024-83</t>
        </is>
      </c>
      <c r="C122" s="1" t="inlineStr">
        <is>
          <t>Elmsworth Publishing</t>
        </is>
      </c>
      <c r="D122" s="1" t="inlineStr">
        <is>
          <t>2027Q1</t>
        </is>
      </c>
      <c r="E122" s="2" t="n">
        <v>45321</v>
      </c>
      <c r="F122" s="2" t="n">
        <v>46417</v>
      </c>
      <c r="G122" s="2" t="n">
        <v>46387</v>
      </c>
      <c r="H122" s="1" t="n">
        <v>835217.75</v>
      </c>
      <c r="I122" s="1" t="n">
        <v>835217.75</v>
      </c>
      <c r="J122" s="1">
        <f>ROUND(I122-H122,2)</f>
        <v/>
      </c>
      <c r="K122" s="1" t="inlineStr">
        <is>
          <t>T. Ferreira</t>
        </is>
      </c>
      <c r="L122" s="1" t="inlineStr">
        <is>
          <t>At risk</t>
        </is>
      </c>
      <c r="M122" s="1" t="inlineStr">
        <is>
          <t>Champion promoted, relationship strong</t>
        </is>
      </c>
    </row>
    <row r="123">
      <c r="A123" s="1" t="inlineStr">
        <is>
          <t>REN-2026-0122</t>
        </is>
      </c>
      <c r="B123" s="1" t="inlineStr">
        <is>
          <t>HLS-MSA-2025-14</t>
        </is>
      </c>
      <c r="C123" s="1" t="inlineStr">
        <is>
          <t>Harborline Systems</t>
        </is>
      </c>
      <c r="D123" s="1" t="inlineStr">
        <is>
          <t>2026Q3</t>
        </is>
      </c>
      <c r="E123" s="2" t="n">
        <v>45898</v>
      </c>
      <c r="F123" s="2" t="n">
        <v>46263</v>
      </c>
      <c r="G123" s="2" t="n">
        <v>46203</v>
      </c>
      <c r="H123" s="1" t="n">
        <v>632867.89</v>
      </c>
      <c r="I123" s="1" t="n">
        <v>632867.89</v>
      </c>
      <c r="J123" s="1">
        <f>ROUND(I123-H123,2)</f>
        <v/>
      </c>
      <c r="K123" s="1" t="inlineStr">
        <is>
          <t>T. Ferreira</t>
        </is>
      </c>
      <c r="L123" s="1" t="inlineStr">
        <is>
          <t>At risk</t>
        </is>
      </c>
      <c r="M123" s="1" t="inlineStr">
        <is>
          <t>Open service credit dispute</t>
        </is>
      </c>
    </row>
    <row r="124">
      <c r="A124" s="1" t="inlineStr">
        <is>
          <t>REN-2026-0123</t>
        </is>
      </c>
      <c r="B124" s="1" t="inlineStr">
        <is>
          <t>UVP-MSA-2024-54</t>
        </is>
      </c>
      <c r="C124" s="1" t="inlineStr">
        <is>
          <t>Union Vale Pharma</t>
        </is>
      </c>
      <c r="D124" s="1" t="inlineStr">
        <is>
          <t>2026Q2</t>
        </is>
      </c>
      <c r="E124" s="2" t="n">
        <v>45471</v>
      </c>
      <c r="F124" s="2" t="n">
        <v>46201</v>
      </c>
      <c r="G124" s="2" t="n">
        <v>46111</v>
      </c>
      <c r="H124" s="1" t="n">
        <v>481849.05</v>
      </c>
      <c r="I124" s="1" t="n">
        <v>568581.88</v>
      </c>
      <c r="J124" s="1">
        <f>ROUND(I124-H124,2)</f>
        <v/>
      </c>
      <c r="K124" s="1" t="inlineStr">
        <is>
          <t>T. Ferreira</t>
        </is>
      </c>
      <c r="L124" s="1" t="inlineStr">
        <is>
          <t>Downgraded scope</t>
        </is>
      </c>
      <c r="M124" s="1" t="inlineStr">
        <is>
          <t>Throughput below customer target</t>
        </is>
      </c>
    </row>
    <row r="125">
      <c r="A125" s="1" t="inlineStr">
        <is>
          <t>REN-2025-0124</t>
        </is>
      </c>
      <c r="B125" s="1" t="inlineStr">
        <is>
          <t>YHG-MSA-2024-22</t>
        </is>
      </c>
      <c r="C125" s="1" t="inlineStr">
        <is>
          <t>Yarrow Home Goods</t>
        </is>
      </c>
      <c r="D125" s="1" t="inlineStr">
        <is>
          <t>2025Q3</t>
        </is>
      </c>
      <c r="E125" s="2" t="n">
        <v>45483</v>
      </c>
      <c r="F125" s="2" t="n">
        <v>45848</v>
      </c>
      <c r="G125" s="2" t="n">
        <v>45758</v>
      </c>
      <c r="H125" s="1" t="n">
        <v>420578.9</v>
      </c>
      <c r="I125" s="1" t="n">
        <v>428990.48</v>
      </c>
      <c r="J125" s="1">
        <f>ROUND(I125-H125,2)</f>
        <v/>
      </c>
      <c r="K125" s="1" t="inlineStr">
        <is>
          <t>F. Roux</t>
        </is>
      </c>
      <c r="L125" s="1" t="inlineStr">
        <is>
          <t>Notice served</t>
        </is>
      </c>
      <c r="M125" s="1" t="inlineStr">
        <is>
          <t>Throughput below customer target</t>
        </is>
      </c>
    </row>
    <row r="126">
      <c r="A126" s="1" t="inlineStr">
        <is>
          <t>REN-2028-0125</t>
        </is>
      </c>
      <c r="B126" s="1" t="inlineStr">
        <is>
          <t>IVG-MSA-2025-13</t>
        </is>
      </c>
      <c r="C126" s="1" t="inlineStr">
        <is>
          <t>Ironvale Grocery Group</t>
        </is>
      </c>
      <c r="D126" s="1" t="inlineStr">
        <is>
          <t>2028Q1</t>
        </is>
      </c>
      <c r="E126" s="2" t="n">
        <v>45680</v>
      </c>
      <c r="F126" s="2" t="n">
        <v>46775</v>
      </c>
      <c r="G126" s="2" t="n">
        <v>46745</v>
      </c>
      <c r="H126" s="1" t="n">
        <v>493866.63</v>
      </c>
      <c r="I126" s="1" t="n">
        <v>548191.96</v>
      </c>
      <c r="J126" s="1">
        <f>ROUND(I126-H126,2)</f>
        <v/>
      </c>
      <c r="K126" s="1" t="inlineStr">
        <is>
          <t>J. Alvarez</t>
        </is>
      </c>
      <c r="L126" s="1" t="inlineStr">
        <is>
          <t>Downgraded scope</t>
        </is>
      </c>
      <c r="M126" s="1" t="inlineStr">
        <is>
          <t>Budget freeze pending refinancing</t>
        </is>
      </c>
    </row>
    <row r="127">
      <c r="A127" s="1" t="inlineStr">
        <is>
          <t>REN-2028-0126</t>
        </is>
      </c>
      <c r="B127" s="1" t="inlineStr">
        <is>
          <t>LKA-MSA-2025-37</t>
        </is>
      </c>
      <c r="C127" s="1" t="inlineStr">
        <is>
          <t>Larkspur Apparel</t>
        </is>
      </c>
      <c r="D127" s="1" t="inlineStr">
        <is>
          <t>2028Q2</t>
        </is>
      </c>
      <c r="E127" s="2" t="n">
        <v>45761</v>
      </c>
      <c r="F127" s="2" t="n">
        <v>46857</v>
      </c>
      <c r="G127" s="2" t="n">
        <v>46797</v>
      </c>
      <c r="H127" s="1" t="n">
        <v>1205177.89</v>
      </c>
      <c r="I127" s="1" t="n">
        <v>1205177.89</v>
      </c>
      <c r="J127" s="1">
        <f>ROUND(I127-H127,2)</f>
        <v/>
      </c>
      <c r="K127" s="1" t="inlineStr">
        <is>
          <t>F. Roux</t>
        </is>
      </c>
      <c r="L127" s="1" t="inlineStr">
        <is>
          <t>Renewed</t>
        </is>
      </c>
      <c r="M127" s="1" t="inlineStr">
        <is>
          <t>Sponsor changed in the second quarter</t>
        </is>
      </c>
    </row>
    <row r="128">
      <c r="A128" s="1" t="inlineStr">
        <is>
          <t>REN-2027-0127</t>
        </is>
      </c>
      <c r="B128" s="1" t="inlineStr">
        <is>
          <t>AST-MSA-2025-12</t>
        </is>
      </c>
      <c r="C128" s="1" t="inlineStr">
        <is>
          <t>Asterion Logistics</t>
        </is>
      </c>
      <c r="D128" s="1" t="inlineStr">
        <is>
          <t>2027Q2</t>
        </is>
      </c>
      <c r="E128" s="2" t="n">
        <v>45800</v>
      </c>
      <c r="F128" s="2" t="n">
        <v>46530</v>
      </c>
      <c r="G128" s="2" t="n">
        <v>46500</v>
      </c>
      <c r="H128" s="1" t="n">
        <v>956980.6</v>
      </c>
      <c r="I128" s="1" t="n">
        <v>995259.8199999999</v>
      </c>
      <c r="J128" s="1">
        <f>ROUND(I128-H128,2)</f>
        <v/>
      </c>
      <c r="K128" s="1" t="inlineStr">
        <is>
          <t>T. Ferreira</t>
        </is>
      </c>
      <c r="L128" s="1" t="inlineStr">
        <is>
          <t>Notice served</t>
        </is>
      </c>
      <c r="M128" s="1" t="inlineStr">
        <is>
          <t>Competitive evaluation underway</t>
        </is>
      </c>
    </row>
    <row r="129">
      <c r="A129" s="1" t="inlineStr">
        <is>
          <t>REN-2026-0128</t>
        </is>
      </c>
      <c r="B129" s="1" t="inlineStr">
        <is>
          <t>TCE-MSA-2025-76</t>
        </is>
      </c>
      <c r="C129" s="1" t="inlineStr">
        <is>
          <t>Tamarack Electronics</t>
        </is>
      </c>
      <c r="D129" s="1" t="inlineStr">
        <is>
          <t>2026Q3</t>
        </is>
      </c>
      <c r="E129" s="2" t="n">
        <v>45889</v>
      </c>
      <c r="F129" s="2" t="n">
        <v>46254</v>
      </c>
      <c r="G129" s="2" t="n">
        <v>46164</v>
      </c>
      <c r="H129" s="1" t="n">
        <v>323240.01</v>
      </c>
      <c r="I129" s="1" t="n">
        <v>349099.21</v>
      </c>
      <c r="J129" s="1">
        <f>ROUND(I129-H129,2)</f>
        <v/>
      </c>
      <c r="K129" s="1" t="inlineStr">
        <is>
          <t>T. Ferreira</t>
        </is>
      </c>
      <c r="L129" s="1" t="inlineStr">
        <is>
          <t>Renewed</t>
        </is>
      </c>
      <c r="M129" s="1" t="inlineStr">
        <is>
          <t>Competitive evaluation underway</t>
        </is>
      </c>
    </row>
    <row r="130">
      <c r="A130" s="1" t="inlineStr">
        <is>
          <t>REN-2028-0129</t>
        </is>
      </c>
      <c r="B130" s="1" t="inlineStr">
        <is>
          <t>AST-MSA-2025-13</t>
        </is>
      </c>
      <c r="C130" s="1" t="inlineStr">
        <is>
          <t>Asterion Logistics</t>
        </is>
      </c>
      <c r="D130" s="1" t="inlineStr">
        <is>
          <t>2028Q4</t>
        </is>
      </c>
      <c r="E130" s="2" t="n">
        <v>45989</v>
      </c>
      <c r="F130" s="2" t="n">
        <v>47085</v>
      </c>
      <c r="G130" s="2" t="n">
        <v>47025</v>
      </c>
      <c r="H130" s="1" t="n">
        <v>515654.44</v>
      </c>
      <c r="I130" s="1" t="n">
        <v>618785.33</v>
      </c>
      <c r="J130" s="1">
        <f>ROUND(I130-H130,2)</f>
        <v/>
      </c>
      <c r="K130" s="1" t="inlineStr">
        <is>
          <t>J. Alvarez</t>
        </is>
      </c>
      <c r="L130" s="1" t="inlineStr">
        <is>
          <t>In negotiation</t>
        </is>
      </c>
      <c r="M130" s="1" t="inlineStr">
        <is>
          <t>Budget freeze pending refinancing</t>
        </is>
      </c>
    </row>
    <row r="131">
      <c r="A131" s="1" t="inlineStr">
        <is>
          <t>REN-2026-0130</t>
        </is>
      </c>
      <c r="B131" s="1" t="inlineStr">
        <is>
          <t>YHG-MSA-2025-39</t>
        </is>
      </c>
      <c r="C131" s="1" t="inlineStr">
        <is>
          <t>Yarrow Home Goods</t>
        </is>
      </c>
      <c r="D131" s="1" t="inlineStr">
        <is>
          <t>2026Q2</t>
        </is>
      </c>
      <c r="E131" s="2" t="n">
        <v>45804</v>
      </c>
      <c r="F131" s="2" t="n">
        <v>46169</v>
      </c>
      <c r="G131" s="2" t="n">
        <v>46139</v>
      </c>
      <c r="H131" s="1" t="n">
        <v>584998.41</v>
      </c>
      <c r="I131" s="1" t="n">
        <v>614248.33</v>
      </c>
      <c r="J131" s="1">
        <f>ROUND(I131-H131,2)</f>
        <v/>
      </c>
      <c r="K131" s="1" t="inlineStr">
        <is>
          <t>F. Roux</t>
        </is>
      </c>
      <c r="L131" s="1" t="inlineStr">
        <is>
          <t>Renewed</t>
        </is>
      </c>
      <c r="M131" s="1" t="inlineStr">
        <is>
          <t>Sponsor changed in the second quarter</t>
        </is>
      </c>
    </row>
    <row r="132">
      <c r="A132" s="1" t="inlineStr">
        <is>
          <t>REN-2027-0131</t>
        </is>
      </c>
      <c r="B132" s="1" t="inlineStr">
        <is>
          <t>ZAC-MSA-2024-87</t>
        </is>
      </c>
      <c r="C132" s="1" t="inlineStr">
        <is>
          <t>Zephyr Air Cargo</t>
        </is>
      </c>
      <c r="D132" s="1" t="inlineStr">
        <is>
          <t>2027Q4</t>
        </is>
      </c>
      <c r="E132" s="2" t="n">
        <v>45576</v>
      </c>
      <c r="F132" s="2" t="n">
        <v>46671</v>
      </c>
      <c r="G132" s="2" t="n">
        <v>46581</v>
      </c>
      <c r="H132" s="1" t="n">
        <v>767787.05</v>
      </c>
      <c r="I132" s="1" t="n">
        <v>829210.01</v>
      </c>
      <c r="J132" s="1">
        <f>ROUND(I132-H132,2)</f>
        <v/>
      </c>
      <c r="K132" s="1" t="inlineStr">
        <is>
          <t>J. Alvarez</t>
        </is>
      </c>
      <c r="L132" s="1" t="inlineStr">
        <is>
          <t>At risk</t>
        </is>
      </c>
      <c r="M132" s="1" t="inlineStr">
        <is>
          <t>Budget freeze pending refinancing</t>
        </is>
      </c>
    </row>
    <row r="133">
      <c r="A133" s="1" t="inlineStr">
        <is>
          <t>REN-2028-0132</t>
        </is>
      </c>
      <c r="B133" s="1" t="inlineStr">
        <is>
          <t>QBM-MSA-2025-48</t>
        </is>
      </c>
      <c r="C133" s="1" t="inlineStr">
        <is>
          <t>Quarrybridge Materials</t>
        </is>
      </c>
      <c r="D133" s="1" t="inlineStr">
        <is>
          <t>2028Q2</t>
        </is>
      </c>
      <c r="E133" s="2" t="n">
        <v>45805</v>
      </c>
      <c r="F133" s="2" t="n">
        <v>46901</v>
      </c>
      <c r="G133" s="2" t="n">
        <v>46871</v>
      </c>
      <c r="H133" s="1" t="n">
        <v>925668.61</v>
      </c>
      <c r="I133" s="1" t="n">
        <v>1018235.47</v>
      </c>
      <c r="J133" s="1">
        <f>ROUND(I133-H133,2)</f>
        <v/>
      </c>
      <c r="K133" s="1" t="inlineStr">
        <is>
          <t>T. Ferreira</t>
        </is>
      </c>
      <c r="L133" s="1" t="inlineStr">
        <is>
          <t>Renewed</t>
        </is>
      </c>
      <c r="M133" s="1" t="inlineStr">
        <is>
          <t>Champion promoted, relationship strong</t>
        </is>
      </c>
    </row>
    <row r="134">
      <c r="A134" s="1" t="inlineStr">
        <is>
          <t>REN-2027-0133</t>
        </is>
      </c>
      <c r="B134" s="1" t="inlineStr">
        <is>
          <t>FTM-MSA-2025-20</t>
        </is>
      </c>
      <c r="C134" s="1" t="inlineStr">
        <is>
          <t>Fathom Mobility</t>
        </is>
      </c>
      <c r="D134" s="1" t="inlineStr">
        <is>
          <t>2027Q1</t>
        </is>
      </c>
      <c r="E134" s="2" t="n">
        <v>45723</v>
      </c>
      <c r="F134" s="2" t="n">
        <v>46453</v>
      </c>
      <c r="G134" s="2" t="n">
        <v>46393</v>
      </c>
      <c r="H134" s="1" t="n">
        <v>468211.11</v>
      </c>
      <c r="I134" s="1" t="n">
        <v>486939.55</v>
      </c>
      <c r="J134" s="1">
        <f>ROUND(I134-H134,2)</f>
        <v/>
      </c>
      <c r="K134" s="1" t="inlineStr">
        <is>
          <t>T. Ferreira</t>
        </is>
      </c>
      <c r="L134" s="1" t="inlineStr">
        <is>
          <t>Notice served</t>
        </is>
      </c>
      <c r="M134" s="1" t="inlineStr">
        <is>
          <t>Budget freeze pending refinancing</t>
        </is>
      </c>
    </row>
    <row r="135">
      <c r="A135" s="1" t="inlineStr">
        <is>
          <t>REN-2026-0134</t>
        </is>
      </c>
      <c r="B135" s="1" t="inlineStr">
        <is>
          <t>EWP-MSA-2025-75</t>
        </is>
      </c>
      <c r="C135" s="1" t="inlineStr">
        <is>
          <t>Elmsworth Publishing</t>
        </is>
      </c>
      <c r="D135" s="1" t="inlineStr">
        <is>
          <t>2026Q4</t>
        </is>
      </c>
      <c r="E135" s="2" t="n">
        <v>45989</v>
      </c>
      <c r="F135" s="2" t="n">
        <v>46354</v>
      </c>
      <c r="G135" s="2" t="n">
        <v>46324</v>
      </c>
      <c r="H135" s="1" t="n">
        <v>114429.81</v>
      </c>
      <c r="I135" s="1" t="n">
        <v>114429.81</v>
      </c>
      <c r="J135" s="1">
        <f>ROUND(I135-H135,2)</f>
        <v/>
      </c>
      <c r="K135" s="1" t="inlineStr">
        <is>
          <t>J. Alvarez</t>
        </is>
      </c>
      <c r="L135" s="1" t="inlineStr">
        <is>
          <t>Notice served</t>
        </is>
      </c>
      <c r="M135" s="1" t="inlineStr">
        <is>
          <t>Champion promoted, relationship strong</t>
        </is>
      </c>
    </row>
    <row r="136">
      <c r="A136" s="1" t="inlineStr">
        <is>
          <t>REN-2025-0135</t>
        </is>
      </c>
      <c r="B136" s="1" t="inlineStr">
        <is>
          <t>CFF-MSA-2024-13</t>
        </is>
      </c>
      <c r="C136" s="1" t="inlineStr">
        <is>
          <t>Crestline Fulfillment</t>
        </is>
      </c>
      <c r="D136" s="1" t="inlineStr">
        <is>
          <t>2025Q4</t>
        </is>
      </c>
      <c r="E136" s="2" t="n">
        <v>45625</v>
      </c>
      <c r="F136" s="2" t="n">
        <v>45990</v>
      </c>
      <c r="G136" s="2" t="n">
        <v>45960</v>
      </c>
      <c r="H136" s="1" t="n">
        <v>196337.16</v>
      </c>
      <c r="I136" s="1" t="n">
        <v>215970.88</v>
      </c>
      <c r="J136" s="1">
        <f>ROUND(I136-H136,2)</f>
        <v/>
      </c>
      <c r="K136" s="1" t="inlineStr">
        <is>
          <t>T. Ferreira</t>
        </is>
      </c>
      <c r="L136" s="1" t="inlineStr">
        <is>
          <t>At risk</t>
        </is>
      </c>
      <c r="M136" s="1" t="inlineStr">
        <is>
          <t>Throughput below customer target</t>
        </is>
      </c>
    </row>
    <row r="137">
      <c r="A137" s="1" t="inlineStr">
        <is>
          <t>REN-2027-0136</t>
        </is>
      </c>
      <c r="B137" s="1" t="inlineStr">
        <is>
          <t>BMC-MSA-2025-59</t>
        </is>
      </c>
      <c r="C137" s="1" t="inlineStr">
        <is>
          <t>Blue Mesa Components</t>
        </is>
      </c>
      <c r="D137" s="1" t="inlineStr">
        <is>
          <t>2027Q3</t>
        </is>
      </c>
      <c r="E137" s="2" t="n">
        <v>45891</v>
      </c>
      <c r="F137" s="2" t="n">
        <v>46621</v>
      </c>
      <c r="G137" s="2" t="n">
        <v>46561</v>
      </c>
      <c r="H137" s="1" t="n">
        <v>822851.63</v>
      </c>
      <c r="I137" s="1" t="n">
        <v>880451.24</v>
      </c>
      <c r="J137" s="1">
        <f>ROUND(I137-H137,2)</f>
        <v/>
      </c>
      <c r="K137" s="1" t="inlineStr">
        <is>
          <t>F. Roux</t>
        </is>
      </c>
      <c r="L137" s="1" t="inlineStr">
        <is>
          <t>At risk</t>
        </is>
      </c>
      <c r="M137" s="1" t="inlineStr">
        <is>
          <t>Budget freeze pending refinancing</t>
        </is>
      </c>
    </row>
    <row r="138">
      <c r="A138" s="1" t="inlineStr">
        <is>
          <t>REN-2027-0137</t>
        </is>
      </c>
      <c r="B138" s="1" t="inlineStr">
        <is>
          <t>BMC-MSA-2025-58</t>
        </is>
      </c>
      <c r="C138" s="1" t="inlineStr">
        <is>
          <t>Blue Mesa Components</t>
        </is>
      </c>
      <c r="D138" s="1" t="inlineStr">
        <is>
          <t>2027Q3</t>
        </is>
      </c>
      <c r="E138" s="2" t="n">
        <v>45839</v>
      </c>
      <c r="F138" s="2" t="n">
        <v>46569</v>
      </c>
      <c r="G138" s="2" t="n">
        <v>46539</v>
      </c>
      <c r="H138" s="1" t="n">
        <v>951188.99</v>
      </c>
      <c r="I138" s="1" t="n">
        <v>1055819.78</v>
      </c>
      <c r="J138" s="1">
        <f>ROUND(I138-H138,2)</f>
        <v/>
      </c>
      <c r="K138" s="1" t="inlineStr">
        <is>
          <t>J. Alvarez</t>
        </is>
      </c>
      <c r="L138" s="1" t="inlineStr">
        <is>
          <t>Renewed</t>
        </is>
      </c>
      <c r="M138" s="1" t="inlineStr">
        <is>
          <t>Competitive evaluation underway</t>
        </is>
      </c>
    </row>
    <row r="139">
      <c r="A139" s="1" t="inlineStr">
        <is>
          <t>REN-2026-0138</t>
        </is>
      </c>
      <c r="B139" s="1" t="inlineStr">
        <is>
          <t>TCE-MSA-2025-35</t>
        </is>
      </c>
      <c r="C139" s="1" t="inlineStr">
        <is>
          <t>Tamarack Electronics</t>
        </is>
      </c>
      <c r="D139" s="1" t="inlineStr">
        <is>
          <t>2026Q3</t>
        </is>
      </c>
      <c r="E139" s="2" t="n">
        <v>45895</v>
      </c>
      <c r="F139" s="2" t="n">
        <v>46260</v>
      </c>
      <c r="G139" s="2" t="n">
        <v>46230</v>
      </c>
      <c r="H139" s="1" t="n">
        <v>201011.86</v>
      </c>
      <c r="I139" s="1" t="n">
        <v>211062.45</v>
      </c>
      <c r="J139" s="1">
        <f>ROUND(I139-H139,2)</f>
        <v/>
      </c>
      <c r="K139" s="1" t="inlineStr">
        <is>
          <t>F. Roux</t>
        </is>
      </c>
      <c r="L139" s="1" t="inlineStr">
        <is>
          <t>At risk</t>
        </is>
      </c>
      <c r="M139" s="1" t="inlineStr">
        <is>
          <t>Throughput below customer target</t>
        </is>
      </c>
    </row>
    <row r="140">
      <c r="A140" s="1" t="inlineStr">
        <is>
          <t>REN-2026-0139</t>
        </is>
      </c>
      <c r="B140" s="1" t="inlineStr">
        <is>
          <t>SRR-MSA-2025-76</t>
        </is>
      </c>
      <c r="C140" s="1" t="inlineStr">
        <is>
          <t>Summit Ridge Retail</t>
        </is>
      </c>
      <c r="D140" s="1" t="inlineStr">
        <is>
          <t>2026Q1</t>
        </is>
      </c>
      <c r="E140" s="2" t="n">
        <v>45666</v>
      </c>
      <c r="F140" s="2" t="n">
        <v>46031</v>
      </c>
      <c r="G140" s="2" t="n">
        <v>46001</v>
      </c>
      <c r="H140" s="1" t="n">
        <v>269225.64</v>
      </c>
      <c r="I140" s="1" t="n">
        <v>271917.9</v>
      </c>
      <c r="J140" s="1">
        <f>ROUND(I140-H140,2)</f>
        <v/>
      </c>
      <c r="K140" s="1" t="inlineStr">
        <is>
          <t>J. Alvarez</t>
        </is>
      </c>
      <c r="L140" s="1" t="inlineStr">
        <is>
          <t>In negotiation</t>
        </is>
      </c>
      <c r="M140" s="1" t="inlineStr">
        <is>
          <t>Champion promoted, relationship strong</t>
        </is>
      </c>
    </row>
    <row r="141">
      <c r="A141" s="1" t="inlineStr">
        <is>
          <t>REN-2026-0140</t>
        </is>
      </c>
      <c r="B141" s="1" t="inlineStr">
        <is>
          <t>CFF-MSA-2024-70</t>
        </is>
      </c>
      <c r="C141" s="1" t="inlineStr">
        <is>
          <t>Crestline Fulfillment</t>
        </is>
      </c>
      <c r="D141" s="1" t="inlineStr">
        <is>
          <t>2026Q1</t>
        </is>
      </c>
      <c r="E141" s="2" t="n">
        <v>45327</v>
      </c>
      <c r="F141" s="2" t="n">
        <v>46058</v>
      </c>
      <c r="G141" s="2" t="n">
        <v>45968</v>
      </c>
      <c r="H141" s="1" t="n">
        <v>1011458.56</v>
      </c>
      <c r="I141" s="1" t="n">
        <v>1011458.56</v>
      </c>
      <c r="J141" s="1">
        <f>ROUND(I141-H141,2)</f>
        <v/>
      </c>
      <c r="K141" s="1" t="inlineStr">
        <is>
          <t>T. Ferreira</t>
        </is>
      </c>
      <c r="L141" s="1" t="inlineStr">
        <is>
          <t>In negotiation</t>
        </is>
      </c>
      <c r="M141" s="1" t="inlineStr">
        <is>
          <t>Sponsor changed in the second quarter</t>
        </is>
      </c>
    </row>
    <row r="142">
      <c r="A142" s="1" t="inlineStr">
        <is>
          <t>REN-2028-0141</t>
        </is>
      </c>
      <c r="B142" s="1" t="inlineStr">
        <is>
          <t>EVW-MSA-2025-40</t>
        </is>
      </c>
      <c r="C142" s="1" t="inlineStr">
        <is>
          <t>Evergreen Warehousing</t>
        </is>
      </c>
      <c r="D142" s="1" t="inlineStr">
        <is>
          <t>2028Q3</t>
        </is>
      </c>
      <c r="E142" s="2" t="n">
        <v>45842</v>
      </c>
      <c r="F142" s="2" t="n">
        <v>46938</v>
      </c>
      <c r="G142" s="2" t="n">
        <v>46848</v>
      </c>
      <c r="H142" s="1" t="n">
        <v>751192.3</v>
      </c>
      <c r="I142" s="1" t="n">
        <v>863871.15</v>
      </c>
      <c r="J142" s="1">
        <f>ROUND(I142-H142,2)</f>
        <v/>
      </c>
      <c r="K142" s="1" t="inlineStr">
        <is>
          <t>T. Ferreira</t>
        </is>
      </c>
      <c r="L142" s="1" t="inlineStr">
        <is>
          <t>In negotiation</t>
        </is>
      </c>
      <c r="M142" s="1" t="inlineStr">
        <is>
          <t>Throughput below customer target</t>
        </is>
      </c>
    </row>
    <row r="143">
      <c r="A143" s="1" t="inlineStr">
        <is>
          <t>REN-2026-0142</t>
        </is>
      </c>
      <c r="B143" s="1" t="inlineStr">
        <is>
          <t>DGC-MSA-2025-23</t>
        </is>
      </c>
      <c r="C143" s="1" t="inlineStr">
        <is>
          <t>Dorsey Grain Cooperative</t>
        </is>
      </c>
      <c r="D143" s="1" t="inlineStr">
        <is>
          <t>2026Q2</t>
        </is>
      </c>
      <c r="E143" s="2" t="n">
        <v>45765</v>
      </c>
      <c r="F143" s="2" t="n">
        <v>46130</v>
      </c>
      <c r="G143" s="2" t="n">
        <v>46070</v>
      </c>
      <c r="H143" s="1" t="n">
        <v>300907.19</v>
      </c>
      <c r="I143" s="1" t="n">
        <v>346043.27</v>
      </c>
      <c r="J143" s="1">
        <f>ROUND(I143-H143,2)</f>
        <v/>
      </c>
      <c r="K143" s="1" t="inlineStr">
        <is>
          <t>F. Roux</t>
        </is>
      </c>
      <c r="L143" s="1" t="inlineStr">
        <is>
          <t>Notice served</t>
        </is>
      </c>
      <c r="M143" s="1" t="inlineStr">
        <is>
          <t>Open service credit dispute</t>
        </is>
      </c>
    </row>
    <row r="144">
      <c r="A144" s="1" t="inlineStr">
        <is>
          <t>REN-2026-0143</t>
        </is>
      </c>
      <c r="B144" s="1" t="inlineStr">
        <is>
          <t>BMC-MSA-2025-27</t>
        </is>
      </c>
      <c r="C144" s="1" t="inlineStr">
        <is>
          <t>Blue Mesa Components</t>
        </is>
      </c>
      <c r="D144" s="1" t="inlineStr">
        <is>
          <t>2026Q4</t>
        </is>
      </c>
      <c r="E144" s="2" t="n">
        <v>45982</v>
      </c>
      <c r="F144" s="2" t="n">
        <v>46347</v>
      </c>
      <c r="G144" s="2" t="n">
        <v>46257</v>
      </c>
      <c r="H144" s="1" t="n">
        <v>775401.05</v>
      </c>
      <c r="I144" s="1" t="n">
        <v>806417.09</v>
      </c>
      <c r="J144" s="1">
        <f>ROUND(I144-H144,2)</f>
        <v/>
      </c>
      <c r="K144" s="1" t="inlineStr">
        <is>
          <t>T. Ferreira</t>
        </is>
      </c>
      <c r="L144" s="1" t="inlineStr">
        <is>
          <t>Downgraded scope</t>
        </is>
      </c>
      <c r="M144" s="1" t="inlineStr">
        <is>
          <t>Throughput below customer target</t>
        </is>
      </c>
    </row>
    <row r="145">
      <c r="A145" s="1" t="inlineStr">
        <is>
          <t>REN-2026-0144</t>
        </is>
      </c>
      <c r="B145" s="1" t="inlineStr">
        <is>
          <t>OGF-MSA-2025-45</t>
        </is>
      </c>
      <c r="C145" s="1" t="inlineStr">
        <is>
          <t>Orchard Grove Foods</t>
        </is>
      </c>
      <c r="D145" s="1" t="inlineStr">
        <is>
          <t>2026Q3</t>
        </is>
      </c>
      <c r="E145" s="2" t="n">
        <v>45867</v>
      </c>
      <c r="F145" s="2" t="n">
        <v>46232</v>
      </c>
      <c r="G145" s="2" t="n">
        <v>46202</v>
      </c>
      <c r="H145" s="1" t="n">
        <v>323734.44</v>
      </c>
      <c r="I145" s="1" t="n">
        <v>336683.82</v>
      </c>
      <c r="J145" s="1">
        <f>ROUND(I145-H145,2)</f>
        <v/>
      </c>
      <c r="K145" s="1" t="inlineStr">
        <is>
          <t>T. Ferreira</t>
        </is>
      </c>
      <c r="L145" s="1" t="inlineStr">
        <is>
          <t>At risk</t>
        </is>
      </c>
      <c r="M145" s="1" t="inlineStr">
        <is>
          <t>Champion promoted, relationship strong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expansion_id</t>
        </is>
      </c>
      <c r="B1" s="1" t="inlineStr">
        <is>
          <t>customer</t>
        </is>
      </c>
      <c r="C1" s="1" t="inlineStr">
        <is>
          <t>existing_sites</t>
        </is>
      </c>
      <c r="D1" s="1" t="inlineStr">
        <is>
          <t>target_site</t>
        </is>
      </c>
      <c r="E1" s="1" t="inlineStr">
        <is>
          <t>expansion_type</t>
        </is>
      </c>
      <c r="F1" s="1" t="inlineStr">
        <is>
          <t>robots_added</t>
        </is>
      </c>
      <c r="G1" s="1" t="inlineStr">
        <is>
          <t>platform_seats_added</t>
        </is>
      </c>
      <c r="H1" s="1" t="inlineStr">
        <is>
          <t>incremental_annual_fee</t>
        </is>
      </c>
      <c r="I1" s="1" t="inlineStr">
        <is>
          <t>trigger_event</t>
        </is>
      </c>
      <c r="J1" s="1" t="inlineStr">
        <is>
          <t>sponsor</t>
        </is>
      </c>
      <c r="K1" s="1" t="inlineStr">
        <is>
          <t>probability_band</t>
        </is>
      </c>
      <c r="L1" s="1" t="inlineStr">
        <is>
          <t>target_quarter</t>
        </is>
      </c>
    </row>
    <row r="2">
      <c r="A2" s="1" t="inlineStr">
        <is>
          <t>EXP-2026-0001</t>
        </is>
      </c>
      <c r="B2" s="1" t="inlineStr">
        <is>
          <t>Larkspur Apparel</t>
        </is>
      </c>
      <c r="C2" s="1" t="n">
        <v>6</v>
      </c>
      <c r="D2" s="1" t="inlineStr">
        <is>
          <t>Larkspur FC2 annex 9</t>
        </is>
      </c>
      <c r="E2" s="1" t="inlineStr">
        <is>
          <t>Spares pool expansion</t>
        </is>
      </c>
      <c r="F2" s="1" t="n">
        <v>45</v>
      </c>
      <c r="G2" s="1" t="n">
        <v>21</v>
      </c>
      <c r="H2" s="1" t="n">
        <v>665657.6</v>
      </c>
      <c r="I2" s="1" t="inlineStr">
        <is>
          <t>Labour cost review</t>
        </is>
      </c>
      <c r="J2" s="1" t="inlineStr">
        <is>
          <t>Operations director</t>
        </is>
      </c>
      <c r="K2" s="1" t="inlineStr">
        <is>
          <t>Medium</t>
        </is>
      </c>
      <c r="L2" s="1" t="inlineStr">
        <is>
          <t>2026Q4</t>
        </is>
      </c>
    </row>
    <row r="3">
      <c r="A3" s="1" t="inlineStr">
        <is>
          <t>EXP-2026-0002</t>
        </is>
      </c>
      <c r="B3" s="1" t="inlineStr">
        <is>
          <t>Westlake Chemical Depot</t>
        </is>
      </c>
      <c r="C3" s="1" t="n">
        <v>4</v>
      </c>
      <c r="D3" s="1" t="inlineStr">
        <is>
          <t>Westlake Tank 6 annex 5</t>
        </is>
      </c>
      <c r="E3" s="1" t="inlineStr">
        <is>
          <t>Platform tier upgrade</t>
        </is>
      </c>
      <c r="F3" s="1" t="n">
        <v>31</v>
      </c>
      <c r="G3" s="1" t="n">
        <v>4</v>
      </c>
      <c r="H3" s="1" t="n">
        <v>212180.24</v>
      </c>
      <c r="I3" s="1" t="inlineStr">
        <is>
          <t>Insurance recommendation after incident</t>
        </is>
      </c>
      <c r="J3" s="1" t="inlineStr">
        <is>
          <t>Site general manager</t>
        </is>
      </c>
      <c r="K3" s="1" t="inlineStr">
        <is>
          <t>Low</t>
        </is>
      </c>
      <c r="L3" s="1" t="inlineStr">
        <is>
          <t>2027Q4</t>
        </is>
      </c>
    </row>
    <row r="4">
      <c r="A4" s="1" t="inlineStr">
        <is>
          <t>EXP-2026-0003</t>
        </is>
      </c>
      <c r="B4" s="1" t="inlineStr">
        <is>
          <t>Vantage Robotics Supply</t>
        </is>
      </c>
      <c r="C4" s="1" t="n">
        <v>4</v>
      </c>
      <c r="D4" s="1" t="inlineStr">
        <is>
          <t>Vantage Depot annex 5</t>
        </is>
      </c>
      <c r="E4" s="1" t="inlineStr">
        <is>
          <t>Remote operations coverage</t>
        </is>
      </c>
      <c r="F4" s="1" t="n">
        <v>42</v>
      </c>
      <c r="G4" s="1" t="n">
        <v>24</v>
      </c>
      <c r="H4" s="1" t="n">
        <v>630347.63</v>
      </c>
      <c r="I4" s="1" t="inlineStr">
        <is>
          <t>Labour cost review</t>
        </is>
      </c>
      <c r="J4" s="1" t="inlineStr">
        <is>
          <t>Continuous improvement lead</t>
        </is>
      </c>
      <c r="K4" s="1" t="inlineStr">
        <is>
          <t>Medium</t>
        </is>
      </c>
      <c r="L4" s="1" t="inlineStr">
        <is>
          <t>2026Q4</t>
        </is>
      </c>
    </row>
    <row r="5">
      <c r="A5" s="1" t="inlineStr">
        <is>
          <t>EXP-2026-0004</t>
        </is>
      </c>
      <c r="B5" s="1" t="inlineStr">
        <is>
          <t>Orchard Grove Foods</t>
        </is>
      </c>
      <c r="C5" s="1" t="n">
        <v>4</v>
      </c>
      <c r="D5" s="1" t="inlineStr">
        <is>
          <t>Orchard Cold 2 annex 5</t>
        </is>
      </c>
      <c r="E5" s="1" t="inlineStr">
        <is>
          <t>Platform tier upgrade</t>
        </is>
      </c>
      <c r="F5" s="1" t="n">
        <v>3</v>
      </c>
      <c r="G5" s="1" t="n">
        <v>7</v>
      </c>
      <c r="H5" s="1" t="n">
        <v>50518.72</v>
      </c>
      <c r="I5" s="1" t="inlineStr">
        <is>
          <t>Insurance recommendation after incident</t>
        </is>
      </c>
      <c r="J5" s="1" t="inlineStr">
        <is>
          <t>Operations director</t>
        </is>
      </c>
      <c r="K5" s="1" t="inlineStr">
        <is>
          <t>Medium</t>
        </is>
      </c>
      <c r="L5" s="1" t="inlineStr">
        <is>
          <t>2026Q3</t>
        </is>
      </c>
    </row>
    <row r="6">
      <c r="A6" s="1" t="inlineStr">
        <is>
          <t>EXP-2026-0005</t>
        </is>
      </c>
      <c r="B6" s="1" t="inlineStr">
        <is>
          <t>Fathom Mobility</t>
        </is>
      </c>
      <c r="C6" s="1" t="n">
        <v>6</v>
      </c>
      <c r="D6" s="1" t="inlineStr">
        <is>
          <t>Fathom Line A annex 9</t>
        </is>
      </c>
      <c r="E6" s="1" t="inlineStr">
        <is>
          <t>Additional cell</t>
        </is>
      </c>
      <c r="F6" s="1" t="n">
        <v>22</v>
      </c>
      <c r="G6" s="1" t="n">
        <v>15</v>
      </c>
      <c r="H6" s="1" t="n">
        <v>545713.28</v>
      </c>
      <c r="I6" s="1" t="inlineStr">
        <is>
          <t>Board-approved automation programme</t>
        </is>
      </c>
      <c r="J6" s="1" t="inlineStr">
        <is>
          <t>VP supply chain</t>
        </is>
      </c>
      <c r="K6" s="1" t="inlineStr">
        <is>
          <t>Medium</t>
        </is>
      </c>
      <c r="L6" s="1" t="inlineStr">
        <is>
          <t>2027Q1</t>
        </is>
      </c>
    </row>
    <row r="7">
      <c r="A7" s="1" t="inlineStr">
        <is>
          <t>EXP-2026-0006</t>
        </is>
      </c>
      <c r="B7" s="1" t="inlineStr">
        <is>
          <t>Larkspur Apparel</t>
        </is>
      </c>
      <c r="C7" s="1" t="n">
        <v>6</v>
      </c>
      <c r="D7" s="1" t="inlineStr">
        <is>
          <t>Larkspur FC2 annex 4</t>
        </is>
      </c>
      <c r="E7" s="1" t="inlineStr">
        <is>
          <t>Remote operations coverage</t>
        </is>
      </c>
      <c r="F7" s="1" t="n">
        <v>3</v>
      </c>
      <c r="G7" s="1" t="n">
        <v>20</v>
      </c>
      <c r="H7" s="1" t="n">
        <v>672146.9</v>
      </c>
      <c r="I7" s="1" t="inlineStr">
        <is>
          <t>Board-approved automation programme</t>
        </is>
      </c>
      <c r="J7" s="1" t="inlineStr">
        <is>
          <t>Continuous improvement lead</t>
        </is>
      </c>
      <c r="K7" s="1" t="inlineStr">
        <is>
          <t>Medium</t>
        </is>
      </c>
      <c r="L7" s="1" t="inlineStr">
        <is>
          <t>2026Q4</t>
        </is>
      </c>
    </row>
    <row r="8">
      <c r="A8" s="1" t="inlineStr">
        <is>
          <t>EXP-2026-0007</t>
        </is>
      </c>
      <c r="B8" s="1" t="inlineStr">
        <is>
          <t>Pioneer Freight Union</t>
        </is>
      </c>
      <c r="C8" s="1" t="n">
        <v>1</v>
      </c>
      <c r="D8" s="1" t="inlineStr">
        <is>
          <t>Pioneer Hub annex 2</t>
        </is>
      </c>
      <c r="E8" s="1" t="inlineStr">
        <is>
          <t>Remote operations coverage</t>
        </is>
      </c>
      <c r="F8" s="1" t="n">
        <v>35</v>
      </c>
      <c r="G8" s="1" t="n">
        <v>1</v>
      </c>
      <c r="H8" s="1" t="n">
        <v>535907.89</v>
      </c>
      <c r="I8" s="1" t="inlineStr">
        <is>
          <t>Second shift added</t>
        </is>
      </c>
      <c r="J8" s="1" t="inlineStr">
        <is>
          <t>VP supply chain</t>
        </is>
      </c>
      <c r="K8" s="1" t="inlineStr">
        <is>
          <t>High</t>
        </is>
      </c>
      <c r="L8" s="1" t="inlineStr">
        <is>
          <t>2027Q4</t>
        </is>
      </c>
    </row>
    <row r="9">
      <c r="A9" s="1" t="inlineStr">
        <is>
          <t>EXP-2026-0008</t>
        </is>
      </c>
      <c r="B9" s="1" t="inlineStr">
        <is>
          <t>Blue Mesa Components</t>
        </is>
      </c>
      <c r="C9" s="1" t="n">
        <v>5</v>
      </c>
      <c r="D9" s="1" t="inlineStr">
        <is>
          <t>Mesa Plant 2 annex 2</t>
        </is>
      </c>
      <c r="E9" s="1" t="inlineStr">
        <is>
          <t>Spares pool expansion</t>
        </is>
      </c>
      <c r="F9" s="1" t="n">
        <v>20</v>
      </c>
      <c r="G9" s="1" t="n">
        <v>6</v>
      </c>
      <c r="H9" s="1" t="n">
        <v>664143.9399999999</v>
      </c>
      <c r="I9" s="1" t="inlineStr">
        <is>
          <t>Second shift added</t>
        </is>
      </c>
      <c r="J9" s="1" t="inlineStr">
        <is>
          <t>Site general manager</t>
        </is>
      </c>
      <c r="K9" s="1" t="inlineStr">
        <is>
          <t>High</t>
        </is>
      </c>
      <c r="L9" s="1" t="inlineStr">
        <is>
          <t>2027Q2</t>
        </is>
      </c>
    </row>
    <row r="10">
      <c r="A10" s="1" t="inlineStr">
        <is>
          <t>EXP-2026-0009</t>
        </is>
      </c>
      <c r="B10" s="1" t="inlineStr">
        <is>
          <t>Zephyr Air Cargo</t>
        </is>
      </c>
      <c r="C10" s="1" t="n">
        <v>5</v>
      </c>
      <c r="D10" s="1" t="inlineStr">
        <is>
          <t>Zephyr Ramp 2 annex 4</t>
        </is>
      </c>
      <c r="E10" s="1" t="inlineStr">
        <is>
          <t>Spares pool expansion</t>
        </is>
      </c>
      <c r="F10" s="1" t="n">
        <v>45</v>
      </c>
      <c r="G10" s="1" t="n">
        <v>8</v>
      </c>
      <c r="H10" s="1" t="n">
        <v>195049.51</v>
      </c>
      <c r="I10" s="1" t="inlineStr">
        <is>
          <t>Insurance recommendation after incident</t>
        </is>
      </c>
      <c r="J10" s="1" t="inlineStr">
        <is>
          <t>Site general manager</t>
        </is>
      </c>
      <c r="K10" s="1" t="inlineStr">
        <is>
          <t>Low</t>
        </is>
      </c>
      <c r="L10" s="1" t="inlineStr">
        <is>
          <t>2027Q4</t>
        </is>
      </c>
    </row>
    <row r="11">
      <c r="A11" s="1" t="inlineStr">
        <is>
          <t>EXP-2026-0010</t>
        </is>
      </c>
      <c r="B11" s="1" t="inlineStr">
        <is>
          <t>Union Vale Pharma</t>
        </is>
      </c>
      <c r="C11" s="1" t="n">
        <v>3</v>
      </c>
      <c r="D11" s="1" t="inlineStr">
        <is>
          <t>Union Vale Vault annex 6</t>
        </is>
      </c>
      <c r="E11" s="1" t="inlineStr">
        <is>
          <t>Additional cell</t>
        </is>
      </c>
      <c r="F11" s="1" t="n">
        <v>33</v>
      </c>
      <c r="G11" s="1" t="n">
        <v>12</v>
      </c>
      <c r="H11" s="1" t="n">
        <v>173346.4</v>
      </c>
      <c r="I11" s="1" t="inlineStr">
        <is>
          <t>Insurance recommendation after incident</t>
        </is>
      </c>
      <c r="J11" s="1" t="inlineStr">
        <is>
          <t>Site general manager</t>
        </is>
      </c>
      <c r="K11" s="1" t="inlineStr">
        <is>
          <t>High</t>
        </is>
      </c>
      <c r="L11" s="1" t="inlineStr">
        <is>
          <t>2026Q4</t>
        </is>
      </c>
    </row>
    <row r="12">
      <c r="A12" s="1" t="inlineStr">
        <is>
          <t>EXP-2026-0011</t>
        </is>
      </c>
      <c r="B12" s="1" t="inlineStr">
        <is>
          <t>Bellweather Auto Group</t>
        </is>
      </c>
      <c r="C12" s="1" t="n">
        <v>5</v>
      </c>
      <c r="D12" s="1" t="inlineStr">
        <is>
          <t>Bellweather PDC annex 3</t>
        </is>
      </c>
      <c r="E12" s="1" t="inlineStr">
        <is>
          <t>Spares pool expansion</t>
        </is>
      </c>
      <c r="F12" s="1" t="n">
        <v>6</v>
      </c>
      <c r="G12" s="1" t="n">
        <v>22</v>
      </c>
      <c r="H12" s="1" t="n">
        <v>168542.31</v>
      </c>
      <c r="I12" s="1" t="inlineStr">
        <is>
          <t>Peak season throughput shortfall</t>
        </is>
      </c>
      <c r="J12" s="1" t="inlineStr">
        <is>
          <t>Site general manager</t>
        </is>
      </c>
      <c r="K12" s="1" t="inlineStr">
        <is>
          <t>Medium</t>
        </is>
      </c>
      <c r="L12" s="1" t="inlineStr">
        <is>
          <t>2027Q1</t>
        </is>
      </c>
    </row>
    <row r="13">
      <c r="A13" s="1" t="inlineStr">
        <is>
          <t>EXP-2026-0012</t>
        </is>
      </c>
      <c r="B13" s="1" t="inlineStr">
        <is>
          <t>Alderbrook Textiles</t>
        </is>
      </c>
      <c r="C13" s="1" t="n">
        <v>1</v>
      </c>
      <c r="D13" s="1" t="inlineStr">
        <is>
          <t>Alderbrook Loom 1 annex 8</t>
        </is>
      </c>
      <c r="E13" s="1" t="inlineStr">
        <is>
          <t>New site</t>
        </is>
      </c>
      <c r="F13" s="1" t="n">
        <v>29</v>
      </c>
      <c r="G13" s="1" t="n">
        <v>14</v>
      </c>
      <c r="H13" s="1" t="n">
        <v>627348.4</v>
      </c>
      <c r="I13" s="1" t="inlineStr">
        <is>
          <t>Board-approved automation programme</t>
        </is>
      </c>
      <c r="J13" s="1" t="inlineStr">
        <is>
          <t>VP supply chain</t>
        </is>
      </c>
      <c r="K13" s="1" t="inlineStr">
        <is>
          <t>High</t>
        </is>
      </c>
      <c r="L13" s="1" t="inlineStr">
        <is>
          <t>2027Q4</t>
        </is>
      </c>
    </row>
    <row r="14">
      <c r="A14" s="1" t="inlineStr">
        <is>
          <t>EXP-2026-0013</t>
        </is>
      </c>
      <c r="B14" s="1" t="inlineStr">
        <is>
          <t>Asterion Logistics</t>
        </is>
      </c>
      <c r="C14" s="1" t="n">
        <v>3</v>
      </c>
      <c r="D14" s="1" t="inlineStr">
        <is>
          <t>Tracy DC annex 7</t>
        </is>
      </c>
      <c r="E14" s="1" t="inlineStr">
        <is>
          <t>New site</t>
        </is>
      </c>
      <c r="F14" s="1" t="n">
        <v>40</v>
      </c>
      <c r="G14" s="1" t="n">
        <v>14</v>
      </c>
      <c r="H14" s="1" t="n">
        <v>365646.23</v>
      </c>
      <c r="I14" s="1" t="inlineStr">
        <is>
          <t>Insurance recommendation after incident</t>
        </is>
      </c>
      <c r="J14" s="1" t="inlineStr">
        <is>
          <t>Operations director</t>
        </is>
      </c>
      <c r="K14" s="1" t="inlineStr">
        <is>
          <t>High</t>
        </is>
      </c>
      <c r="L14" s="1" t="inlineStr">
        <is>
          <t>2027Q3</t>
        </is>
      </c>
    </row>
    <row r="15">
      <c r="A15" s="1" t="inlineStr">
        <is>
          <t>EXP-2026-0014</t>
        </is>
      </c>
      <c r="B15" s="1" t="inlineStr">
        <is>
          <t>Granite Peak Distribution</t>
        </is>
      </c>
      <c r="C15" s="1" t="n">
        <v>5</v>
      </c>
      <c r="D15" s="1" t="inlineStr">
        <is>
          <t>Granite Yard annex 5</t>
        </is>
      </c>
      <c r="E15" s="1" t="inlineStr">
        <is>
          <t>Remote operations coverage</t>
        </is>
      </c>
      <c r="F15" s="1" t="n">
        <v>36</v>
      </c>
      <c r="G15" s="1" t="n">
        <v>15</v>
      </c>
      <c r="H15" s="1" t="n">
        <v>567982.85</v>
      </c>
      <c r="I15" s="1" t="inlineStr">
        <is>
          <t>Board-approved automation programme</t>
        </is>
      </c>
      <c r="J15" s="1" t="inlineStr">
        <is>
          <t>Continuous improvement lead</t>
        </is>
      </c>
      <c r="K15" s="1" t="inlineStr">
        <is>
          <t>High</t>
        </is>
      </c>
      <c r="L15" s="1" t="inlineStr">
        <is>
          <t>2027Q4</t>
        </is>
      </c>
    </row>
    <row r="16">
      <c r="A16" s="1" t="inlineStr">
        <is>
          <t>EXP-2026-0015</t>
        </is>
      </c>
      <c r="B16" s="1" t="inlineStr">
        <is>
          <t>Vantage Robotics Supply</t>
        </is>
      </c>
      <c r="C16" s="1" t="n">
        <v>6</v>
      </c>
      <c r="D16" s="1" t="inlineStr">
        <is>
          <t>Vantage Depot annex 4</t>
        </is>
      </c>
      <c r="E16" s="1" t="inlineStr">
        <is>
          <t>Spares pool expansion</t>
        </is>
      </c>
      <c r="F16" s="1" t="n">
        <v>12</v>
      </c>
      <c r="G16" s="1" t="n">
        <v>6</v>
      </c>
      <c r="H16" s="1" t="n">
        <v>436050.96</v>
      </c>
      <c r="I16" s="1" t="inlineStr">
        <is>
          <t>Second shift added</t>
        </is>
      </c>
      <c r="J16" s="1" t="inlineStr">
        <is>
          <t>Site general manager</t>
        </is>
      </c>
      <c r="K16" s="1" t="inlineStr">
        <is>
          <t>High</t>
        </is>
      </c>
      <c r="L16" s="1" t="inlineStr">
        <is>
          <t>2026Q4</t>
        </is>
      </c>
    </row>
    <row r="17">
      <c r="A17" s="1" t="inlineStr">
        <is>
          <t>EXP-2026-0016</t>
        </is>
      </c>
      <c r="B17" s="1" t="inlineStr">
        <is>
          <t>Yarrow Home Goods</t>
        </is>
      </c>
      <c r="C17" s="1" t="n">
        <v>5</v>
      </c>
      <c r="D17" s="1" t="inlineStr">
        <is>
          <t>Yarrow FC3 annex 6</t>
        </is>
      </c>
      <c r="E17" s="1" t="inlineStr">
        <is>
          <t>Spares pool expansion</t>
        </is>
      </c>
      <c r="F17" s="1" t="n">
        <v>11</v>
      </c>
      <c r="G17" s="1" t="n">
        <v>16</v>
      </c>
      <c r="H17" s="1" t="n">
        <v>273367.12</v>
      </c>
      <c r="I17" s="1" t="inlineStr">
        <is>
          <t>Labour cost review</t>
        </is>
      </c>
      <c r="J17" s="1" t="inlineStr">
        <is>
          <t>Site general manager</t>
        </is>
      </c>
      <c r="K17" s="1" t="inlineStr">
        <is>
          <t>High</t>
        </is>
      </c>
      <c r="L17" s="1" t="inlineStr">
        <is>
          <t>2027Q3</t>
        </is>
      </c>
    </row>
    <row r="18">
      <c r="A18" s="1" t="inlineStr">
        <is>
          <t>EXP-2026-0017</t>
        </is>
      </c>
      <c r="B18" s="1" t="inlineStr">
        <is>
          <t>Calder Marine Supply</t>
        </is>
      </c>
      <c r="C18" s="1" t="n">
        <v>2</v>
      </c>
      <c r="D18" s="1" t="inlineStr">
        <is>
          <t>Calder Dock 3 annex 8</t>
        </is>
      </c>
      <c r="E18" s="1" t="inlineStr">
        <is>
          <t>Remote operations coverage</t>
        </is>
      </c>
      <c r="F18" s="1" t="n">
        <v>22</v>
      </c>
      <c r="G18" s="1" t="n">
        <v>7</v>
      </c>
      <c r="H18" s="1" t="n">
        <v>485677.05</v>
      </c>
      <c r="I18" s="1" t="inlineStr">
        <is>
          <t>Second shift added</t>
        </is>
      </c>
      <c r="J18" s="1" t="inlineStr">
        <is>
          <t>Continuous improvement lead</t>
        </is>
      </c>
      <c r="K18" s="1" t="inlineStr">
        <is>
          <t>Low</t>
        </is>
      </c>
      <c r="L18" s="1" t="inlineStr">
        <is>
          <t>2027Q3</t>
        </is>
      </c>
    </row>
    <row r="19">
      <c r="A19" s="1" t="inlineStr">
        <is>
          <t>EXP-2026-0018</t>
        </is>
      </c>
      <c r="B19" s="1" t="inlineStr">
        <is>
          <t>Bellweather Auto Group</t>
        </is>
      </c>
      <c r="C19" s="1" t="n">
        <v>5</v>
      </c>
      <c r="D19" s="1" t="inlineStr">
        <is>
          <t>Bellweather PDC annex 4</t>
        </is>
      </c>
      <c r="E19" s="1" t="inlineStr">
        <is>
          <t>Platform tier upgrade</t>
        </is>
      </c>
      <c r="F19" s="1" t="n">
        <v>38</v>
      </c>
      <c r="G19" s="1" t="n">
        <v>20</v>
      </c>
      <c r="H19" s="1" t="n">
        <v>440911.34</v>
      </c>
      <c r="I19" s="1" t="inlineStr">
        <is>
          <t>Peak season throughput shortfall</t>
        </is>
      </c>
      <c r="J19" s="1" t="inlineStr">
        <is>
          <t>Operations director</t>
        </is>
      </c>
      <c r="K19" s="1" t="inlineStr">
        <is>
          <t>Medium</t>
        </is>
      </c>
      <c r="L19" s="1" t="inlineStr">
        <is>
          <t>2027Q2</t>
        </is>
      </c>
    </row>
    <row r="20">
      <c r="A20" s="1" t="inlineStr">
        <is>
          <t>EXP-2026-0019</t>
        </is>
      </c>
      <c r="B20" s="1" t="inlineStr">
        <is>
          <t>Crestline Fulfillment</t>
        </is>
      </c>
      <c r="C20" s="1" t="n">
        <v>1</v>
      </c>
      <c r="D20" s="1" t="inlineStr">
        <is>
          <t>Crestline FC1 annex 2</t>
        </is>
      </c>
      <c r="E20" s="1" t="inlineStr">
        <is>
          <t>Spares pool expansion</t>
        </is>
      </c>
      <c r="F20" s="1" t="n">
        <v>25</v>
      </c>
      <c r="G20" s="1" t="n">
        <v>22</v>
      </c>
      <c r="H20" s="1" t="n">
        <v>398946.64</v>
      </c>
      <c r="I20" s="1" t="inlineStr">
        <is>
          <t>Board-approved automation programme</t>
        </is>
      </c>
      <c r="J20" s="1" t="inlineStr">
        <is>
          <t>Operations director</t>
        </is>
      </c>
      <c r="K20" s="1" t="inlineStr">
        <is>
          <t>Low</t>
        </is>
      </c>
      <c r="L20" s="1" t="inlineStr">
        <is>
          <t>2026Q3</t>
        </is>
      </c>
    </row>
    <row r="21">
      <c r="A21" s="1" t="inlineStr">
        <is>
          <t>EXP-2026-0020</t>
        </is>
      </c>
      <c r="B21" s="1" t="inlineStr">
        <is>
          <t>Fathom Mobility</t>
        </is>
      </c>
      <c r="C21" s="1" t="n">
        <v>1</v>
      </c>
      <c r="D21" s="1" t="inlineStr">
        <is>
          <t>Fathom Line A annex 6</t>
        </is>
      </c>
      <c r="E21" s="1" t="inlineStr">
        <is>
          <t>Spares pool expansion</t>
        </is>
      </c>
      <c r="F21" s="1" t="n">
        <v>16</v>
      </c>
      <c r="G21" s="1" t="n">
        <v>18</v>
      </c>
      <c r="H21" s="1" t="n">
        <v>341303.62</v>
      </c>
      <c r="I21" s="1" t="inlineStr">
        <is>
          <t>Second shift added</t>
        </is>
      </c>
      <c r="J21" s="1" t="inlineStr">
        <is>
          <t>Continuous improvement lead</t>
        </is>
      </c>
      <c r="K21" s="1" t="inlineStr">
        <is>
          <t>Low</t>
        </is>
      </c>
      <c r="L21" s="1" t="inlineStr">
        <is>
          <t>2027Q1</t>
        </is>
      </c>
    </row>
    <row r="22">
      <c r="A22" s="1" t="inlineStr">
        <is>
          <t>EXP-2026-0021</t>
        </is>
      </c>
      <c r="B22" s="1" t="inlineStr">
        <is>
          <t>Dorsey Grain Cooperative</t>
        </is>
      </c>
      <c r="C22" s="1" t="n">
        <v>3</v>
      </c>
      <c r="D22" s="1" t="inlineStr">
        <is>
          <t>Dorsey Elevator 2 annex 4</t>
        </is>
      </c>
      <c r="E22" s="1" t="inlineStr">
        <is>
          <t>Platform tier upgrade</t>
        </is>
      </c>
      <c r="F22" s="1" t="n">
        <v>24</v>
      </c>
      <c r="G22" s="1" t="n">
        <v>25</v>
      </c>
      <c r="H22" s="1" t="n">
        <v>595725.45</v>
      </c>
      <c r="I22" s="1" t="inlineStr">
        <is>
          <t>Labour cost review</t>
        </is>
      </c>
      <c r="J22" s="1" t="inlineStr">
        <is>
          <t>VP supply chain</t>
        </is>
      </c>
      <c r="K22" s="1" t="inlineStr">
        <is>
          <t>Low</t>
        </is>
      </c>
      <c r="L22" s="1" t="inlineStr">
        <is>
          <t>2027Q1</t>
        </is>
      </c>
    </row>
    <row r="23">
      <c r="A23" s="1" t="inlineStr">
        <is>
          <t>EXP-2026-0022</t>
        </is>
      </c>
      <c r="B23" s="1" t="inlineStr">
        <is>
          <t>Zephyr Air Cargo</t>
        </is>
      </c>
      <c r="C23" s="1" t="n">
        <v>6</v>
      </c>
      <c r="D23" s="1" t="inlineStr">
        <is>
          <t>Zephyr Ramp 2 annex 7</t>
        </is>
      </c>
      <c r="E23" s="1" t="inlineStr">
        <is>
          <t>Additional cell</t>
        </is>
      </c>
      <c r="F23" s="1" t="n">
        <v>39</v>
      </c>
      <c r="G23" s="1" t="n">
        <v>11</v>
      </c>
      <c r="H23" s="1" t="n">
        <v>284867.51</v>
      </c>
      <c r="I23" s="1" t="inlineStr">
        <is>
          <t>Peak season throughput shortfall</t>
        </is>
      </c>
      <c r="J23" s="1" t="inlineStr">
        <is>
          <t>Continuous improvement lead</t>
        </is>
      </c>
      <c r="K23" s="1" t="inlineStr">
        <is>
          <t>Medium</t>
        </is>
      </c>
      <c r="L23" s="1" t="inlineStr">
        <is>
          <t>2027Q1</t>
        </is>
      </c>
    </row>
    <row r="24">
      <c r="A24" s="1" t="inlineStr">
        <is>
          <t>EXP-2026-0023</t>
        </is>
      </c>
      <c r="B24" s="1" t="inlineStr">
        <is>
          <t>Meridian Dynamics</t>
        </is>
      </c>
      <c r="C24" s="1" t="n">
        <v>2</v>
      </c>
      <c r="D24" s="1" t="inlineStr">
        <is>
          <t>Meridian Bay 7 annex 2</t>
        </is>
      </c>
      <c r="E24" s="1" t="inlineStr">
        <is>
          <t>Spares pool expansion</t>
        </is>
      </c>
      <c r="F24" s="1" t="n">
        <v>48</v>
      </c>
      <c r="G24" s="1" t="n">
        <v>3</v>
      </c>
      <c r="H24" s="1" t="n">
        <v>821409.84</v>
      </c>
      <c r="I24" s="1" t="inlineStr">
        <is>
          <t>Labour cost review</t>
        </is>
      </c>
      <c r="J24" s="1" t="inlineStr">
        <is>
          <t>Site general manager</t>
        </is>
      </c>
      <c r="K24" s="1" t="inlineStr">
        <is>
          <t>Low</t>
        </is>
      </c>
      <c r="L24" s="1" t="inlineStr">
        <is>
          <t>2027Q4</t>
        </is>
      </c>
    </row>
    <row r="25">
      <c r="A25" s="1" t="inlineStr">
        <is>
          <t>EXP-2026-0024</t>
        </is>
      </c>
      <c r="B25" s="1" t="inlineStr">
        <is>
          <t>Vantage Robotics Supply</t>
        </is>
      </c>
      <c r="C25" s="1" t="n">
        <v>1</v>
      </c>
      <c r="D25" s="1" t="inlineStr">
        <is>
          <t>Vantage Depot annex 4</t>
        </is>
      </c>
      <c r="E25" s="1" t="inlineStr">
        <is>
          <t>New site</t>
        </is>
      </c>
      <c r="F25" s="1" t="n">
        <v>15</v>
      </c>
      <c r="G25" s="1" t="n">
        <v>12</v>
      </c>
      <c r="H25" s="1" t="n">
        <v>557728.4</v>
      </c>
      <c r="I25" s="1" t="inlineStr">
        <is>
          <t>Peak season throughput shortfall</t>
        </is>
      </c>
      <c r="J25" s="1" t="inlineStr">
        <is>
          <t>Site general manager</t>
        </is>
      </c>
      <c r="K25" s="1" t="inlineStr">
        <is>
          <t>Low</t>
        </is>
      </c>
      <c r="L25" s="1" t="inlineStr">
        <is>
          <t>2027Q2</t>
        </is>
      </c>
    </row>
    <row r="26">
      <c r="A26" s="1" t="inlineStr">
        <is>
          <t>EXP-2026-0025</t>
        </is>
      </c>
      <c r="B26" s="1" t="inlineStr">
        <is>
          <t>Dorsey Grain Cooperative</t>
        </is>
      </c>
      <c r="C26" s="1" t="n">
        <v>6</v>
      </c>
      <c r="D26" s="1" t="inlineStr">
        <is>
          <t>Dorsey Elevator 2 annex 6</t>
        </is>
      </c>
      <c r="E26" s="1" t="inlineStr">
        <is>
          <t>Platform tier upgrade</t>
        </is>
      </c>
      <c r="F26" s="1" t="n">
        <v>26</v>
      </c>
      <c r="G26" s="1" t="n">
        <v>24</v>
      </c>
      <c r="H26" s="1" t="n">
        <v>57067.47</v>
      </c>
      <c r="I26" s="1" t="inlineStr">
        <is>
          <t>Second shift added</t>
        </is>
      </c>
      <c r="J26" s="1" t="inlineStr">
        <is>
          <t>Continuous improvement lead</t>
        </is>
      </c>
      <c r="K26" s="1" t="inlineStr">
        <is>
          <t>Medium</t>
        </is>
      </c>
      <c r="L26" s="1" t="inlineStr">
        <is>
          <t>2027Q3</t>
        </is>
      </c>
    </row>
    <row r="27">
      <c r="A27" s="1" t="inlineStr">
        <is>
          <t>EXP-2026-0026</t>
        </is>
      </c>
      <c r="B27" s="1" t="inlineStr">
        <is>
          <t>Harborline Systems</t>
        </is>
      </c>
      <c r="C27" s="1" t="n">
        <v>3</v>
      </c>
      <c r="D27" s="1" t="inlineStr">
        <is>
          <t>Harborline Pier 9 annex 8</t>
        </is>
      </c>
      <c r="E27" s="1" t="inlineStr">
        <is>
          <t>New site</t>
        </is>
      </c>
      <c r="F27" s="1" t="n">
        <v>15</v>
      </c>
      <c r="G27" s="1" t="n">
        <v>9</v>
      </c>
      <c r="H27" s="1" t="n">
        <v>807462.72</v>
      </c>
      <c r="I27" s="1" t="inlineStr">
        <is>
          <t>Insurance recommendation after incident</t>
        </is>
      </c>
      <c r="J27" s="1" t="inlineStr">
        <is>
          <t>Continuous improvement lead</t>
        </is>
      </c>
      <c r="K27" s="1" t="inlineStr">
        <is>
          <t>Medium</t>
        </is>
      </c>
      <c r="L27" s="1" t="inlineStr">
        <is>
          <t>2027Q1</t>
        </is>
      </c>
    </row>
    <row r="28">
      <c r="A28" s="1" t="inlineStr">
        <is>
          <t>EXP-2026-0027</t>
        </is>
      </c>
      <c r="B28" s="1" t="inlineStr">
        <is>
          <t>Summit Ridge Retail</t>
        </is>
      </c>
      <c r="C28" s="1" t="n">
        <v>4</v>
      </c>
      <c r="D28" s="1" t="inlineStr">
        <is>
          <t>Summit RDC annex 2</t>
        </is>
      </c>
      <c r="E28" s="1" t="inlineStr">
        <is>
          <t>New site</t>
        </is>
      </c>
      <c r="F28" s="1" t="n">
        <v>12</v>
      </c>
      <c r="G28" s="1" t="n">
        <v>15</v>
      </c>
      <c r="H28" s="1" t="n">
        <v>393021.64</v>
      </c>
      <c r="I28" s="1" t="inlineStr">
        <is>
          <t>Peak season throughput shortfall</t>
        </is>
      </c>
      <c r="J28" s="1" t="inlineStr">
        <is>
          <t>VP supply chain</t>
        </is>
      </c>
      <c r="K28" s="1" t="inlineStr">
        <is>
          <t>Medium</t>
        </is>
      </c>
      <c r="L28" s="1" t="inlineStr">
        <is>
          <t>2027Q1</t>
        </is>
      </c>
    </row>
    <row r="29">
      <c r="A29" s="1" t="inlineStr">
        <is>
          <t>EXP-2026-0028</t>
        </is>
      </c>
      <c r="B29" s="1" t="inlineStr">
        <is>
          <t>Juniper Health Supply</t>
        </is>
      </c>
      <c r="C29" s="1" t="n">
        <v>4</v>
      </c>
      <c r="D29" s="1" t="inlineStr">
        <is>
          <t>Juniper Sterile 1 annex 9</t>
        </is>
      </c>
      <c r="E29" s="1" t="inlineStr">
        <is>
          <t>Spares pool expansion</t>
        </is>
      </c>
      <c r="F29" s="1" t="n">
        <v>21</v>
      </c>
      <c r="G29" s="1" t="n">
        <v>11</v>
      </c>
      <c r="H29" s="1" t="n">
        <v>153363.7</v>
      </c>
      <c r="I29" s="1" t="inlineStr">
        <is>
          <t>Second shift added</t>
        </is>
      </c>
      <c r="J29" s="1" t="inlineStr">
        <is>
          <t>Operations director</t>
        </is>
      </c>
      <c r="K29" s="1" t="inlineStr">
        <is>
          <t>Medium</t>
        </is>
      </c>
      <c r="L29" s="1" t="inlineStr">
        <is>
          <t>2027Q1</t>
        </is>
      </c>
    </row>
    <row r="30">
      <c r="A30" s="1" t="inlineStr">
        <is>
          <t>EXP-2026-0029</t>
        </is>
      </c>
      <c r="B30" s="1" t="inlineStr">
        <is>
          <t>Orchard Grove Foods</t>
        </is>
      </c>
      <c r="C30" s="1" t="n">
        <v>4</v>
      </c>
      <c r="D30" s="1" t="inlineStr">
        <is>
          <t>Orchard Cold 2 annex 4</t>
        </is>
      </c>
      <c r="E30" s="1" t="inlineStr">
        <is>
          <t>Platform tier upgrade</t>
        </is>
      </c>
      <c r="F30" s="1" t="n">
        <v>42</v>
      </c>
      <c r="G30" s="1" t="n">
        <v>5</v>
      </c>
      <c r="H30" s="1" t="n">
        <v>771500.74</v>
      </c>
      <c r="I30" s="1" t="inlineStr">
        <is>
          <t>Insurance recommendation after incident</t>
        </is>
      </c>
      <c r="J30" s="1" t="inlineStr">
        <is>
          <t>Continuous improvement lead</t>
        </is>
      </c>
      <c r="K30" s="1" t="inlineStr">
        <is>
          <t>Low</t>
        </is>
      </c>
      <c r="L30" s="1" t="inlineStr">
        <is>
          <t>2027Q4</t>
        </is>
      </c>
    </row>
    <row r="31">
      <c r="A31" s="1" t="inlineStr">
        <is>
          <t>EXP-2026-0030</t>
        </is>
      </c>
      <c r="B31" s="1" t="inlineStr">
        <is>
          <t>Crestline Fulfillment</t>
        </is>
      </c>
      <c r="C31" s="1" t="n">
        <v>3</v>
      </c>
      <c r="D31" s="1" t="inlineStr">
        <is>
          <t>Crestline FC1 annex 2</t>
        </is>
      </c>
      <c r="E31" s="1" t="inlineStr">
        <is>
          <t>Platform tier upgrade</t>
        </is>
      </c>
      <c r="F31" s="1" t="n">
        <v>16</v>
      </c>
      <c r="G31" s="1" t="n">
        <v>4</v>
      </c>
      <c r="H31" s="1" t="n">
        <v>49292.24</v>
      </c>
      <c r="I31" s="1" t="inlineStr">
        <is>
          <t>Labour cost review</t>
        </is>
      </c>
      <c r="J31" s="1" t="inlineStr">
        <is>
          <t>Site general manager</t>
        </is>
      </c>
      <c r="K31" s="1" t="inlineStr">
        <is>
          <t>High</t>
        </is>
      </c>
      <c r="L31" s="1" t="inlineStr">
        <is>
          <t>2027Q2</t>
        </is>
      </c>
    </row>
    <row r="32">
      <c r="A32" s="1" t="inlineStr">
        <is>
          <t>EXP-2026-0031</t>
        </is>
      </c>
      <c r="B32" s="1" t="inlineStr">
        <is>
          <t>Meridian Dynamics</t>
        </is>
      </c>
      <c r="C32" s="1" t="n">
        <v>5</v>
      </c>
      <c r="D32" s="1" t="inlineStr">
        <is>
          <t>Meridian Bay 7 annex 4</t>
        </is>
      </c>
      <c r="E32" s="1" t="inlineStr">
        <is>
          <t>New site</t>
        </is>
      </c>
      <c r="F32" s="1" t="n">
        <v>9</v>
      </c>
      <c r="G32" s="1" t="n">
        <v>14</v>
      </c>
      <c r="H32" s="1" t="n">
        <v>296128.39</v>
      </c>
      <c r="I32" s="1" t="inlineStr">
        <is>
          <t>Second shift added</t>
        </is>
      </c>
      <c r="J32" s="1" t="inlineStr">
        <is>
          <t>VP supply chain</t>
        </is>
      </c>
      <c r="K32" s="1" t="inlineStr">
        <is>
          <t>Low</t>
        </is>
      </c>
      <c r="L32" s="1" t="inlineStr">
        <is>
          <t>2027Q3</t>
        </is>
      </c>
    </row>
    <row r="33">
      <c r="A33" s="1" t="inlineStr">
        <is>
          <t>EXP-2026-0032</t>
        </is>
      </c>
      <c r="B33" s="1" t="inlineStr">
        <is>
          <t>Union Vale Pharma</t>
        </is>
      </c>
      <c r="C33" s="1" t="n">
        <v>5</v>
      </c>
      <c r="D33" s="1" t="inlineStr">
        <is>
          <t>Union Vale Vault annex 2</t>
        </is>
      </c>
      <c r="E33" s="1" t="inlineStr">
        <is>
          <t>Additional cell</t>
        </is>
      </c>
      <c r="F33" s="1" t="n">
        <v>37</v>
      </c>
      <c r="G33" s="1" t="n">
        <v>3</v>
      </c>
      <c r="H33" s="1" t="n">
        <v>171227.59</v>
      </c>
      <c r="I33" s="1" t="inlineStr">
        <is>
          <t>Board-approved automation programme</t>
        </is>
      </c>
      <c r="J33" s="1" t="inlineStr">
        <is>
          <t>Site general manager</t>
        </is>
      </c>
      <c r="K33" s="1" t="inlineStr">
        <is>
          <t>Medium</t>
        </is>
      </c>
      <c r="L33" s="1" t="inlineStr">
        <is>
          <t>2027Q1</t>
        </is>
      </c>
    </row>
    <row r="34">
      <c r="A34" s="1" t="inlineStr">
        <is>
          <t>EXP-2026-0033</t>
        </is>
      </c>
      <c r="B34" s="1" t="inlineStr">
        <is>
          <t>Alderbrook Textiles</t>
        </is>
      </c>
      <c r="C34" s="1" t="n">
        <v>5</v>
      </c>
      <c r="D34" s="1" t="inlineStr">
        <is>
          <t>Alderbrook Loom 1 annex 3</t>
        </is>
      </c>
      <c r="E34" s="1" t="inlineStr">
        <is>
          <t>New site</t>
        </is>
      </c>
      <c r="F34" s="1" t="n">
        <v>6</v>
      </c>
      <c r="G34" s="1" t="n">
        <v>14</v>
      </c>
      <c r="H34" s="1" t="n">
        <v>627288.0600000001</v>
      </c>
      <c r="I34" s="1" t="inlineStr">
        <is>
          <t>Peak season throughput shortfall</t>
        </is>
      </c>
      <c r="J34" s="1" t="inlineStr">
        <is>
          <t>Continuous improvement lead</t>
        </is>
      </c>
      <c r="K34" s="1" t="inlineStr">
        <is>
          <t>Medium</t>
        </is>
      </c>
      <c r="L34" s="1" t="inlineStr">
        <is>
          <t>2027Q1</t>
        </is>
      </c>
    </row>
    <row r="35">
      <c r="A35" s="1" t="inlineStr">
        <is>
          <t>EXP-2026-0034</t>
        </is>
      </c>
      <c r="B35" s="1" t="inlineStr">
        <is>
          <t>Pioneer Freight Union</t>
        </is>
      </c>
      <c r="C35" s="1" t="n">
        <v>1</v>
      </c>
      <c r="D35" s="1" t="inlineStr">
        <is>
          <t>Pioneer Hub annex 3</t>
        </is>
      </c>
      <c r="E35" s="1" t="inlineStr">
        <is>
          <t>Additional cell</t>
        </is>
      </c>
      <c r="F35" s="1" t="n">
        <v>23</v>
      </c>
      <c r="G35" s="1" t="n">
        <v>24</v>
      </c>
      <c r="H35" s="1" t="n">
        <v>496271.64</v>
      </c>
      <c r="I35" s="1" t="inlineStr">
        <is>
          <t>Peak season throughput shortfall</t>
        </is>
      </c>
      <c r="J35" s="1" t="inlineStr">
        <is>
          <t>VP supply chain</t>
        </is>
      </c>
      <c r="K35" s="1" t="inlineStr">
        <is>
          <t>Medium</t>
        </is>
      </c>
      <c r="L35" s="1" t="inlineStr">
        <is>
          <t>2026Q4</t>
        </is>
      </c>
    </row>
    <row r="36">
      <c r="A36" s="1" t="inlineStr">
        <is>
          <t>EXP-2026-0035</t>
        </is>
      </c>
      <c r="B36" s="1" t="inlineStr">
        <is>
          <t>Yarrow Home Goods</t>
        </is>
      </c>
      <c r="C36" s="1" t="n">
        <v>5</v>
      </c>
      <c r="D36" s="1" t="inlineStr">
        <is>
          <t>Yarrow FC3 annex 6</t>
        </is>
      </c>
      <c r="E36" s="1" t="inlineStr">
        <is>
          <t>Spares pool expansion</t>
        </is>
      </c>
      <c r="F36" s="1" t="n">
        <v>35</v>
      </c>
      <c r="G36" s="1" t="n">
        <v>7</v>
      </c>
      <c r="H36" s="1" t="n">
        <v>154677.21</v>
      </c>
      <c r="I36" s="1" t="inlineStr">
        <is>
          <t>Board-approved automation programme</t>
        </is>
      </c>
      <c r="J36" s="1" t="inlineStr">
        <is>
          <t>VP supply chain</t>
        </is>
      </c>
      <c r="K36" s="1" t="inlineStr">
        <is>
          <t>High</t>
        </is>
      </c>
      <c r="L36" s="1" t="inlineStr">
        <is>
          <t>2026Q4</t>
        </is>
      </c>
    </row>
    <row r="37">
      <c r="A37" s="1" t="inlineStr">
        <is>
          <t>EXP-2026-0036</t>
        </is>
      </c>
      <c r="B37" s="1" t="inlineStr">
        <is>
          <t>Fathom Mobility</t>
        </is>
      </c>
      <c r="C37" s="1" t="n">
        <v>3</v>
      </c>
      <c r="D37" s="1" t="inlineStr">
        <is>
          <t>Fathom Line A annex 5</t>
        </is>
      </c>
      <c r="E37" s="1" t="inlineStr">
        <is>
          <t>Platform tier upgrade</t>
        </is>
      </c>
      <c r="F37" s="1" t="n">
        <v>31</v>
      </c>
      <c r="G37" s="1" t="n">
        <v>13</v>
      </c>
      <c r="H37" s="1" t="n">
        <v>788365.48</v>
      </c>
      <c r="I37" s="1" t="inlineStr">
        <is>
          <t>Board-approved automation programme</t>
        </is>
      </c>
      <c r="J37" s="1" t="inlineStr">
        <is>
          <t>Operations director</t>
        </is>
      </c>
      <c r="K37" s="1" t="inlineStr">
        <is>
          <t>Medium</t>
        </is>
      </c>
      <c r="L37" s="1" t="inlineStr">
        <is>
          <t>2027Q1</t>
        </is>
      </c>
    </row>
    <row r="38">
      <c r="A38" s="1" t="inlineStr">
        <is>
          <t>EXP-2026-0037</t>
        </is>
      </c>
      <c r="B38" s="1" t="inlineStr">
        <is>
          <t>Crestline Fulfillment</t>
        </is>
      </c>
      <c r="C38" s="1" t="n">
        <v>5</v>
      </c>
      <c r="D38" s="1" t="inlineStr">
        <is>
          <t>Crestline FC1 annex 8</t>
        </is>
      </c>
      <c r="E38" s="1" t="inlineStr">
        <is>
          <t>Additional cell</t>
        </is>
      </c>
      <c r="F38" s="1" t="n">
        <v>13</v>
      </c>
      <c r="G38" s="1" t="n">
        <v>19</v>
      </c>
      <c r="H38" s="1" t="n">
        <v>417554.39</v>
      </c>
      <c r="I38" s="1" t="inlineStr">
        <is>
          <t>Second shift added</t>
        </is>
      </c>
      <c r="J38" s="1" t="inlineStr">
        <is>
          <t>Site general manager</t>
        </is>
      </c>
      <c r="K38" s="1" t="inlineStr">
        <is>
          <t>Medium</t>
        </is>
      </c>
      <c r="L38" s="1" t="inlineStr">
        <is>
          <t>2027Q4</t>
        </is>
      </c>
    </row>
    <row r="39">
      <c r="A39" s="1" t="inlineStr">
        <is>
          <t>EXP-2026-0038</t>
        </is>
      </c>
      <c r="B39" s="1" t="inlineStr">
        <is>
          <t>Blue Mesa Components</t>
        </is>
      </c>
      <c r="C39" s="1" t="n">
        <v>4</v>
      </c>
      <c r="D39" s="1" t="inlineStr">
        <is>
          <t>Mesa Plant 2 annex 6</t>
        </is>
      </c>
      <c r="E39" s="1" t="inlineStr">
        <is>
          <t>New site</t>
        </is>
      </c>
      <c r="F39" s="1" t="n">
        <v>14</v>
      </c>
      <c r="G39" s="1" t="n">
        <v>16</v>
      </c>
      <c r="H39" s="1" t="n">
        <v>528422.36</v>
      </c>
      <c r="I39" s="1" t="inlineStr">
        <is>
          <t>Peak season throughput shortfall</t>
        </is>
      </c>
      <c r="J39" s="1" t="inlineStr">
        <is>
          <t>Operations director</t>
        </is>
      </c>
      <c r="K39" s="1" t="inlineStr">
        <is>
          <t>Medium</t>
        </is>
      </c>
      <c r="L39" s="1" t="inlineStr">
        <is>
          <t>2027Q2</t>
        </is>
      </c>
    </row>
    <row r="40">
      <c r="A40" s="1" t="inlineStr">
        <is>
          <t>EXP-2026-0039</t>
        </is>
      </c>
      <c r="B40" s="1" t="inlineStr">
        <is>
          <t>Orchard Grove Foods</t>
        </is>
      </c>
      <c r="C40" s="1" t="n">
        <v>4</v>
      </c>
      <c r="D40" s="1" t="inlineStr">
        <is>
          <t>Orchard Cold 2 annex 7</t>
        </is>
      </c>
      <c r="E40" s="1" t="inlineStr">
        <is>
          <t>Remote operations coverage</t>
        </is>
      </c>
      <c r="F40" s="1" t="n">
        <v>27</v>
      </c>
      <c r="G40" s="1" t="n">
        <v>23</v>
      </c>
      <c r="H40" s="1" t="n">
        <v>382284.03</v>
      </c>
      <c r="I40" s="1" t="inlineStr">
        <is>
          <t>Insurance recommendation after incident</t>
        </is>
      </c>
      <c r="J40" s="1" t="inlineStr">
        <is>
          <t>Site general manager</t>
        </is>
      </c>
      <c r="K40" s="1" t="inlineStr">
        <is>
          <t>Low</t>
        </is>
      </c>
      <c r="L40" s="1" t="inlineStr">
        <is>
          <t>2027Q4</t>
        </is>
      </c>
    </row>
    <row r="41">
      <c r="A41" s="1" t="inlineStr">
        <is>
          <t>EXP-2026-0040</t>
        </is>
      </c>
      <c r="B41" s="1" t="inlineStr">
        <is>
          <t>Ironvale Grocery Group</t>
        </is>
      </c>
      <c r="C41" s="1" t="n">
        <v>1</v>
      </c>
      <c r="D41" s="1" t="inlineStr">
        <is>
          <t>Ironvale RDC annex 8</t>
        </is>
      </c>
      <c r="E41" s="1" t="inlineStr">
        <is>
          <t>Remote operations coverage</t>
        </is>
      </c>
      <c r="F41" s="1" t="n">
        <v>5</v>
      </c>
      <c r="G41" s="1" t="n">
        <v>10</v>
      </c>
      <c r="H41" s="1" t="n">
        <v>381857.01</v>
      </c>
      <c r="I41" s="1" t="inlineStr">
        <is>
          <t>Labour cost review</t>
        </is>
      </c>
      <c r="J41" s="1" t="inlineStr">
        <is>
          <t>Continuous improvement lead</t>
        </is>
      </c>
      <c r="K41" s="1" t="inlineStr">
        <is>
          <t>High</t>
        </is>
      </c>
      <c r="L41" s="1" t="inlineStr">
        <is>
          <t>2027Q2</t>
        </is>
      </c>
    </row>
    <row r="42">
      <c r="A42" s="1" t="inlineStr">
        <is>
          <t>EXP-2026-0041</t>
        </is>
      </c>
      <c r="B42" s="1" t="inlineStr">
        <is>
          <t>Meridian Dynamics</t>
        </is>
      </c>
      <c r="C42" s="1" t="n">
        <v>1</v>
      </c>
      <c r="D42" s="1" t="inlineStr">
        <is>
          <t>Meridian Bay 7 annex 5</t>
        </is>
      </c>
      <c r="E42" s="1" t="inlineStr">
        <is>
          <t>Spares pool expansion</t>
        </is>
      </c>
      <c r="F42" s="1" t="n">
        <v>11</v>
      </c>
      <c r="G42" s="1" t="n">
        <v>25</v>
      </c>
      <c r="H42" s="1" t="n">
        <v>44905.98</v>
      </c>
      <c r="I42" s="1" t="inlineStr">
        <is>
          <t>Insurance recommendation after incident</t>
        </is>
      </c>
      <c r="J42" s="1" t="inlineStr">
        <is>
          <t>Continuous improvement lead</t>
        </is>
      </c>
      <c r="K42" s="1" t="inlineStr">
        <is>
          <t>Medium</t>
        </is>
      </c>
      <c r="L42" s="1" t="inlineStr">
        <is>
          <t>2026Q3</t>
        </is>
      </c>
    </row>
    <row r="43">
      <c r="A43" s="1" t="inlineStr">
        <is>
          <t>EXP-2026-0042</t>
        </is>
      </c>
      <c r="B43" s="1" t="inlineStr">
        <is>
          <t>Granite Peak Distribution</t>
        </is>
      </c>
      <c r="C43" s="1" t="n">
        <v>5</v>
      </c>
      <c r="D43" s="1" t="inlineStr">
        <is>
          <t>Granite Yard annex 8</t>
        </is>
      </c>
      <c r="E43" s="1" t="inlineStr">
        <is>
          <t>Remote operations coverage</t>
        </is>
      </c>
      <c r="F43" s="1" t="n">
        <v>16</v>
      </c>
      <c r="G43" s="1" t="n">
        <v>7</v>
      </c>
      <c r="H43" s="1" t="n">
        <v>566545.45</v>
      </c>
      <c r="I43" s="1" t="inlineStr">
        <is>
          <t>Second shift added</t>
        </is>
      </c>
      <c r="J43" s="1" t="inlineStr">
        <is>
          <t>Continuous improvement lead</t>
        </is>
      </c>
      <c r="K43" s="1" t="inlineStr">
        <is>
          <t>High</t>
        </is>
      </c>
      <c r="L43" s="1" t="inlineStr">
        <is>
          <t>2027Q1</t>
        </is>
      </c>
    </row>
    <row r="44">
      <c r="A44" s="1" t="inlineStr">
        <is>
          <t>EXP-2026-0043</t>
        </is>
      </c>
      <c r="B44" s="1" t="inlineStr">
        <is>
          <t>Vantage Robotics Supply</t>
        </is>
      </c>
      <c r="C44" s="1" t="n">
        <v>6</v>
      </c>
      <c r="D44" s="1" t="inlineStr">
        <is>
          <t>Vantage Depot annex 4</t>
        </is>
      </c>
      <c r="E44" s="1" t="inlineStr">
        <is>
          <t>New site</t>
        </is>
      </c>
      <c r="F44" s="1" t="n">
        <v>15</v>
      </c>
      <c r="G44" s="1" t="n">
        <v>18</v>
      </c>
      <c r="H44" s="1" t="n">
        <v>561482.92</v>
      </c>
      <c r="I44" s="1" t="inlineStr">
        <is>
          <t>Peak season throughput shortfall</t>
        </is>
      </c>
      <c r="J44" s="1" t="inlineStr">
        <is>
          <t>Continuous improvement lead</t>
        </is>
      </c>
      <c r="K44" s="1" t="inlineStr">
        <is>
          <t>Medium</t>
        </is>
      </c>
      <c r="L44" s="1" t="inlineStr">
        <is>
          <t>2027Q3</t>
        </is>
      </c>
    </row>
    <row r="45">
      <c r="A45" s="1" t="inlineStr">
        <is>
          <t>EXP-2026-0044</t>
        </is>
      </c>
      <c r="B45" s="1" t="inlineStr">
        <is>
          <t>Blue Mesa Components</t>
        </is>
      </c>
      <c r="C45" s="1" t="n">
        <v>5</v>
      </c>
      <c r="D45" s="1" t="inlineStr">
        <is>
          <t>Mesa Plant 2 annex 6</t>
        </is>
      </c>
      <c r="E45" s="1" t="inlineStr">
        <is>
          <t>New site</t>
        </is>
      </c>
      <c r="F45" s="1" t="n">
        <v>15</v>
      </c>
      <c r="G45" s="1" t="n">
        <v>2</v>
      </c>
      <c r="H45" s="1" t="n">
        <v>380544.84</v>
      </c>
      <c r="I45" s="1" t="inlineStr">
        <is>
          <t>Board-approved automation programme</t>
        </is>
      </c>
      <c r="J45" s="1" t="inlineStr">
        <is>
          <t>Site general manager</t>
        </is>
      </c>
      <c r="K45" s="1" t="inlineStr">
        <is>
          <t>High</t>
        </is>
      </c>
      <c r="L45" s="1" t="inlineStr">
        <is>
          <t>2027Q1</t>
        </is>
      </c>
    </row>
    <row r="46">
      <c r="A46" s="1" t="inlineStr">
        <is>
          <t>EXP-2026-0045</t>
        </is>
      </c>
      <c r="B46" s="1" t="inlineStr">
        <is>
          <t>Alderbrook Textiles</t>
        </is>
      </c>
      <c r="C46" s="1" t="n">
        <v>4</v>
      </c>
      <c r="D46" s="1" t="inlineStr">
        <is>
          <t>Alderbrook Loom 1 annex 7</t>
        </is>
      </c>
      <c r="E46" s="1" t="inlineStr">
        <is>
          <t>Spares pool expansion</t>
        </is>
      </c>
      <c r="F46" s="1" t="n">
        <v>41</v>
      </c>
      <c r="G46" s="1" t="n">
        <v>2</v>
      </c>
      <c r="H46" s="1" t="n">
        <v>698429.85</v>
      </c>
      <c r="I46" s="1" t="inlineStr">
        <is>
          <t>Insurance recommendation after incident</t>
        </is>
      </c>
      <c r="J46" s="1" t="inlineStr">
        <is>
          <t>Operations director</t>
        </is>
      </c>
      <c r="K46" s="1" t="inlineStr">
        <is>
          <t>High</t>
        </is>
      </c>
      <c r="L46" s="1" t="inlineStr">
        <is>
          <t>2026Q4</t>
        </is>
      </c>
    </row>
    <row r="47">
      <c r="A47" s="1" t="inlineStr">
        <is>
          <t>EXP-2026-0046</t>
        </is>
      </c>
      <c r="B47" s="1" t="inlineStr">
        <is>
          <t>Pioneer Freight Union</t>
        </is>
      </c>
      <c r="C47" s="1" t="n">
        <v>5</v>
      </c>
      <c r="D47" s="1" t="inlineStr">
        <is>
          <t>Pioneer Hub annex 8</t>
        </is>
      </c>
      <c r="E47" s="1" t="inlineStr">
        <is>
          <t>Platform tier upgrade</t>
        </is>
      </c>
      <c r="F47" s="1" t="n">
        <v>33</v>
      </c>
      <c r="G47" s="1" t="n">
        <v>8</v>
      </c>
      <c r="H47" s="1" t="n">
        <v>326402.09</v>
      </c>
      <c r="I47" s="1" t="inlineStr">
        <is>
          <t>Labour cost review</t>
        </is>
      </c>
      <c r="J47" s="1" t="inlineStr">
        <is>
          <t>Operations director</t>
        </is>
      </c>
      <c r="K47" s="1" t="inlineStr">
        <is>
          <t>Medium</t>
        </is>
      </c>
      <c r="L47" s="1" t="inlineStr">
        <is>
          <t>2027Q1</t>
        </is>
      </c>
    </row>
    <row r="48">
      <c r="A48" s="1" t="inlineStr">
        <is>
          <t>EXP-2026-0047</t>
        </is>
      </c>
      <c r="B48" s="1" t="inlineStr">
        <is>
          <t>Calder Marine Supply</t>
        </is>
      </c>
      <c r="C48" s="1" t="n">
        <v>4</v>
      </c>
      <c r="D48" s="1" t="inlineStr">
        <is>
          <t>Calder Dock 3 annex 2</t>
        </is>
      </c>
      <c r="E48" s="1" t="inlineStr">
        <is>
          <t>Remote operations coverage</t>
        </is>
      </c>
      <c r="F48" s="1" t="n">
        <v>13</v>
      </c>
      <c r="G48" s="1" t="n">
        <v>14</v>
      </c>
      <c r="H48" s="1" t="n">
        <v>834662.11</v>
      </c>
      <c r="I48" s="1" t="inlineStr">
        <is>
          <t>Insurance recommendation after incident</t>
        </is>
      </c>
      <c r="J48" s="1" t="inlineStr">
        <is>
          <t>Site general manager</t>
        </is>
      </c>
      <c r="K48" s="1" t="inlineStr">
        <is>
          <t>Medium</t>
        </is>
      </c>
      <c r="L48" s="1" t="inlineStr">
        <is>
          <t>2026Q3</t>
        </is>
      </c>
    </row>
    <row r="49">
      <c r="A49" s="1" t="inlineStr">
        <is>
          <t>EXP-2026-0048</t>
        </is>
      </c>
      <c r="B49" s="1" t="inlineStr">
        <is>
          <t>Larkspur Apparel</t>
        </is>
      </c>
      <c r="C49" s="1" t="n">
        <v>6</v>
      </c>
      <c r="D49" s="1" t="inlineStr">
        <is>
          <t>Larkspur FC2 annex 7</t>
        </is>
      </c>
      <c r="E49" s="1" t="inlineStr">
        <is>
          <t>New site</t>
        </is>
      </c>
      <c r="F49" s="1" t="n">
        <v>36</v>
      </c>
      <c r="G49" s="1" t="n">
        <v>4</v>
      </c>
      <c r="H49" s="1" t="n">
        <v>771983.01</v>
      </c>
      <c r="I49" s="1" t="inlineStr">
        <is>
          <t>Peak season throughput shortfall</t>
        </is>
      </c>
      <c r="J49" s="1" t="inlineStr">
        <is>
          <t>Continuous improvement lead</t>
        </is>
      </c>
      <c r="K49" s="1" t="inlineStr">
        <is>
          <t>High</t>
        </is>
      </c>
      <c r="L49" s="1" t="inlineStr">
        <is>
          <t>2026Q3</t>
        </is>
      </c>
    </row>
    <row r="50">
      <c r="A50" s="1" t="inlineStr">
        <is>
          <t>EXP-2026-0049</t>
        </is>
      </c>
      <c r="B50" s="1" t="inlineStr">
        <is>
          <t>Alderbrook Textiles</t>
        </is>
      </c>
      <c r="C50" s="1" t="n">
        <v>2</v>
      </c>
      <c r="D50" s="1" t="inlineStr">
        <is>
          <t>Alderbrook Loom 1 annex 3</t>
        </is>
      </c>
      <c r="E50" s="1" t="inlineStr">
        <is>
          <t>Remote operations coverage</t>
        </is>
      </c>
      <c r="F50" s="1" t="n">
        <v>42</v>
      </c>
      <c r="G50" s="1" t="n">
        <v>1</v>
      </c>
      <c r="H50" s="1" t="n">
        <v>736854.26</v>
      </c>
      <c r="I50" s="1" t="inlineStr">
        <is>
          <t>Second shift added</t>
        </is>
      </c>
      <c r="J50" s="1" t="inlineStr">
        <is>
          <t>VP supply chain</t>
        </is>
      </c>
      <c r="K50" s="1" t="inlineStr">
        <is>
          <t>Medium</t>
        </is>
      </c>
      <c r="L50" s="1" t="inlineStr">
        <is>
          <t>2027Q4</t>
        </is>
      </c>
    </row>
    <row r="51">
      <c r="A51" s="1" t="inlineStr">
        <is>
          <t>EXP-2026-0050</t>
        </is>
      </c>
      <c r="B51" s="1" t="inlineStr">
        <is>
          <t>Summit Ridge Retail</t>
        </is>
      </c>
      <c r="C51" s="1" t="n">
        <v>3</v>
      </c>
      <c r="D51" s="1" t="inlineStr">
        <is>
          <t>Summit RDC annex 9</t>
        </is>
      </c>
      <c r="E51" s="1" t="inlineStr">
        <is>
          <t>Spares pool expansion</t>
        </is>
      </c>
      <c r="F51" s="1" t="n">
        <v>31</v>
      </c>
      <c r="G51" s="1" t="n">
        <v>8</v>
      </c>
      <c r="H51" s="1" t="n">
        <v>108164.67</v>
      </c>
      <c r="I51" s="1" t="inlineStr">
        <is>
          <t>Labour cost review</t>
        </is>
      </c>
      <c r="J51" s="1" t="inlineStr">
        <is>
          <t>Site general manager</t>
        </is>
      </c>
      <c r="K51" s="1" t="inlineStr">
        <is>
          <t>Medium</t>
        </is>
      </c>
      <c r="L51" s="1" t="inlineStr">
        <is>
          <t>2027Q2</t>
        </is>
      </c>
    </row>
    <row r="52">
      <c r="A52" s="1" t="inlineStr">
        <is>
          <t>EXP-2026-0051</t>
        </is>
      </c>
      <c r="B52" s="1" t="inlineStr">
        <is>
          <t>Meridian Dynamics</t>
        </is>
      </c>
      <c r="C52" s="1" t="n">
        <v>6</v>
      </c>
      <c r="D52" s="1" t="inlineStr">
        <is>
          <t>Meridian Bay 7 annex 5</t>
        </is>
      </c>
      <c r="E52" s="1" t="inlineStr">
        <is>
          <t>Remote operations coverage</t>
        </is>
      </c>
      <c r="F52" s="1" t="n">
        <v>14</v>
      </c>
      <c r="G52" s="1" t="n">
        <v>24</v>
      </c>
      <c r="H52" s="1" t="n">
        <v>899583.28</v>
      </c>
      <c r="I52" s="1" t="inlineStr">
        <is>
          <t>Peak season throughput shortfall</t>
        </is>
      </c>
      <c r="J52" s="1" t="inlineStr">
        <is>
          <t>Site general manager</t>
        </is>
      </c>
      <c r="K52" s="1" t="inlineStr">
        <is>
          <t>Low</t>
        </is>
      </c>
      <c r="L52" s="1" t="inlineStr">
        <is>
          <t>2027Q3</t>
        </is>
      </c>
    </row>
    <row r="53">
      <c r="A53" s="1" t="inlineStr">
        <is>
          <t>EXP-2026-0052</t>
        </is>
      </c>
      <c r="B53" s="1" t="inlineStr">
        <is>
          <t>Dunbar Industrial</t>
        </is>
      </c>
      <c r="C53" s="1" t="n">
        <v>1</v>
      </c>
      <c r="D53" s="1" t="inlineStr">
        <is>
          <t>Dunbar Works annex 5</t>
        </is>
      </c>
      <c r="E53" s="1" t="inlineStr">
        <is>
          <t>Additional cell</t>
        </is>
      </c>
      <c r="F53" s="1" t="n">
        <v>48</v>
      </c>
      <c r="G53" s="1" t="n">
        <v>18</v>
      </c>
      <c r="H53" s="1" t="n">
        <v>420049</v>
      </c>
      <c r="I53" s="1" t="inlineStr">
        <is>
          <t>Second shift added</t>
        </is>
      </c>
      <c r="J53" s="1" t="inlineStr">
        <is>
          <t>Operations director</t>
        </is>
      </c>
      <c r="K53" s="1" t="inlineStr">
        <is>
          <t>Medium</t>
        </is>
      </c>
      <c r="L53" s="1" t="inlineStr">
        <is>
          <t>2027Q4</t>
        </is>
      </c>
    </row>
    <row r="54">
      <c r="A54" s="1" t="inlineStr">
        <is>
          <t>EXP-2026-0053</t>
        </is>
      </c>
      <c r="B54" s="1" t="inlineStr">
        <is>
          <t>Dorsey Grain Cooperative</t>
        </is>
      </c>
      <c r="C54" s="1" t="n">
        <v>6</v>
      </c>
      <c r="D54" s="1" t="inlineStr">
        <is>
          <t>Dorsey Elevator 2 annex 8</t>
        </is>
      </c>
      <c r="E54" s="1" t="inlineStr">
        <is>
          <t>Additional cell</t>
        </is>
      </c>
      <c r="F54" s="1" t="n">
        <v>28</v>
      </c>
      <c r="G54" s="1" t="n">
        <v>5</v>
      </c>
      <c r="H54" s="1" t="n">
        <v>365018.08</v>
      </c>
      <c r="I54" s="1" t="inlineStr">
        <is>
          <t>Second shift added</t>
        </is>
      </c>
      <c r="J54" s="1" t="inlineStr">
        <is>
          <t>Site general manager</t>
        </is>
      </c>
      <c r="K54" s="1" t="inlineStr">
        <is>
          <t>Medium</t>
        </is>
      </c>
      <c r="L54" s="1" t="inlineStr">
        <is>
          <t>2027Q2</t>
        </is>
      </c>
    </row>
    <row r="55">
      <c r="A55" s="1" t="inlineStr">
        <is>
          <t>EXP-2026-0054</t>
        </is>
      </c>
      <c r="B55" s="1" t="inlineStr">
        <is>
          <t>Evergreen Warehousing</t>
        </is>
      </c>
      <c r="C55" s="1" t="n">
        <v>5</v>
      </c>
      <c r="D55" s="1" t="inlineStr">
        <is>
          <t>Evergreen Bay 4 annex 7</t>
        </is>
      </c>
      <c r="E55" s="1" t="inlineStr">
        <is>
          <t>Additional cell</t>
        </is>
      </c>
      <c r="F55" s="1" t="n">
        <v>35</v>
      </c>
      <c r="G55" s="1" t="n">
        <v>6</v>
      </c>
      <c r="H55" s="1" t="n">
        <v>802262.85</v>
      </c>
      <c r="I55" s="1" t="inlineStr">
        <is>
          <t>Second shift added</t>
        </is>
      </c>
      <c r="J55" s="1" t="inlineStr">
        <is>
          <t>Site general manager</t>
        </is>
      </c>
      <c r="K55" s="1" t="inlineStr">
        <is>
          <t>Low</t>
        </is>
      </c>
      <c r="L55" s="1" t="inlineStr">
        <is>
          <t>2026Q4</t>
        </is>
      </c>
    </row>
    <row r="56">
      <c r="A56" s="1" t="inlineStr">
        <is>
          <t>EXP-2026-0055</t>
        </is>
      </c>
      <c r="B56" s="1" t="inlineStr">
        <is>
          <t>Ironvale Grocery Group</t>
        </is>
      </c>
      <c r="C56" s="1" t="n">
        <v>3</v>
      </c>
      <c r="D56" s="1" t="inlineStr">
        <is>
          <t>Ironvale RDC annex 9</t>
        </is>
      </c>
      <c r="E56" s="1" t="inlineStr">
        <is>
          <t>Remote operations coverage</t>
        </is>
      </c>
      <c r="F56" s="1" t="n">
        <v>14</v>
      </c>
      <c r="G56" s="1" t="n">
        <v>1</v>
      </c>
      <c r="H56" s="1" t="n">
        <v>275515.53</v>
      </c>
      <c r="I56" s="1" t="inlineStr">
        <is>
          <t>Peak season throughput shortfall</t>
        </is>
      </c>
      <c r="J56" s="1" t="inlineStr">
        <is>
          <t>VP supply chain</t>
        </is>
      </c>
      <c r="K56" s="1" t="inlineStr">
        <is>
          <t>Medium</t>
        </is>
      </c>
      <c r="L56" s="1" t="inlineStr">
        <is>
          <t>2026Q4</t>
        </is>
      </c>
    </row>
    <row r="57">
      <c r="A57" s="1" t="inlineStr">
        <is>
          <t>EXP-2026-0056</t>
        </is>
      </c>
      <c r="B57" s="1" t="inlineStr">
        <is>
          <t>Dorsey Grain Cooperative</t>
        </is>
      </c>
      <c r="C57" s="1" t="n">
        <v>3</v>
      </c>
      <c r="D57" s="1" t="inlineStr">
        <is>
          <t>Dorsey Elevator 2 annex 5</t>
        </is>
      </c>
      <c r="E57" s="1" t="inlineStr">
        <is>
          <t>Platform tier upgrade</t>
        </is>
      </c>
      <c r="F57" s="1" t="n">
        <v>38</v>
      </c>
      <c r="G57" s="1" t="n">
        <v>24</v>
      </c>
      <c r="H57" s="1" t="n">
        <v>336903.12</v>
      </c>
      <c r="I57" s="1" t="inlineStr">
        <is>
          <t>Peak season throughput shortfall</t>
        </is>
      </c>
      <c r="J57" s="1" t="inlineStr">
        <is>
          <t>Continuous improvement lead</t>
        </is>
      </c>
      <c r="K57" s="1" t="inlineStr">
        <is>
          <t>Low</t>
        </is>
      </c>
      <c r="L57" s="1" t="inlineStr">
        <is>
          <t>2027Q3</t>
        </is>
      </c>
    </row>
    <row r="58">
      <c r="A58" s="1" t="inlineStr">
        <is>
          <t>EXP-2026-0057</t>
        </is>
      </c>
      <c r="B58" s="1" t="inlineStr">
        <is>
          <t>Larkspur Apparel</t>
        </is>
      </c>
      <c r="C58" s="1" t="n">
        <v>2</v>
      </c>
      <c r="D58" s="1" t="inlineStr">
        <is>
          <t>Larkspur FC2 annex 5</t>
        </is>
      </c>
      <c r="E58" s="1" t="inlineStr">
        <is>
          <t>Spares pool expansion</t>
        </is>
      </c>
      <c r="F58" s="1" t="n">
        <v>38</v>
      </c>
      <c r="G58" s="1" t="n">
        <v>14</v>
      </c>
      <c r="H58" s="1" t="n">
        <v>456863.1</v>
      </c>
      <c r="I58" s="1" t="inlineStr">
        <is>
          <t>Labour cost review</t>
        </is>
      </c>
      <c r="J58" s="1" t="inlineStr">
        <is>
          <t>Continuous improvement lead</t>
        </is>
      </c>
      <c r="K58" s="1" t="inlineStr">
        <is>
          <t>High</t>
        </is>
      </c>
      <c r="L58" s="1" t="inlineStr">
        <is>
          <t>2027Q4</t>
        </is>
      </c>
    </row>
    <row r="59">
      <c r="A59" s="1" t="inlineStr">
        <is>
          <t>EXP-2026-0058</t>
        </is>
      </c>
      <c r="B59" s="1" t="inlineStr">
        <is>
          <t>Orchard Grove Foods</t>
        </is>
      </c>
      <c r="C59" s="1" t="n">
        <v>1</v>
      </c>
      <c r="D59" s="1" t="inlineStr">
        <is>
          <t>Orchard Cold 2 annex 8</t>
        </is>
      </c>
      <c r="E59" s="1" t="inlineStr">
        <is>
          <t>New site</t>
        </is>
      </c>
      <c r="F59" s="1" t="n">
        <v>11</v>
      </c>
      <c r="G59" s="1" t="n">
        <v>1</v>
      </c>
      <c r="H59" s="1" t="n">
        <v>682035.98</v>
      </c>
      <c r="I59" s="1" t="inlineStr">
        <is>
          <t>Second shift added</t>
        </is>
      </c>
      <c r="J59" s="1" t="inlineStr">
        <is>
          <t>VP supply chain</t>
        </is>
      </c>
      <c r="K59" s="1" t="inlineStr">
        <is>
          <t>High</t>
        </is>
      </c>
      <c r="L59" s="1" t="inlineStr">
        <is>
          <t>2027Q2</t>
        </is>
      </c>
    </row>
    <row r="60">
      <c r="A60" s="1" t="inlineStr">
        <is>
          <t>EXP-2026-0059</t>
        </is>
      </c>
      <c r="B60" s="1" t="inlineStr">
        <is>
          <t>Larkspur Apparel</t>
        </is>
      </c>
      <c r="C60" s="1" t="n">
        <v>4</v>
      </c>
      <c r="D60" s="1" t="inlineStr">
        <is>
          <t>Larkspur FC2 annex 2</t>
        </is>
      </c>
      <c r="E60" s="1" t="inlineStr">
        <is>
          <t>New site</t>
        </is>
      </c>
      <c r="F60" s="1" t="n">
        <v>48</v>
      </c>
      <c r="G60" s="1" t="n">
        <v>22</v>
      </c>
      <c r="H60" s="1" t="n">
        <v>782465.61</v>
      </c>
      <c r="I60" s="1" t="inlineStr">
        <is>
          <t>Insurance recommendation after incident</t>
        </is>
      </c>
      <c r="J60" s="1" t="inlineStr">
        <is>
          <t>Site general manager</t>
        </is>
      </c>
      <c r="K60" s="1" t="inlineStr">
        <is>
          <t>Medium</t>
        </is>
      </c>
      <c r="L60" s="1" t="inlineStr">
        <is>
          <t>2027Q4</t>
        </is>
      </c>
    </row>
    <row r="61">
      <c r="A61" s="1" t="inlineStr">
        <is>
          <t>EXP-2026-0060</t>
        </is>
      </c>
      <c r="B61" s="1" t="inlineStr">
        <is>
          <t>Keystone Paper &amp; Pack</t>
        </is>
      </c>
      <c r="C61" s="1" t="n">
        <v>3</v>
      </c>
      <c r="D61" s="1" t="inlineStr">
        <is>
          <t>Keystone Mill 3 annex 4</t>
        </is>
      </c>
      <c r="E61" s="1" t="inlineStr">
        <is>
          <t>Spares pool expansion</t>
        </is>
      </c>
      <c r="F61" s="1" t="n">
        <v>32</v>
      </c>
      <c r="G61" s="1" t="n">
        <v>1</v>
      </c>
      <c r="H61" s="1" t="n">
        <v>597480.01</v>
      </c>
      <c r="I61" s="1" t="inlineStr">
        <is>
          <t>Insurance recommendation after incident</t>
        </is>
      </c>
      <c r="J61" s="1" t="inlineStr">
        <is>
          <t>Continuous improvement lead</t>
        </is>
      </c>
      <c r="K61" s="1" t="inlineStr">
        <is>
          <t>High</t>
        </is>
      </c>
      <c r="L61" s="1" t="inlineStr">
        <is>
          <t>2026Q3</t>
        </is>
      </c>
    </row>
    <row r="62">
      <c r="A62" s="1" t="inlineStr">
        <is>
          <t>EXP-2026-0061</t>
        </is>
      </c>
      <c r="B62" s="1" t="inlineStr">
        <is>
          <t>Zephyr Air Cargo</t>
        </is>
      </c>
      <c r="C62" s="1" t="n">
        <v>6</v>
      </c>
      <c r="D62" s="1" t="inlineStr">
        <is>
          <t>Zephyr Ramp 2 annex 2</t>
        </is>
      </c>
      <c r="E62" s="1" t="inlineStr">
        <is>
          <t>Additional cell</t>
        </is>
      </c>
      <c r="F62" s="1" t="n">
        <v>42</v>
      </c>
      <c r="G62" s="1" t="n">
        <v>25</v>
      </c>
      <c r="H62" s="1" t="n">
        <v>143042.05</v>
      </c>
      <c r="I62" s="1" t="inlineStr">
        <is>
          <t>Second shift added</t>
        </is>
      </c>
      <c r="J62" s="1" t="inlineStr">
        <is>
          <t>Operations director</t>
        </is>
      </c>
      <c r="K62" s="1" t="inlineStr">
        <is>
          <t>Medium</t>
        </is>
      </c>
      <c r="L62" s="1" t="inlineStr">
        <is>
          <t>2027Q1</t>
        </is>
      </c>
    </row>
    <row r="63">
      <c r="A63" s="1" t="inlineStr">
        <is>
          <t>EXP-2026-0062</t>
        </is>
      </c>
      <c r="B63" s="1" t="inlineStr">
        <is>
          <t>Orchard Grove Foods</t>
        </is>
      </c>
      <c r="C63" s="1" t="n">
        <v>2</v>
      </c>
      <c r="D63" s="1" t="inlineStr">
        <is>
          <t>Orchard Cold 2 annex 3</t>
        </is>
      </c>
      <c r="E63" s="1" t="inlineStr">
        <is>
          <t>New site</t>
        </is>
      </c>
      <c r="F63" s="1" t="n">
        <v>37</v>
      </c>
      <c r="G63" s="1" t="n">
        <v>9</v>
      </c>
      <c r="H63" s="1" t="n">
        <v>817311.64</v>
      </c>
      <c r="I63" s="1" t="inlineStr">
        <is>
          <t>Labour cost review</t>
        </is>
      </c>
      <c r="J63" s="1" t="inlineStr">
        <is>
          <t>VP supply chain</t>
        </is>
      </c>
      <c r="K63" s="1" t="inlineStr">
        <is>
          <t>Medium</t>
        </is>
      </c>
      <c r="L63" s="1" t="inlineStr">
        <is>
          <t>2027Q1</t>
        </is>
      </c>
    </row>
    <row r="64">
      <c r="A64" s="1" t="inlineStr">
        <is>
          <t>EXP-2026-0063</t>
        </is>
      </c>
      <c r="B64" s="1" t="inlineStr">
        <is>
          <t>Redwood Optics</t>
        </is>
      </c>
      <c r="C64" s="1" t="n">
        <v>1</v>
      </c>
      <c r="D64" s="1" t="inlineStr">
        <is>
          <t>Redwood Clean 3 annex 7</t>
        </is>
      </c>
      <c r="E64" s="1" t="inlineStr">
        <is>
          <t>Platform tier upgrade</t>
        </is>
      </c>
      <c r="F64" s="1" t="n">
        <v>21</v>
      </c>
      <c r="G64" s="1" t="n">
        <v>17</v>
      </c>
      <c r="H64" s="1" t="n">
        <v>591598.24</v>
      </c>
      <c r="I64" s="1" t="inlineStr">
        <is>
          <t>Insurance recommendation after incident</t>
        </is>
      </c>
      <c r="J64" s="1" t="inlineStr">
        <is>
          <t>VP supply chain</t>
        </is>
      </c>
      <c r="K64" s="1" t="inlineStr">
        <is>
          <t>Medium</t>
        </is>
      </c>
      <c r="L64" s="1" t="inlineStr">
        <is>
          <t>2026Q4</t>
        </is>
      </c>
    </row>
    <row r="65">
      <c r="A65" s="1" t="inlineStr">
        <is>
          <t>EXP-2026-0064</t>
        </is>
      </c>
      <c r="B65" s="1" t="inlineStr">
        <is>
          <t>Fathom Mobility</t>
        </is>
      </c>
      <c r="C65" s="1" t="n">
        <v>6</v>
      </c>
      <c r="D65" s="1" t="inlineStr">
        <is>
          <t>Fathom Line A annex 9</t>
        </is>
      </c>
      <c r="E65" s="1" t="inlineStr">
        <is>
          <t>Remote operations coverage</t>
        </is>
      </c>
      <c r="F65" s="1" t="n">
        <v>36</v>
      </c>
      <c r="G65" s="1" t="n">
        <v>9</v>
      </c>
      <c r="H65" s="1" t="n">
        <v>805864.03</v>
      </c>
      <c r="I65" s="1" t="inlineStr">
        <is>
          <t>Second shift added</t>
        </is>
      </c>
      <c r="J65" s="1" t="inlineStr">
        <is>
          <t>Site general manager</t>
        </is>
      </c>
      <c r="K65" s="1" t="inlineStr">
        <is>
          <t>Medium</t>
        </is>
      </c>
      <c r="L65" s="1" t="inlineStr">
        <is>
          <t>2027Q2</t>
        </is>
      </c>
    </row>
    <row r="66">
      <c r="A66" s="1" t="inlineStr">
        <is>
          <t>EXP-2026-0065</t>
        </is>
      </c>
      <c r="B66" s="1" t="inlineStr">
        <is>
          <t>Keystone Paper &amp; Pack</t>
        </is>
      </c>
      <c r="C66" s="1" t="n">
        <v>5</v>
      </c>
      <c r="D66" s="1" t="inlineStr">
        <is>
          <t>Keystone Mill 3 annex 8</t>
        </is>
      </c>
      <c r="E66" s="1" t="inlineStr">
        <is>
          <t>Spares pool expansion</t>
        </is>
      </c>
      <c r="F66" s="1" t="n">
        <v>34</v>
      </c>
      <c r="G66" s="1" t="n">
        <v>5</v>
      </c>
      <c r="H66" s="1" t="n">
        <v>775356.1</v>
      </c>
      <c r="I66" s="1" t="inlineStr">
        <is>
          <t>Insurance recommendation after incident</t>
        </is>
      </c>
      <c r="J66" s="1" t="inlineStr">
        <is>
          <t>Site general manager</t>
        </is>
      </c>
      <c r="K66" s="1" t="inlineStr">
        <is>
          <t>High</t>
        </is>
      </c>
      <c r="L66" s="1" t="inlineStr">
        <is>
          <t>2026Q4</t>
        </is>
      </c>
    </row>
    <row r="67">
      <c r="A67" s="1" t="inlineStr">
        <is>
          <t>EXP-2026-0066</t>
        </is>
      </c>
      <c r="B67" s="1" t="inlineStr">
        <is>
          <t>Union Vale Pharma</t>
        </is>
      </c>
      <c r="C67" s="1" t="n">
        <v>3</v>
      </c>
      <c r="D67" s="1" t="inlineStr">
        <is>
          <t>Union Vale Vault annex 4</t>
        </is>
      </c>
      <c r="E67" s="1" t="inlineStr">
        <is>
          <t>New site</t>
        </is>
      </c>
      <c r="F67" s="1" t="n">
        <v>13</v>
      </c>
      <c r="G67" s="1" t="n">
        <v>21</v>
      </c>
      <c r="H67" s="1" t="n">
        <v>349427.96</v>
      </c>
      <c r="I67" s="1" t="inlineStr">
        <is>
          <t>Second shift added</t>
        </is>
      </c>
      <c r="J67" s="1" t="inlineStr">
        <is>
          <t>Continuous improvement lead</t>
        </is>
      </c>
      <c r="K67" s="1" t="inlineStr">
        <is>
          <t>Medium</t>
        </is>
      </c>
      <c r="L67" s="1" t="inlineStr">
        <is>
          <t>2027Q1</t>
        </is>
      </c>
    </row>
    <row r="68">
      <c r="A68" s="1" t="inlineStr">
        <is>
          <t>EXP-2026-0067</t>
        </is>
      </c>
      <c r="B68" s="1" t="inlineStr">
        <is>
          <t>Orchard Grove Foods</t>
        </is>
      </c>
      <c r="C68" s="1" t="n">
        <v>5</v>
      </c>
      <c r="D68" s="1" t="inlineStr">
        <is>
          <t>Orchard Cold 2 annex 4</t>
        </is>
      </c>
      <c r="E68" s="1" t="inlineStr">
        <is>
          <t>New site</t>
        </is>
      </c>
      <c r="F68" s="1" t="n">
        <v>42</v>
      </c>
      <c r="G68" s="1" t="n">
        <v>20</v>
      </c>
      <c r="H68" s="1" t="n">
        <v>312538.34</v>
      </c>
      <c r="I68" s="1" t="inlineStr">
        <is>
          <t>Board-approved automation programme</t>
        </is>
      </c>
      <c r="J68" s="1" t="inlineStr">
        <is>
          <t>Site general manager</t>
        </is>
      </c>
      <c r="K68" s="1" t="inlineStr">
        <is>
          <t>Medium</t>
        </is>
      </c>
      <c r="L68" s="1" t="inlineStr">
        <is>
          <t>2026Q4</t>
        </is>
      </c>
    </row>
    <row r="69">
      <c r="A69" s="1" t="inlineStr">
        <is>
          <t>EXP-2026-0068</t>
        </is>
      </c>
      <c r="B69" s="1" t="inlineStr">
        <is>
          <t>Evergreen Warehousing</t>
        </is>
      </c>
      <c r="C69" s="1" t="n">
        <v>2</v>
      </c>
      <c r="D69" s="1" t="inlineStr">
        <is>
          <t>Evergreen Bay 4 annex 3</t>
        </is>
      </c>
      <c r="E69" s="1" t="inlineStr">
        <is>
          <t>Additional cell</t>
        </is>
      </c>
      <c r="F69" s="1" t="n">
        <v>28</v>
      </c>
      <c r="G69" s="1" t="n">
        <v>18</v>
      </c>
      <c r="H69" s="1" t="n">
        <v>833915.6899999999</v>
      </c>
      <c r="I69" s="1" t="inlineStr">
        <is>
          <t>Board-approved automation programme</t>
        </is>
      </c>
      <c r="J69" s="1" t="inlineStr">
        <is>
          <t>Continuous improvement lead</t>
        </is>
      </c>
      <c r="K69" s="1" t="inlineStr">
        <is>
          <t>Medium</t>
        </is>
      </c>
      <c r="L69" s="1" t="inlineStr">
        <is>
          <t>2027Q1</t>
        </is>
      </c>
    </row>
    <row r="70">
      <c r="A70" s="1" t="inlineStr">
        <is>
          <t>EXP-2026-0069</t>
        </is>
      </c>
      <c r="B70" s="1" t="inlineStr">
        <is>
          <t>Redwood Optics</t>
        </is>
      </c>
      <c r="C70" s="1" t="n">
        <v>1</v>
      </c>
      <c r="D70" s="1" t="inlineStr">
        <is>
          <t>Redwood Clean 3 annex 5</t>
        </is>
      </c>
      <c r="E70" s="1" t="inlineStr">
        <is>
          <t>Platform tier upgrade</t>
        </is>
      </c>
      <c r="F70" s="1" t="n">
        <v>39</v>
      </c>
      <c r="G70" s="1" t="n">
        <v>15</v>
      </c>
      <c r="H70" s="1" t="n">
        <v>212785.18</v>
      </c>
      <c r="I70" s="1" t="inlineStr">
        <is>
          <t>Board-approved automation programme</t>
        </is>
      </c>
      <c r="J70" s="1" t="inlineStr">
        <is>
          <t>Continuous improvement lead</t>
        </is>
      </c>
      <c r="K70" s="1" t="inlineStr">
        <is>
          <t>Medium</t>
        </is>
      </c>
      <c r="L70" s="1" t="inlineStr">
        <is>
          <t>2026Q4</t>
        </is>
      </c>
    </row>
    <row r="71">
      <c r="A71" s="1" t="inlineStr">
        <is>
          <t>EXP-2026-0070</t>
        </is>
      </c>
      <c r="B71" s="1" t="inlineStr">
        <is>
          <t>Summit Ridge Retail</t>
        </is>
      </c>
      <c r="C71" s="1" t="n">
        <v>2</v>
      </c>
      <c r="D71" s="1" t="inlineStr">
        <is>
          <t>Summit RDC annex 2</t>
        </is>
      </c>
      <c r="E71" s="1" t="inlineStr">
        <is>
          <t>Platform tier upgrade</t>
        </is>
      </c>
      <c r="F71" s="1" t="n">
        <v>32</v>
      </c>
      <c r="G71" s="1" t="n">
        <v>9</v>
      </c>
      <c r="H71" s="1" t="n">
        <v>482776.16</v>
      </c>
      <c r="I71" s="1" t="inlineStr">
        <is>
          <t>Insurance recommendation after incident</t>
        </is>
      </c>
      <c r="J71" s="1" t="inlineStr">
        <is>
          <t>VP supply chain</t>
        </is>
      </c>
      <c r="K71" s="1" t="inlineStr">
        <is>
          <t>Medium</t>
        </is>
      </c>
      <c r="L71" s="1" t="inlineStr">
        <is>
          <t>2027Q1</t>
        </is>
      </c>
    </row>
    <row r="72">
      <c r="A72" s="1" t="inlineStr">
        <is>
          <t>EXP-2026-0071</t>
        </is>
      </c>
      <c r="B72" s="1" t="inlineStr">
        <is>
          <t>Fathom Mobility</t>
        </is>
      </c>
      <c r="C72" s="1" t="n">
        <v>3</v>
      </c>
      <c r="D72" s="1" t="inlineStr">
        <is>
          <t>Fathom Line A annex 7</t>
        </is>
      </c>
      <c r="E72" s="1" t="inlineStr">
        <is>
          <t>Additional cell</t>
        </is>
      </c>
      <c r="F72" s="1" t="n">
        <v>30</v>
      </c>
      <c r="G72" s="1" t="n">
        <v>3</v>
      </c>
      <c r="H72" s="1" t="n">
        <v>272644.57</v>
      </c>
      <c r="I72" s="1" t="inlineStr">
        <is>
          <t>Insurance recommendation after incident</t>
        </is>
      </c>
      <c r="J72" s="1" t="inlineStr">
        <is>
          <t>Continuous improvement lead</t>
        </is>
      </c>
      <c r="K72" s="1" t="inlineStr">
        <is>
          <t>Medium</t>
        </is>
      </c>
      <c r="L72" s="1" t="inlineStr">
        <is>
          <t>2027Q1</t>
        </is>
      </c>
    </row>
    <row r="73">
      <c r="A73" s="1" t="inlineStr">
        <is>
          <t>EXP-2026-0072</t>
        </is>
      </c>
      <c r="B73" s="1" t="inlineStr">
        <is>
          <t>Larkspur Apparel</t>
        </is>
      </c>
      <c r="C73" s="1" t="n">
        <v>1</v>
      </c>
      <c r="D73" s="1" t="inlineStr">
        <is>
          <t>Larkspur FC2 annex 4</t>
        </is>
      </c>
      <c r="E73" s="1" t="inlineStr">
        <is>
          <t>New site</t>
        </is>
      </c>
      <c r="F73" s="1" t="n">
        <v>23</v>
      </c>
      <c r="G73" s="1" t="n">
        <v>8</v>
      </c>
      <c r="H73" s="1" t="n">
        <v>552287.7</v>
      </c>
      <c r="I73" s="1" t="inlineStr">
        <is>
          <t>Labour cost review</t>
        </is>
      </c>
      <c r="J73" s="1" t="inlineStr">
        <is>
          <t>Operations director</t>
        </is>
      </c>
      <c r="K73" s="1" t="inlineStr">
        <is>
          <t>High</t>
        </is>
      </c>
      <c r="L73" s="1" t="inlineStr">
        <is>
          <t>2027Q1</t>
        </is>
      </c>
    </row>
    <row r="74">
      <c r="A74" s="1" t="inlineStr">
        <is>
          <t>EXP-2026-0073</t>
        </is>
      </c>
      <c r="B74" s="1" t="inlineStr">
        <is>
          <t>Vantage Robotics Supply</t>
        </is>
      </c>
      <c r="C74" s="1" t="n">
        <v>6</v>
      </c>
      <c r="D74" s="1" t="inlineStr">
        <is>
          <t>Vantage Depot annex 4</t>
        </is>
      </c>
      <c r="E74" s="1" t="inlineStr">
        <is>
          <t>Additional cell</t>
        </is>
      </c>
      <c r="F74" s="1" t="n">
        <v>10</v>
      </c>
      <c r="G74" s="1" t="n">
        <v>22</v>
      </c>
      <c r="H74" s="1" t="n">
        <v>70534.63</v>
      </c>
      <c r="I74" s="1" t="inlineStr">
        <is>
          <t>Insurance recommendation after incident</t>
        </is>
      </c>
      <c r="J74" s="1" t="inlineStr">
        <is>
          <t>Continuous improvement lead</t>
        </is>
      </c>
      <c r="K74" s="1" t="inlineStr">
        <is>
          <t>Low</t>
        </is>
      </c>
      <c r="L74" s="1" t="inlineStr">
        <is>
          <t>2027Q1</t>
        </is>
      </c>
    </row>
    <row r="75">
      <c r="A75" s="1" t="inlineStr">
        <is>
          <t>EXP-2026-0074</t>
        </is>
      </c>
      <c r="B75" s="1" t="inlineStr">
        <is>
          <t>Zephyr Air Cargo</t>
        </is>
      </c>
      <c r="C75" s="1" t="n">
        <v>6</v>
      </c>
      <c r="D75" s="1" t="inlineStr">
        <is>
          <t>Zephyr Ramp 2 annex 2</t>
        </is>
      </c>
      <c r="E75" s="1" t="inlineStr">
        <is>
          <t>New site</t>
        </is>
      </c>
      <c r="F75" s="1" t="n">
        <v>14</v>
      </c>
      <c r="G75" s="1" t="n">
        <v>5</v>
      </c>
      <c r="H75" s="1" t="n">
        <v>624156.2</v>
      </c>
      <c r="I75" s="1" t="inlineStr">
        <is>
          <t>Labour cost review</t>
        </is>
      </c>
      <c r="J75" s="1" t="inlineStr">
        <is>
          <t>Continuous improvement lead</t>
        </is>
      </c>
      <c r="K75" s="1" t="inlineStr">
        <is>
          <t>Medium</t>
        </is>
      </c>
      <c r="L75" s="1" t="inlineStr">
        <is>
          <t>2027Q2</t>
        </is>
      </c>
    </row>
    <row r="76">
      <c r="A76" s="1" t="inlineStr">
        <is>
          <t>EXP-2026-0075</t>
        </is>
      </c>
      <c r="B76" s="1" t="inlineStr">
        <is>
          <t>Ironvale Grocery Group</t>
        </is>
      </c>
      <c r="C76" s="1" t="n">
        <v>2</v>
      </c>
      <c r="D76" s="1" t="inlineStr">
        <is>
          <t>Ironvale RDC annex 4</t>
        </is>
      </c>
      <c r="E76" s="1" t="inlineStr">
        <is>
          <t>Additional cell</t>
        </is>
      </c>
      <c r="F76" s="1" t="n">
        <v>2</v>
      </c>
      <c r="G76" s="1" t="n">
        <v>13</v>
      </c>
      <c r="H76" s="1" t="n">
        <v>114006.01</v>
      </c>
      <c r="I76" s="1" t="inlineStr">
        <is>
          <t>Peak season throughput shortfall</t>
        </is>
      </c>
      <c r="J76" s="1" t="inlineStr">
        <is>
          <t>Site general manager</t>
        </is>
      </c>
      <c r="K76" s="1" t="inlineStr">
        <is>
          <t>Medium</t>
        </is>
      </c>
      <c r="L76" s="1" t="inlineStr">
        <is>
          <t>2026Q4</t>
        </is>
      </c>
    </row>
    <row r="77">
      <c r="A77" s="1" t="inlineStr">
        <is>
          <t>EXP-2026-0076</t>
        </is>
      </c>
      <c r="B77" s="1" t="inlineStr">
        <is>
          <t>Union Vale Pharma</t>
        </is>
      </c>
      <c r="C77" s="1" t="n">
        <v>4</v>
      </c>
      <c r="D77" s="1" t="inlineStr">
        <is>
          <t>Union Vale Vault annex 7</t>
        </is>
      </c>
      <c r="E77" s="1" t="inlineStr">
        <is>
          <t>Platform tier upgrade</t>
        </is>
      </c>
      <c r="F77" s="1" t="n">
        <v>22</v>
      </c>
      <c r="G77" s="1" t="n">
        <v>2</v>
      </c>
      <c r="H77" s="1" t="n">
        <v>442283.56</v>
      </c>
      <c r="I77" s="1" t="inlineStr">
        <is>
          <t>Insurance recommendation after incident</t>
        </is>
      </c>
      <c r="J77" s="1" t="inlineStr">
        <is>
          <t>Site general manager</t>
        </is>
      </c>
      <c r="K77" s="1" t="inlineStr">
        <is>
          <t>High</t>
        </is>
      </c>
      <c r="L77" s="1" t="inlineStr">
        <is>
          <t>2027Q1</t>
        </is>
      </c>
    </row>
    <row r="78">
      <c r="A78" s="1" t="inlineStr">
        <is>
          <t>EXP-2026-0077</t>
        </is>
      </c>
      <c r="B78" s="1" t="inlineStr">
        <is>
          <t>Northfield Beverage</t>
        </is>
      </c>
      <c r="C78" s="1" t="n">
        <v>6</v>
      </c>
      <c r="D78" s="1" t="inlineStr">
        <is>
          <t>Northfield Line 5 annex 5</t>
        </is>
      </c>
      <c r="E78" s="1" t="inlineStr">
        <is>
          <t>Additional cell</t>
        </is>
      </c>
      <c r="F78" s="1" t="n">
        <v>27</v>
      </c>
      <c r="G78" s="1" t="n">
        <v>12</v>
      </c>
      <c r="H78" s="1" t="n">
        <v>829526.51</v>
      </c>
      <c r="I78" s="1" t="inlineStr">
        <is>
          <t>Second shift added</t>
        </is>
      </c>
      <c r="J78" s="1" t="inlineStr">
        <is>
          <t>VP supply chain</t>
        </is>
      </c>
      <c r="K78" s="1" t="inlineStr">
        <is>
          <t>Low</t>
        </is>
      </c>
      <c r="L78" s="1" t="inlineStr">
        <is>
          <t>2027Q2</t>
        </is>
      </c>
    </row>
    <row r="79">
      <c r="A79" s="1" t="inlineStr">
        <is>
          <t>EXP-2026-0078</t>
        </is>
      </c>
      <c r="B79" s="1" t="inlineStr">
        <is>
          <t>Meridian Dynamics</t>
        </is>
      </c>
      <c r="C79" s="1" t="n">
        <v>2</v>
      </c>
      <c r="D79" s="1" t="inlineStr">
        <is>
          <t>Meridian Bay 7 annex 3</t>
        </is>
      </c>
      <c r="E79" s="1" t="inlineStr">
        <is>
          <t>Spares pool expansion</t>
        </is>
      </c>
      <c r="F79" s="1" t="n">
        <v>41</v>
      </c>
      <c r="G79" s="1" t="n">
        <v>25</v>
      </c>
      <c r="H79" s="1" t="n">
        <v>388881.75</v>
      </c>
      <c r="I79" s="1" t="inlineStr">
        <is>
          <t>Board-approved automation programme</t>
        </is>
      </c>
      <c r="J79" s="1" t="inlineStr">
        <is>
          <t>Site general manager</t>
        </is>
      </c>
      <c r="K79" s="1" t="inlineStr">
        <is>
          <t>Low</t>
        </is>
      </c>
      <c r="L79" s="1" t="inlineStr">
        <is>
          <t>2027Q1</t>
        </is>
      </c>
    </row>
    <row r="80">
      <c r="A80" s="1" t="inlineStr">
        <is>
          <t>EXP-2026-0079</t>
        </is>
      </c>
      <c r="B80" s="1" t="inlineStr">
        <is>
          <t>Alderbrook Textiles</t>
        </is>
      </c>
      <c r="C80" s="1" t="n">
        <v>3</v>
      </c>
      <c r="D80" s="1" t="inlineStr">
        <is>
          <t>Alderbrook Loom 1 annex 2</t>
        </is>
      </c>
      <c r="E80" s="1" t="inlineStr">
        <is>
          <t>Remote operations coverage</t>
        </is>
      </c>
      <c r="F80" s="1" t="n">
        <v>24</v>
      </c>
      <c r="G80" s="1" t="n">
        <v>11</v>
      </c>
      <c r="H80" s="1" t="n">
        <v>189669.57</v>
      </c>
      <c r="I80" s="1" t="inlineStr">
        <is>
          <t>Labour cost review</t>
        </is>
      </c>
      <c r="J80" s="1" t="inlineStr">
        <is>
          <t>Site general manager</t>
        </is>
      </c>
      <c r="K80" s="1" t="inlineStr">
        <is>
          <t>High</t>
        </is>
      </c>
      <c r="L80" s="1" t="inlineStr">
        <is>
          <t>2027Q2</t>
        </is>
      </c>
    </row>
    <row r="81">
      <c r="A81" s="1" t="inlineStr">
        <is>
          <t>EXP-2026-0080</t>
        </is>
      </c>
      <c r="B81" s="1" t="inlineStr">
        <is>
          <t>Northfield Beverage</t>
        </is>
      </c>
      <c r="C81" s="1" t="n">
        <v>1</v>
      </c>
      <c r="D81" s="1" t="inlineStr">
        <is>
          <t>Northfield Line 5 annex 7</t>
        </is>
      </c>
      <c r="E81" s="1" t="inlineStr">
        <is>
          <t>Spares pool expansion</t>
        </is>
      </c>
      <c r="F81" s="1" t="n">
        <v>2</v>
      </c>
      <c r="G81" s="1" t="n">
        <v>19</v>
      </c>
      <c r="H81" s="1" t="n">
        <v>45345.92</v>
      </c>
      <c r="I81" s="1" t="inlineStr">
        <is>
          <t>Labour cost review</t>
        </is>
      </c>
      <c r="J81" s="1" t="inlineStr">
        <is>
          <t>VP supply chain</t>
        </is>
      </c>
      <c r="K81" s="1" t="inlineStr">
        <is>
          <t>Low</t>
        </is>
      </c>
      <c r="L81" s="1" t="inlineStr">
        <is>
          <t>2027Q4</t>
        </is>
      </c>
    </row>
    <row r="82">
      <c r="A82" s="1" t="inlineStr">
        <is>
          <t>EXP-2026-0081</t>
        </is>
      </c>
      <c r="B82" s="1" t="inlineStr">
        <is>
          <t>Granite Peak Distribution</t>
        </is>
      </c>
      <c r="C82" s="1" t="n">
        <v>3</v>
      </c>
      <c r="D82" s="1" t="inlineStr">
        <is>
          <t>Granite Yard annex 4</t>
        </is>
      </c>
      <c r="E82" s="1" t="inlineStr">
        <is>
          <t>Remote operations coverage</t>
        </is>
      </c>
      <c r="F82" s="1" t="n">
        <v>11</v>
      </c>
      <c r="G82" s="1" t="n">
        <v>25</v>
      </c>
      <c r="H82" s="1" t="n">
        <v>624963.16</v>
      </c>
      <c r="I82" s="1" t="inlineStr">
        <is>
          <t>Insurance recommendation after incident</t>
        </is>
      </c>
      <c r="J82" s="1" t="inlineStr">
        <is>
          <t>Continuous improvement lead</t>
        </is>
      </c>
      <c r="K82" s="1" t="inlineStr">
        <is>
          <t>Medium</t>
        </is>
      </c>
      <c r="L82" s="1" t="inlineStr">
        <is>
          <t>2026Q3</t>
        </is>
      </c>
    </row>
    <row r="83">
      <c r="A83" s="1" t="inlineStr">
        <is>
          <t>EXP-2026-0082</t>
        </is>
      </c>
      <c r="B83" s="1" t="inlineStr">
        <is>
          <t>Bellweather Auto Group</t>
        </is>
      </c>
      <c r="C83" s="1" t="n">
        <v>2</v>
      </c>
      <c r="D83" s="1" t="inlineStr">
        <is>
          <t>Bellweather PDC annex 3</t>
        </is>
      </c>
      <c r="E83" s="1" t="inlineStr">
        <is>
          <t>Additional cell</t>
        </is>
      </c>
      <c r="F83" s="1" t="n">
        <v>47</v>
      </c>
      <c r="G83" s="1" t="n">
        <v>19</v>
      </c>
      <c r="H83" s="1" t="n">
        <v>270171.75</v>
      </c>
      <c r="I83" s="1" t="inlineStr">
        <is>
          <t>Second shift added</t>
        </is>
      </c>
      <c r="J83" s="1" t="inlineStr">
        <is>
          <t>Site general manager</t>
        </is>
      </c>
      <c r="K83" s="1" t="inlineStr">
        <is>
          <t>Low</t>
        </is>
      </c>
      <c r="L83" s="1" t="inlineStr">
        <is>
          <t>2027Q2</t>
        </is>
      </c>
    </row>
    <row r="84">
      <c r="A84" s="1" t="inlineStr">
        <is>
          <t>EXP-2026-0083</t>
        </is>
      </c>
      <c r="B84" s="1" t="inlineStr">
        <is>
          <t>Asterion Logistics</t>
        </is>
      </c>
      <c r="C84" s="1" t="n">
        <v>4</v>
      </c>
      <c r="D84" s="1" t="inlineStr">
        <is>
          <t>Tracy DC annex 4</t>
        </is>
      </c>
      <c r="E84" s="1" t="inlineStr">
        <is>
          <t>Remote operations coverage</t>
        </is>
      </c>
      <c r="F84" s="1" t="n">
        <v>33</v>
      </c>
      <c r="G84" s="1" t="n">
        <v>4</v>
      </c>
      <c r="H84" s="1" t="n">
        <v>923486.86</v>
      </c>
      <c r="I84" s="1" t="inlineStr">
        <is>
          <t>Board-approved automation programme</t>
        </is>
      </c>
      <c r="J84" s="1" t="inlineStr">
        <is>
          <t>VP supply chain</t>
        </is>
      </c>
      <c r="K84" s="1" t="inlineStr">
        <is>
          <t>Medium</t>
        </is>
      </c>
      <c r="L84" s="1" t="inlineStr">
        <is>
          <t>2027Q3</t>
        </is>
      </c>
    </row>
    <row r="85">
      <c r="A85" s="1" t="inlineStr">
        <is>
          <t>EXP-2026-0084</t>
        </is>
      </c>
      <c r="B85" s="1" t="inlineStr">
        <is>
          <t>Yarrow Home Goods</t>
        </is>
      </c>
      <c r="C85" s="1" t="n">
        <v>5</v>
      </c>
      <c r="D85" s="1" t="inlineStr">
        <is>
          <t>Yarrow FC3 annex 5</t>
        </is>
      </c>
      <c r="E85" s="1" t="inlineStr">
        <is>
          <t>Remote operations coverage</t>
        </is>
      </c>
      <c r="F85" s="1" t="n">
        <v>6</v>
      </c>
      <c r="G85" s="1" t="n">
        <v>20</v>
      </c>
      <c r="H85" s="1" t="n">
        <v>631452.76</v>
      </c>
      <c r="I85" s="1" t="inlineStr">
        <is>
          <t>Board-approved automation programme</t>
        </is>
      </c>
      <c r="J85" s="1" t="inlineStr">
        <is>
          <t>VP supply chain</t>
        </is>
      </c>
      <c r="K85" s="1" t="inlineStr">
        <is>
          <t>Medium</t>
        </is>
      </c>
      <c r="L85" s="1" t="inlineStr">
        <is>
          <t>2027Q1</t>
        </is>
      </c>
    </row>
    <row r="86">
      <c r="A86" s="1" t="inlineStr">
        <is>
          <t>EXP-2026-0085</t>
        </is>
      </c>
      <c r="B86" s="1" t="inlineStr">
        <is>
          <t>Ironvale Grocery Group</t>
        </is>
      </c>
      <c r="C86" s="1" t="n">
        <v>3</v>
      </c>
      <c r="D86" s="1" t="inlineStr">
        <is>
          <t>Ironvale RDC annex 6</t>
        </is>
      </c>
      <c r="E86" s="1" t="inlineStr">
        <is>
          <t>New site</t>
        </is>
      </c>
      <c r="F86" s="1" t="n">
        <v>19</v>
      </c>
      <c r="G86" s="1" t="n">
        <v>9</v>
      </c>
      <c r="H86" s="1" t="n">
        <v>614576.95</v>
      </c>
      <c r="I86" s="1" t="inlineStr">
        <is>
          <t>Peak season throughput shortfall</t>
        </is>
      </c>
      <c r="J86" s="1" t="inlineStr">
        <is>
          <t>Continuous improvement lead</t>
        </is>
      </c>
      <c r="K86" s="1" t="inlineStr">
        <is>
          <t>Low</t>
        </is>
      </c>
      <c r="L86" s="1" t="inlineStr">
        <is>
          <t>2027Q2</t>
        </is>
      </c>
    </row>
    <row r="87">
      <c r="A87" s="1" t="inlineStr">
        <is>
          <t>EXP-2026-0086</t>
        </is>
      </c>
      <c r="B87" s="1" t="inlineStr">
        <is>
          <t>Evergreen Warehousing</t>
        </is>
      </c>
      <c r="C87" s="1" t="n">
        <v>1</v>
      </c>
      <c r="D87" s="1" t="inlineStr">
        <is>
          <t>Evergreen Bay 4 annex 7</t>
        </is>
      </c>
      <c r="E87" s="1" t="inlineStr">
        <is>
          <t>Spares pool expansion</t>
        </is>
      </c>
      <c r="F87" s="1" t="n">
        <v>20</v>
      </c>
      <c r="G87" s="1" t="n">
        <v>18</v>
      </c>
      <c r="H87" s="1" t="n">
        <v>481633.06</v>
      </c>
      <c r="I87" s="1" t="inlineStr">
        <is>
          <t>Insurance recommendation after incident</t>
        </is>
      </c>
      <c r="J87" s="1" t="inlineStr">
        <is>
          <t>VP supply chain</t>
        </is>
      </c>
      <c r="K87" s="1" t="inlineStr">
        <is>
          <t>Medium</t>
        </is>
      </c>
      <c r="L87" s="1" t="inlineStr">
        <is>
          <t>2026Q4</t>
        </is>
      </c>
    </row>
    <row r="88">
      <c r="A88" s="1" t="inlineStr">
        <is>
          <t>EXP-2026-0087</t>
        </is>
      </c>
      <c r="B88" s="1" t="inlineStr">
        <is>
          <t>Keystone Paper &amp; Pack</t>
        </is>
      </c>
      <c r="C88" s="1" t="n">
        <v>4</v>
      </c>
      <c r="D88" s="1" t="inlineStr">
        <is>
          <t>Keystone Mill 3 annex 8</t>
        </is>
      </c>
      <c r="E88" s="1" t="inlineStr">
        <is>
          <t>Remote operations coverage</t>
        </is>
      </c>
      <c r="F88" s="1" t="n">
        <v>19</v>
      </c>
      <c r="G88" s="1" t="n">
        <v>24</v>
      </c>
      <c r="H88" s="1" t="n">
        <v>102703.43</v>
      </c>
      <c r="I88" s="1" t="inlineStr">
        <is>
          <t>Labour cost review</t>
        </is>
      </c>
      <c r="J88" s="1" t="inlineStr">
        <is>
          <t>VP supply chain</t>
        </is>
      </c>
      <c r="K88" s="1" t="inlineStr">
        <is>
          <t>Low</t>
        </is>
      </c>
      <c r="L88" s="1" t="inlineStr">
        <is>
          <t>2026Q3</t>
        </is>
      </c>
    </row>
    <row r="89">
      <c r="A89" s="1" t="inlineStr">
        <is>
          <t>EXP-2026-0088</t>
        </is>
      </c>
      <c r="B89" s="1" t="inlineStr">
        <is>
          <t>Redwood Optics</t>
        </is>
      </c>
      <c r="C89" s="1" t="n">
        <v>6</v>
      </c>
      <c r="D89" s="1" t="inlineStr">
        <is>
          <t>Redwood Clean 3 annex 8</t>
        </is>
      </c>
      <c r="E89" s="1" t="inlineStr">
        <is>
          <t>Additional cell</t>
        </is>
      </c>
      <c r="F89" s="1" t="n">
        <v>35</v>
      </c>
      <c r="G89" s="1" t="n">
        <v>25</v>
      </c>
      <c r="H89" s="1" t="n">
        <v>877521.46</v>
      </c>
      <c r="I89" s="1" t="inlineStr">
        <is>
          <t>Second shift added</t>
        </is>
      </c>
      <c r="J89" s="1" t="inlineStr">
        <is>
          <t>Operations director</t>
        </is>
      </c>
      <c r="K89" s="1" t="inlineStr">
        <is>
          <t>Medium</t>
        </is>
      </c>
      <c r="L89" s="1" t="inlineStr">
        <is>
          <t>2027Q4</t>
        </is>
      </c>
    </row>
    <row r="90">
      <c r="A90" s="1" t="inlineStr">
        <is>
          <t>EXP-2026-0089</t>
        </is>
      </c>
      <c r="B90" s="1" t="inlineStr">
        <is>
          <t>Meridian Dynamics</t>
        </is>
      </c>
      <c r="C90" s="1" t="n">
        <v>6</v>
      </c>
      <c r="D90" s="1" t="inlineStr">
        <is>
          <t>Meridian Bay 7 annex 5</t>
        </is>
      </c>
      <c r="E90" s="1" t="inlineStr">
        <is>
          <t>Additional cell</t>
        </is>
      </c>
      <c r="F90" s="1" t="n">
        <v>3</v>
      </c>
      <c r="G90" s="1" t="n">
        <v>15</v>
      </c>
      <c r="H90" s="1" t="n">
        <v>151161.6</v>
      </c>
      <c r="I90" s="1" t="inlineStr">
        <is>
          <t>Second shift added</t>
        </is>
      </c>
      <c r="J90" s="1" t="inlineStr">
        <is>
          <t>VP supply chain</t>
        </is>
      </c>
      <c r="K90" s="1" t="inlineStr">
        <is>
          <t>Medium</t>
        </is>
      </c>
      <c r="L90" s="1" t="inlineStr">
        <is>
          <t>2027Q3</t>
        </is>
      </c>
    </row>
    <row r="91">
      <c r="A91" s="1" t="inlineStr">
        <is>
          <t>EXP-2026-0090</t>
        </is>
      </c>
      <c r="B91" s="1" t="inlineStr">
        <is>
          <t>Calder Marine Supply</t>
        </is>
      </c>
      <c r="C91" s="1" t="n">
        <v>5</v>
      </c>
      <c r="D91" s="1" t="inlineStr">
        <is>
          <t>Calder Dock 3 annex 5</t>
        </is>
      </c>
      <c r="E91" s="1" t="inlineStr">
        <is>
          <t>Spares pool expansion</t>
        </is>
      </c>
      <c r="F91" s="1" t="n">
        <v>8</v>
      </c>
      <c r="G91" s="1" t="n">
        <v>2</v>
      </c>
      <c r="H91" s="1" t="n">
        <v>717764.16</v>
      </c>
      <c r="I91" s="1" t="inlineStr">
        <is>
          <t>Insurance recommendation after incident</t>
        </is>
      </c>
      <c r="J91" s="1" t="inlineStr">
        <is>
          <t>Site general manager</t>
        </is>
      </c>
      <c r="K91" s="1" t="inlineStr">
        <is>
          <t>Medium</t>
        </is>
      </c>
      <c r="L91" s="1" t="inlineStr">
        <is>
          <t>2027Q4</t>
        </is>
      </c>
    </row>
    <row r="92">
      <c r="A92" s="1" t="inlineStr">
        <is>
          <t>EXP-2026-0091</t>
        </is>
      </c>
      <c r="B92" s="1" t="inlineStr">
        <is>
          <t>Alderbrook Textiles</t>
        </is>
      </c>
      <c r="C92" s="1" t="n">
        <v>6</v>
      </c>
      <c r="D92" s="1" t="inlineStr">
        <is>
          <t>Alderbrook Loom 1 annex 4</t>
        </is>
      </c>
      <c r="E92" s="1" t="inlineStr">
        <is>
          <t>Additional cell</t>
        </is>
      </c>
      <c r="F92" s="1" t="n">
        <v>19</v>
      </c>
      <c r="G92" s="1" t="n">
        <v>19</v>
      </c>
      <c r="H92" s="1" t="n">
        <v>464376.8</v>
      </c>
      <c r="I92" s="1" t="inlineStr">
        <is>
          <t>Labour cost review</t>
        </is>
      </c>
      <c r="J92" s="1" t="inlineStr">
        <is>
          <t>Site general manager</t>
        </is>
      </c>
      <c r="K92" s="1" t="inlineStr">
        <is>
          <t>Medium</t>
        </is>
      </c>
      <c r="L92" s="1" t="inlineStr">
        <is>
          <t>2026Q3</t>
        </is>
      </c>
    </row>
    <row r="93">
      <c r="A93" s="1" t="inlineStr">
        <is>
          <t>EXP-2026-0092</t>
        </is>
      </c>
      <c r="B93" s="1" t="inlineStr">
        <is>
          <t>Zephyr Air Cargo</t>
        </is>
      </c>
      <c r="C93" s="1" t="n">
        <v>3</v>
      </c>
      <c r="D93" s="1" t="inlineStr">
        <is>
          <t>Zephyr Ramp 2 annex 7</t>
        </is>
      </c>
      <c r="E93" s="1" t="inlineStr">
        <is>
          <t>Remote operations coverage</t>
        </is>
      </c>
      <c r="F93" s="1" t="n">
        <v>22</v>
      </c>
      <c r="G93" s="1" t="n">
        <v>18</v>
      </c>
      <c r="H93" s="1" t="n">
        <v>470710.65</v>
      </c>
      <c r="I93" s="1" t="inlineStr">
        <is>
          <t>Peak season throughput shortfall</t>
        </is>
      </c>
      <c r="J93" s="1" t="inlineStr">
        <is>
          <t>Operations director</t>
        </is>
      </c>
      <c r="K93" s="1" t="inlineStr">
        <is>
          <t>Medium</t>
        </is>
      </c>
      <c r="L93" s="1" t="inlineStr">
        <is>
          <t>2027Q2</t>
        </is>
      </c>
    </row>
    <row r="94">
      <c r="A94" s="1" t="inlineStr">
        <is>
          <t>EXP-2026-0093</t>
        </is>
      </c>
      <c r="B94" s="1" t="inlineStr">
        <is>
          <t>Dunbar Industrial</t>
        </is>
      </c>
      <c r="C94" s="1" t="n">
        <v>4</v>
      </c>
      <c r="D94" s="1" t="inlineStr">
        <is>
          <t>Dunbar Works annex 9</t>
        </is>
      </c>
      <c r="E94" s="1" t="inlineStr">
        <is>
          <t>Platform tier upgrade</t>
        </is>
      </c>
      <c r="F94" s="1" t="n">
        <v>38</v>
      </c>
      <c r="G94" s="1" t="n">
        <v>7</v>
      </c>
      <c r="H94" s="1" t="n">
        <v>519974.74</v>
      </c>
      <c r="I94" s="1" t="inlineStr">
        <is>
          <t>Insurance recommendation after incident</t>
        </is>
      </c>
      <c r="J94" s="1" t="inlineStr">
        <is>
          <t>Operations director</t>
        </is>
      </c>
      <c r="K94" s="1" t="inlineStr">
        <is>
          <t>Medium</t>
        </is>
      </c>
      <c r="L94" s="1" t="inlineStr">
        <is>
          <t>2026Q3</t>
        </is>
      </c>
    </row>
    <row r="95">
      <c r="A95" s="1" t="inlineStr">
        <is>
          <t>EXP-2026-0094</t>
        </is>
      </c>
      <c r="B95" s="1" t="inlineStr">
        <is>
          <t>Zephyr Air Cargo</t>
        </is>
      </c>
      <c r="C95" s="1" t="n">
        <v>1</v>
      </c>
      <c r="D95" s="1" t="inlineStr">
        <is>
          <t>Zephyr Ramp 2 annex 6</t>
        </is>
      </c>
      <c r="E95" s="1" t="inlineStr">
        <is>
          <t>Spares pool expansion</t>
        </is>
      </c>
      <c r="F95" s="1" t="n">
        <v>33</v>
      </c>
      <c r="G95" s="1" t="n">
        <v>24</v>
      </c>
      <c r="H95" s="1" t="n">
        <v>544122.91</v>
      </c>
      <c r="I95" s="1" t="inlineStr">
        <is>
          <t>Second shift added</t>
        </is>
      </c>
      <c r="J95" s="1" t="inlineStr">
        <is>
          <t>VP supply chain</t>
        </is>
      </c>
      <c r="K95" s="1" t="inlineStr">
        <is>
          <t>High</t>
        </is>
      </c>
      <c r="L95" s="1" t="inlineStr">
        <is>
          <t>2027Q2</t>
        </is>
      </c>
    </row>
    <row r="96">
      <c r="A96" s="1" t="inlineStr">
        <is>
          <t>EXP-2026-0095</t>
        </is>
      </c>
      <c r="B96" s="1" t="inlineStr">
        <is>
          <t>Orchard Grove Foods</t>
        </is>
      </c>
      <c r="C96" s="1" t="n">
        <v>5</v>
      </c>
      <c r="D96" s="1" t="inlineStr">
        <is>
          <t>Orchard Cold 2 annex 6</t>
        </is>
      </c>
      <c r="E96" s="1" t="inlineStr">
        <is>
          <t>Spares pool expansion</t>
        </is>
      </c>
      <c r="F96" s="1" t="n">
        <v>20</v>
      </c>
      <c r="G96" s="1" t="n">
        <v>18</v>
      </c>
      <c r="H96" s="1" t="n">
        <v>923972.16</v>
      </c>
      <c r="I96" s="1" t="inlineStr">
        <is>
          <t>Second shift added</t>
        </is>
      </c>
      <c r="J96" s="1" t="inlineStr">
        <is>
          <t>Continuous improvement lead</t>
        </is>
      </c>
      <c r="K96" s="1" t="inlineStr">
        <is>
          <t>Medium</t>
        </is>
      </c>
      <c r="L96" s="1" t="inlineStr">
        <is>
          <t>2026Q4</t>
        </is>
      </c>
    </row>
    <row r="97">
      <c r="A97" s="1" t="inlineStr">
        <is>
          <t>EXP-2026-0096</t>
        </is>
      </c>
      <c r="B97" s="1" t="inlineStr">
        <is>
          <t>Tamarack Electronics</t>
        </is>
      </c>
      <c r="C97" s="1" t="n">
        <v>4</v>
      </c>
      <c r="D97" s="1" t="inlineStr">
        <is>
          <t>Tamarack SMT 2 annex 8</t>
        </is>
      </c>
      <c r="E97" s="1" t="inlineStr">
        <is>
          <t>Platform tier upgrade</t>
        </is>
      </c>
      <c r="F97" s="1" t="n">
        <v>9</v>
      </c>
      <c r="G97" s="1" t="n">
        <v>7</v>
      </c>
      <c r="H97" s="1" t="n">
        <v>759329.65</v>
      </c>
      <c r="I97" s="1" t="inlineStr">
        <is>
          <t>Labour cost review</t>
        </is>
      </c>
      <c r="J97" s="1" t="inlineStr">
        <is>
          <t>VP supply chain</t>
        </is>
      </c>
      <c r="K97" s="1" t="inlineStr">
        <is>
          <t>Low</t>
        </is>
      </c>
      <c r="L97" s="1" t="inlineStr">
        <is>
          <t>2027Q3</t>
        </is>
      </c>
    </row>
    <row r="98">
      <c r="A98" s="1" t="inlineStr">
        <is>
          <t>EXP-2026-0097</t>
        </is>
      </c>
      <c r="B98" s="1" t="inlineStr">
        <is>
          <t>Redwood Optics</t>
        </is>
      </c>
      <c r="C98" s="1" t="n">
        <v>1</v>
      </c>
      <c r="D98" s="1" t="inlineStr">
        <is>
          <t>Redwood Clean 3 annex 2</t>
        </is>
      </c>
      <c r="E98" s="1" t="inlineStr">
        <is>
          <t>Platform tier upgrade</t>
        </is>
      </c>
      <c r="F98" s="1" t="n">
        <v>23</v>
      </c>
      <c r="G98" s="1" t="n">
        <v>19</v>
      </c>
      <c r="H98" s="1" t="n">
        <v>89104.84</v>
      </c>
      <c r="I98" s="1" t="inlineStr">
        <is>
          <t>Peak season throughput shortfall</t>
        </is>
      </c>
      <c r="J98" s="1" t="inlineStr">
        <is>
          <t>Operations director</t>
        </is>
      </c>
      <c r="K98" s="1" t="inlineStr">
        <is>
          <t>Low</t>
        </is>
      </c>
      <c r="L98" s="1" t="inlineStr">
        <is>
          <t>2027Q3</t>
        </is>
      </c>
    </row>
    <row r="99">
      <c r="A99" s="1" t="inlineStr">
        <is>
          <t>EXP-2026-0098</t>
        </is>
      </c>
      <c r="B99" s="1" t="inlineStr">
        <is>
          <t>Juniper Health Supply</t>
        </is>
      </c>
      <c r="C99" s="1" t="n">
        <v>5</v>
      </c>
      <c r="D99" s="1" t="inlineStr">
        <is>
          <t>Juniper Sterile 1 annex 9</t>
        </is>
      </c>
      <c r="E99" s="1" t="inlineStr">
        <is>
          <t>Platform tier upgrade</t>
        </is>
      </c>
      <c r="F99" s="1" t="n">
        <v>16</v>
      </c>
      <c r="G99" s="1" t="n">
        <v>12</v>
      </c>
      <c r="H99" s="1" t="n">
        <v>871189.74</v>
      </c>
      <c r="I99" s="1" t="inlineStr">
        <is>
          <t>Labour cost review</t>
        </is>
      </c>
      <c r="J99" s="1" t="inlineStr">
        <is>
          <t>Continuous improvement lead</t>
        </is>
      </c>
      <c r="K99" s="1" t="inlineStr">
        <is>
          <t>Medium</t>
        </is>
      </c>
      <c r="L99" s="1" t="inlineStr">
        <is>
          <t>2027Q2</t>
        </is>
      </c>
    </row>
    <row r="100">
      <c r="A100" s="1" t="inlineStr">
        <is>
          <t>EXP-2026-0099</t>
        </is>
      </c>
      <c r="B100" s="1" t="inlineStr">
        <is>
          <t>Zephyr Air Cargo</t>
        </is>
      </c>
      <c r="C100" s="1" t="n">
        <v>4</v>
      </c>
      <c r="D100" s="1" t="inlineStr">
        <is>
          <t>Zephyr Ramp 2 annex 6</t>
        </is>
      </c>
      <c r="E100" s="1" t="inlineStr">
        <is>
          <t>Platform tier upgrade</t>
        </is>
      </c>
      <c r="F100" s="1" t="n">
        <v>19</v>
      </c>
      <c r="G100" s="1" t="n">
        <v>19</v>
      </c>
      <c r="H100" s="1" t="n">
        <v>323057.33</v>
      </c>
      <c r="I100" s="1" t="inlineStr">
        <is>
          <t>Labour cost review</t>
        </is>
      </c>
      <c r="J100" s="1" t="inlineStr">
        <is>
          <t>VP supply chain</t>
        </is>
      </c>
      <c r="K100" s="1" t="inlineStr">
        <is>
          <t>Low</t>
        </is>
      </c>
      <c r="L100" s="1" t="inlineStr">
        <is>
          <t>2027Q2</t>
        </is>
      </c>
    </row>
    <row r="101">
      <c r="A101" s="1" t="inlineStr">
        <is>
          <t>EXP-2026-0100</t>
        </is>
      </c>
      <c r="B101" s="1" t="inlineStr">
        <is>
          <t>Crestline Fulfillment</t>
        </is>
      </c>
      <c r="C101" s="1" t="n">
        <v>2</v>
      </c>
      <c r="D101" s="1" t="inlineStr">
        <is>
          <t>Crestline FC1 annex 3</t>
        </is>
      </c>
      <c r="E101" s="1" t="inlineStr">
        <is>
          <t>Additional cell</t>
        </is>
      </c>
      <c r="F101" s="1" t="n">
        <v>19</v>
      </c>
      <c r="G101" s="1" t="n">
        <v>25</v>
      </c>
      <c r="H101" s="1" t="n">
        <v>843188.22</v>
      </c>
      <c r="I101" s="1" t="inlineStr">
        <is>
          <t>Insurance recommendation after incident</t>
        </is>
      </c>
      <c r="J101" s="1" t="inlineStr">
        <is>
          <t>Continuous improvement lead</t>
        </is>
      </c>
      <c r="K101" s="1" t="inlineStr">
        <is>
          <t>Medium</t>
        </is>
      </c>
      <c r="L101" s="1" t="inlineStr">
        <is>
          <t>2026Q4</t>
        </is>
      </c>
    </row>
    <row r="102">
      <c r="A102" s="1" t="inlineStr">
        <is>
          <t>EXP-2026-0101</t>
        </is>
      </c>
      <c r="B102" s="1" t="inlineStr">
        <is>
          <t>Pioneer Freight Union</t>
        </is>
      </c>
      <c r="C102" s="1" t="n">
        <v>5</v>
      </c>
      <c r="D102" s="1" t="inlineStr">
        <is>
          <t>Pioneer Hub annex 5</t>
        </is>
      </c>
      <c r="E102" s="1" t="inlineStr">
        <is>
          <t>Remote operations coverage</t>
        </is>
      </c>
      <c r="F102" s="1" t="n">
        <v>40</v>
      </c>
      <c r="G102" s="1" t="n">
        <v>22</v>
      </c>
      <c r="H102" s="1" t="n">
        <v>798412.4300000001</v>
      </c>
      <c r="I102" s="1" t="inlineStr">
        <is>
          <t>Insurance recommendation after incident</t>
        </is>
      </c>
      <c r="J102" s="1" t="inlineStr">
        <is>
          <t>Site general manager</t>
        </is>
      </c>
      <c r="K102" s="1" t="inlineStr">
        <is>
          <t>Medium</t>
        </is>
      </c>
      <c r="L102" s="1" t="inlineStr">
        <is>
          <t>2027Q3</t>
        </is>
      </c>
    </row>
    <row r="103">
      <c r="A103" s="1" t="inlineStr">
        <is>
          <t>EXP-2026-0102</t>
        </is>
      </c>
      <c r="B103" s="1" t="inlineStr">
        <is>
          <t>Pioneer Freight Union</t>
        </is>
      </c>
      <c r="C103" s="1" t="n">
        <v>2</v>
      </c>
      <c r="D103" s="1" t="inlineStr">
        <is>
          <t>Pioneer Hub annex 9</t>
        </is>
      </c>
      <c r="E103" s="1" t="inlineStr">
        <is>
          <t>Additional cell</t>
        </is>
      </c>
      <c r="F103" s="1" t="n">
        <v>24</v>
      </c>
      <c r="G103" s="1" t="n">
        <v>4</v>
      </c>
      <c r="H103" s="1" t="n">
        <v>381813.37</v>
      </c>
      <c r="I103" s="1" t="inlineStr">
        <is>
          <t>Labour cost review</t>
        </is>
      </c>
      <c r="J103" s="1" t="inlineStr">
        <is>
          <t>Continuous improvement lead</t>
        </is>
      </c>
      <c r="K103" s="1" t="inlineStr">
        <is>
          <t>Low</t>
        </is>
      </c>
      <c r="L103" s="1" t="inlineStr">
        <is>
          <t>2027Q3</t>
        </is>
      </c>
    </row>
    <row r="104">
      <c r="A104" s="1" t="inlineStr">
        <is>
          <t>EXP-2026-0103</t>
        </is>
      </c>
      <c r="B104" s="1" t="inlineStr">
        <is>
          <t>Ironvale Grocery Group</t>
        </is>
      </c>
      <c r="C104" s="1" t="n">
        <v>2</v>
      </c>
      <c r="D104" s="1" t="inlineStr">
        <is>
          <t>Ironvale RDC annex 9</t>
        </is>
      </c>
      <c r="E104" s="1" t="inlineStr">
        <is>
          <t>New site</t>
        </is>
      </c>
      <c r="F104" s="1" t="n">
        <v>14</v>
      </c>
      <c r="G104" s="1" t="n">
        <v>20</v>
      </c>
      <c r="H104" s="1" t="n">
        <v>455464</v>
      </c>
      <c r="I104" s="1" t="inlineStr">
        <is>
          <t>Insurance recommendation after incident</t>
        </is>
      </c>
      <c r="J104" s="1" t="inlineStr">
        <is>
          <t>Continuous improvement lead</t>
        </is>
      </c>
      <c r="K104" s="1" t="inlineStr">
        <is>
          <t>High</t>
        </is>
      </c>
      <c r="L104" s="1" t="inlineStr">
        <is>
          <t>2027Q3</t>
        </is>
      </c>
    </row>
    <row r="105">
      <c r="A105" s="1" t="inlineStr">
        <is>
          <t>EXP-2026-0104</t>
        </is>
      </c>
      <c r="B105" s="1" t="inlineStr">
        <is>
          <t>Zephyr Air Cargo</t>
        </is>
      </c>
      <c r="C105" s="1" t="n">
        <v>4</v>
      </c>
      <c r="D105" s="1" t="inlineStr">
        <is>
          <t>Zephyr Ramp 2 annex 9</t>
        </is>
      </c>
      <c r="E105" s="1" t="inlineStr">
        <is>
          <t>New site</t>
        </is>
      </c>
      <c r="F105" s="1" t="n">
        <v>40</v>
      </c>
      <c r="G105" s="1" t="n">
        <v>13</v>
      </c>
      <c r="H105" s="1" t="n">
        <v>261597.25</v>
      </c>
      <c r="I105" s="1" t="inlineStr">
        <is>
          <t>Insurance recommendation after incident</t>
        </is>
      </c>
      <c r="J105" s="1" t="inlineStr">
        <is>
          <t>Operations director</t>
        </is>
      </c>
      <c r="K105" s="1" t="inlineStr">
        <is>
          <t>Medium</t>
        </is>
      </c>
      <c r="L105" s="1" t="inlineStr">
        <is>
          <t>2026Q3</t>
        </is>
      </c>
    </row>
    <row r="106">
      <c r="A106" s="1" t="inlineStr">
        <is>
          <t>EXP-2026-0105</t>
        </is>
      </c>
      <c r="B106" s="1" t="inlineStr">
        <is>
          <t>Yarrow Home Goods</t>
        </is>
      </c>
      <c r="C106" s="1" t="n">
        <v>1</v>
      </c>
      <c r="D106" s="1" t="inlineStr">
        <is>
          <t>Yarrow FC3 annex 8</t>
        </is>
      </c>
      <c r="E106" s="1" t="inlineStr">
        <is>
          <t>New site</t>
        </is>
      </c>
      <c r="F106" s="1" t="n">
        <v>36</v>
      </c>
      <c r="G106" s="1" t="n">
        <v>13</v>
      </c>
      <c r="H106" s="1" t="n">
        <v>80025.75999999999</v>
      </c>
      <c r="I106" s="1" t="inlineStr">
        <is>
          <t>Second shift added</t>
        </is>
      </c>
      <c r="J106" s="1" t="inlineStr">
        <is>
          <t>Operations director</t>
        </is>
      </c>
      <c r="K106" s="1" t="inlineStr">
        <is>
          <t>Medium</t>
        </is>
      </c>
      <c r="L106" s="1" t="inlineStr">
        <is>
          <t>2026Q4</t>
        </is>
      </c>
    </row>
    <row r="107">
      <c r="A107" s="1" t="inlineStr">
        <is>
          <t>EXP-2026-0106</t>
        </is>
      </c>
      <c r="B107" s="1" t="inlineStr">
        <is>
          <t>Blue Mesa Components</t>
        </is>
      </c>
      <c r="C107" s="1" t="n">
        <v>3</v>
      </c>
      <c r="D107" s="1" t="inlineStr">
        <is>
          <t>Mesa Plant 2 annex 5</t>
        </is>
      </c>
      <c r="E107" s="1" t="inlineStr">
        <is>
          <t>Spares pool expansion</t>
        </is>
      </c>
      <c r="F107" s="1" t="n">
        <v>25</v>
      </c>
      <c r="G107" s="1" t="n">
        <v>3</v>
      </c>
      <c r="H107" s="1" t="n">
        <v>820154.53</v>
      </c>
      <c r="I107" s="1" t="inlineStr">
        <is>
          <t>Labour cost review</t>
        </is>
      </c>
      <c r="J107" s="1" t="inlineStr">
        <is>
          <t>Site general manager</t>
        </is>
      </c>
      <c r="K107" s="1" t="inlineStr">
        <is>
          <t>Medium</t>
        </is>
      </c>
      <c r="L107" s="1" t="inlineStr">
        <is>
          <t>2026Q3</t>
        </is>
      </c>
    </row>
    <row r="108">
      <c r="A108" s="1" t="inlineStr">
        <is>
          <t>EXP-2026-0107</t>
        </is>
      </c>
      <c r="B108" s="1" t="inlineStr">
        <is>
          <t>Vantage Robotics Supply</t>
        </is>
      </c>
      <c r="C108" s="1" t="n">
        <v>5</v>
      </c>
      <c r="D108" s="1" t="inlineStr">
        <is>
          <t>Vantage Depot annex 4</t>
        </is>
      </c>
      <c r="E108" s="1" t="inlineStr">
        <is>
          <t>Additional cell</t>
        </is>
      </c>
      <c r="F108" s="1" t="n">
        <v>38</v>
      </c>
      <c r="G108" s="1" t="n">
        <v>14</v>
      </c>
      <c r="H108" s="1" t="n">
        <v>807317.99</v>
      </c>
      <c r="I108" s="1" t="inlineStr">
        <is>
          <t>Board-approved automation programme</t>
        </is>
      </c>
      <c r="J108" s="1" t="inlineStr">
        <is>
          <t>VP supply chain</t>
        </is>
      </c>
      <c r="K108" s="1" t="inlineStr">
        <is>
          <t>Low</t>
        </is>
      </c>
      <c r="L108" s="1" t="inlineStr">
        <is>
          <t>2026Q4</t>
        </is>
      </c>
    </row>
    <row r="109">
      <c r="A109" s="1" t="inlineStr">
        <is>
          <t>EXP-2026-0108</t>
        </is>
      </c>
      <c r="B109" s="1" t="inlineStr">
        <is>
          <t>Tamarack Electronics</t>
        </is>
      </c>
      <c r="C109" s="1" t="n">
        <v>1</v>
      </c>
      <c r="D109" s="1" t="inlineStr">
        <is>
          <t>Tamarack SMT 2 annex 4</t>
        </is>
      </c>
      <c r="E109" s="1" t="inlineStr">
        <is>
          <t>Spares pool expansion</t>
        </is>
      </c>
      <c r="F109" s="1" t="n">
        <v>45</v>
      </c>
      <c r="G109" s="1" t="n">
        <v>11</v>
      </c>
      <c r="H109" s="1" t="n">
        <v>670057.1</v>
      </c>
      <c r="I109" s="1" t="inlineStr">
        <is>
          <t>Labour cost review</t>
        </is>
      </c>
      <c r="J109" s="1" t="inlineStr">
        <is>
          <t>Site general manager</t>
        </is>
      </c>
      <c r="K109" s="1" t="inlineStr">
        <is>
          <t>High</t>
        </is>
      </c>
      <c r="L109" s="1" t="inlineStr">
        <is>
          <t>2027Q2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customer</t>
        </is>
      </c>
      <c r="C1" s="1" t="inlineStr">
        <is>
          <t>contract_ref</t>
        </is>
      </c>
      <c r="D1" s="1" t="inlineStr">
        <is>
          <t>annual_fee_at_risk</t>
        </is>
      </c>
      <c r="E1" s="1" t="inlineStr">
        <is>
          <t>risk_driver</t>
        </is>
      </c>
      <c r="F1" s="1" t="inlineStr">
        <is>
          <t>first_flagged</t>
        </is>
      </c>
      <c r="G1" s="1" t="inlineStr">
        <is>
          <t>last_reviewed</t>
        </is>
      </c>
      <c r="H1" s="1" t="inlineStr">
        <is>
          <t>escalation_level</t>
        </is>
      </c>
      <c r="I1" s="1" t="inlineStr">
        <is>
          <t>mitigation_action</t>
        </is>
      </c>
      <c r="J1" s="1" t="inlineStr">
        <is>
          <t>action_owner</t>
        </is>
      </c>
      <c r="K1" s="1" t="inlineStr">
        <is>
          <t>action_due</t>
        </is>
      </c>
      <c r="L1" s="1" t="inlineStr">
        <is>
          <t>resolved</t>
        </is>
      </c>
    </row>
    <row r="2">
      <c r="A2" s="1" t="inlineStr">
        <is>
          <t>CHR-2026-001</t>
        </is>
      </c>
      <c r="B2" s="1" t="inlineStr">
        <is>
          <t>Juniper Health Supply</t>
        </is>
      </c>
      <c r="C2" s="1" t="inlineStr">
        <is>
          <t>JHS-MSA-2025-48</t>
        </is>
      </c>
      <c r="D2" s="1" t="n">
        <v>1038555.77</v>
      </c>
      <c r="E2" s="1" t="inlineStr">
        <is>
          <t>Merger integration freeze</t>
        </is>
      </c>
      <c r="F2" s="2" t="n">
        <v>45840</v>
      </c>
      <c r="G2" s="2" t="n">
        <v>45926</v>
      </c>
      <c r="H2" s="1" t="inlineStr">
        <is>
          <t>Account team</t>
        </is>
      </c>
      <c r="I2" s="1" t="inlineStr">
        <is>
          <t>Executive business review scheduled</t>
        </is>
      </c>
      <c r="J2" s="1" t="inlineStr">
        <is>
          <t>J. Alvarez</t>
        </is>
      </c>
      <c r="K2" s="2" t="n">
        <v>46030</v>
      </c>
      <c r="L2" s="1" t="inlineStr">
        <is>
          <t>Partially</t>
        </is>
      </c>
    </row>
    <row r="3">
      <c r="A3" s="1" t="inlineStr">
        <is>
          <t>CHR-2026-002</t>
        </is>
      </c>
      <c r="B3" s="1" t="inlineStr">
        <is>
          <t>Ironvale Grocery Group</t>
        </is>
      </c>
      <c r="C3" s="1" t="inlineStr">
        <is>
          <t>IVG-MSA-2023-32</t>
        </is>
      </c>
      <c r="D3" s="1" t="n">
        <v>683731.52</v>
      </c>
      <c r="E3" s="1" t="inlineStr">
        <is>
          <t>Merger integration freeze</t>
        </is>
      </c>
      <c r="F3" s="2" t="n">
        <v>46169</v>
      </c>
      <c r="G3" s="2" t="n">
        <v>46212</v>
      </c>
      <c r="H3" s="1" t="inlineStr">
        <is>
          <t>Executive sponsor</t>
        </is>
      </c>
      <c r="I3" s="1" t="inlineStr">
        <is>
          <t>Executive business review scheduled</t>
        </is>
      </c>
      <c r="J3" s="1" t="inlineStr">
        <is>
          <t>J. Alvarez</t>
        </is>
      </c>
      <c r="K3" s="2" t="n">
        <v>46400</v>
      </c>
      <c r="L3" s="1" t="inlineStr">
        <is>
          <t>No</t>
        </is>
      </c>
    </row>
    <row r="4">
      <c r="A4" s="1" t="inlineStr">
        <is>
          <t>CHR-2026-003</t>
        </is>
      </c>
      <c r="B4" s="1" t="inlineStr">
        <is>
          <t>Dorsey Grain Cooperative</t>
        </is>
      </c>
      <c r="C4" s="1" t="inlineStr">
        <is>
          <t>DGC-MSA-2023-36</t>
        </is>
      </c>
      <c r="D4" s="1" t="n">
        <v>87524.22</v>
      </c>
      <c r="E4" s="1" t="inlineStr">
        <is>
          <t>Unresolved punch list at acceptance</t>
        </is>
      </c>
      <c r="F4" s="2" t="n">
        <v>46143</v>
      </c>
      <c r="G4" s="2" t="n">
        <v>46289</v>
      </c>
      <c r="H4" s="1" t="inlineStr">
        <is>
          <t>Executive sponsor</t>
        </is>
      </c>
      <c r="I4" s="1" t="inlineStr">
        <is>
          <t>Weekly reliability review with site leadership</t>
        </is>
      </c>
      <c r="J4" s="1" t="inlineStr">
        <is>
          <t>J. Alvarez</t>
        </is>
      </c>
      <c r="K4" s="2" t="n">
        <v>46301</v>
      </c>
      <c r="L4" s="1" t="inlineStr">
        <is>
          <t>No</t>
        </is>
      </c>
    </row>
    <row r="5">
      <c r="A5" s="1" t="inlineStr">
        <is>
          <t>CHR-2026-004</t>
        </is>
      </c>
      <c r="B5" s="1" t="inlineStr">
        <is>
          <t>Zephyr Air Cargo</t>
        </is>
      </c>
      <c r="C5" s="1" t="inlineStr">
        <is>
          <t>ZAC-MSA-2023-44</t>
        </is>
      </c>
      <c r="D5" s="1" t="n">
        <v>632971.1</v>
      </c>
      <c r="E5" s="1" t="inlineStr">
        <is>
          <t>Merger integration freeze</t>
        </is>
      </c>
      <c r="F5" s="2" t="n">
        <v>46049</v>
      </c>
      <c r="G5" s="2" t="n">
        <v>46220</v>
      </c>
      <c r="H5" s="1" t="inlineStr">
        <is>
          <t>VP Customer Operations</t>
        </is>
      </c>
      <c r="I5" s="1" t="inlineStr">
        <is>
          <t>Weekly reliability review with site leadership</t>
        </is>
      </c>
      <c r="J5" s="1" t="inlineStr">
        <is>
          <t>J. Alvarez</t>
        </is>
      </c>
      <c r="K5" s="2" t="n">
        <v>46094</v>
      </c>
      <c r="L5" s="1" t="inlineStr">
        <is>
          <t>Yes</t>
        </is>
      </c>
    </row>
    <row r="6">
      <c r="A6" s="1" t="inlineStr">
        <is>
          <t>CHR-2026-005</t>
        </is>
      </c>
      <c r="B6" s="1" t="inlineStr">
        <is>
          <t>Meridian Dynamics</t>
        </is>
      </c>
      <c r="C6" s="1" t="inlineStr">
        <is>
          <t>MDY-MSA-2024-64</t>
        </is>
      </c>
      <c r="D6" s="1" t="n">
        <v>972553.8100000001</v>
      </c>
      <c r="E6" s="1" t="inlineStr">
        <is>
          <t>Unresolved punch list at acceptance</t>
        </is>
      </c>
      <c r="F6" s="2" t="n">
        <v>45821</v>
      </c>
      <c r="G6" s="2" t="n">
        <v>45981</v>
      </c>
      <c r="H6" s="1" t="inlineStr">
        <is>
          <t>Executive sponsor</t>
        </is>
      </c>
      <c r="I6" s="1" t="inlineStr">
        <is>
          <t>Firmware remediation committed with dates</t>
        </is>
      </c>
      <c r="J6" s="1" t="inlineStr">
        <is>
          <t>T. Ferreira</t>
        </is>
      </c>
      <c r="K6" s="2" t="n">
        <v>45897</v>
      </c>
      <c r="L6" s="1" t="inlineStr">
        <is>
          <t>No</t>
        </is>
      </c>
    </row>
    <row r="7">
      <c r="A7" s="1" t="inlineStr">
        <is>
          <t>CHR-2026-006</t>
        </is>
      </c>
      <c r="B7" s="1" t="inlineStr">
        <is>
          <t>Juniper Health Supply</t>
        </is>
      </c>
      <c r="C7" s="1" t="inlineStr">
        <is>
          <t>JHS-MSA-2023-69</t>
        </is>
      </c>
      <c r="D7" s="1" t="n">
        <v>701690.26</v>
      </c>
      <c r="E7" s="1" t="inlineStr">
        <is>
          <t>Sponsor departure</t>
        </is>
      </c>
      <c r="F7" s="2" t="n">
        <v>46031</v>
      </c>
      <c r="G7" s="2" t="n">
        <v>46115</v>
      </c>
      <c r="H7" s="1" t="inlineStr">
        <is>
          <t>VP Customer Operations</t>
        </is>
      </c>
      <c r="I7" s="1" t="inlineStr">
        <is>
          <t>Weekly reliability review with site leadership</t>
        </is>
      </c>
      <c r="J7" s="1" t="inlineStr">
        <is>
          <t>F. Roux</t>
        </is>
      </c>
      <c r="K7" s="2" t="n">
        <v>46163</v>
      </c>
      <c r="L7" s="1" t="inlineStr">
        <is>
          <t>Partially</t>
        </is>
      </c>
    </row>
    <row r="8">
      <c r="A8" s="1" t="inlineStr">
        <is>
          <t>CHR-2026-007</t>
        </is>
      </c>
      <c r="B8" s="1" t="inlineStr">
        <is>
          <t>Quarrybridge Materials</t>
        </is>
      </c>
      <c r="C8" s="1" t="inlineStr">
        <is>
          <t>QBM-MSA-2023-68</t>
        </is>
      </c>
      <c r="D8" s="1" t="n">
        <v>620061.73</v>
      </c>
      <c r="E8" s="1" t="inlineStr">
        <is>
          <t>Pricing above renewal benchmark</t>
        </is>
      </c>
      <c r="F8" s="2" t="n">
        <v>45835</v>
      </c>
      <c r="G8" s="2" t="n">
        <v>45898</v>
      </c>
      <c r="H8" s="1" t="inlineStr">
        <is>
          <t>Account team</t>
        </is>
      </c>
      <c r="I8" s="1" t="inlineStr">
        <is>
          <t>Service credit settlement proposed</t>
        </is>
      </c>
      <c r="J8" s="1" t="inlineStr">
        <is>
          <t>T. Ferreira</t>
        </is>
      </c>
      <c r="K8" s="2" t="n">
        <v>46017</v>
      </c>
      <c r="L8" s="1" t="inlineStr">
        <is>
          <t>Partially</t>
        </is>
      </c>
    </row>
    <row r="9">
      <c r="A9" s="1" t="inlineStr">
        <is>
          <t>CHR-2026-008</t>
        </is>
      </c>
      <c r="B9" s="1" t="inlineStr">
        <is>
          <t>Northfield Beverage</t>
        </is>
      </c>
      <c r="C9" s="1" t="inlineStr">
        <is>
          <t>NFB-MSA-2024-41</t>
        </is>
      </c>
      <c r="D9" s="1" t="n">
        <v>1177589.33</v>
      </c>
      <c r="E9" s="1" t="inlineStr">
        <is>
          <t>Unresolved punch list at acceptance</t>
        </is>
      </c>
      <c r="F9" s="2" t="n">
        <v>45936</v>
      </c>
      <c r="G9" s="2" t="n">
        <v>45967</v>
      </c>
      <c r="H9" s="1" t="inlineStr">
        <is>
          <t>Account team</t>
        </is>
      </c>
      <c r="I9" s="1" t="inlineStr">
        <is>
          <t>Service credit settlement proposed</t>
        </is>
      </c>
      <c r="J9" s="1" t="inlineStr">
        <is>
          <t>F. Roux</t>
        </is>
      </c>
      <c r="K9" s="2" t="n">
        <v>45989</v>
      </c>
      <c r="L9" s="1" t="inlineStr">
        <is>
          <t>Partially</t>
        </is>
      </c>
    </row>
    <row r="10">
      <c r="A10" s="1" t="inlineStr">
        <is>
          <t>CHR-2026-009</t>
        </is>
      </c>
      <c r="B10" s="1" t="inlineStr">
        <is>
          <t>Ironvale Grocery Group</t>
        </is>
      </c>
      <c r="C10" s="1" t="inlineStr">
        <is>
          <t>IVG-MSA-2024-89</t>
        </is>
      </c>
      <c r="D10" s="1" t="n">
        <v>123305.11</v>
      </c>
      <c r="E10" s="1" t="inlineStr">
        <is>
          <t>Merger integration freeze</t>
        </is>
      </c>
      <c r="F10" s="2" t="n">
        <v>45960</v>
      </c>
      <c r="G10" s="2" t="n">
        <v>46128</v>
      </c>
      <c r="H10" s="1" t="inlineStr">
        <is>
          <t>VP Customer Operations</t>
        </is>
      </c>
      <c r="I10" s="1" t="inlineStr">
        <is>
          <t>Service credit settlement proposed</t>
        </is>
      </c>
      <c r="J10" s="1" t="inlineStr">
        <is>
          <t>T. Ferreira</t>
        </is>
      </c>
      <c r="K10" s="2" t="n">
        <v>46049</v>
      </c>
      <c r="L10" s="1" t="inlineStr">
        <is>
          <t>Yes</t>
        </is>
      </c>
    </row>
    <row r="11">
      <c r="A11" s="1" t="inlineStr">
        <is>
          <t>CHR-2026-010</t>
        </is>
      </c>
      <c r="B11" s="1" t="inlineStr">
        <is>
          <t>Granite Peak Distribution</t>
        </is>
      </c>
      <c r="C11" s="1" t="inlineStr">
        <is>
          <t>GPD-MSA-2025-43</t>
        </is>
      </c>
      <c r="D11" s="1" t="n">
        <v>831532.48</v>
      </c>
      <c r="E11" s="1" t="inlineStr">
        <is>
          <t>Merger integration freeze</t>
        </is>
      </c>
      <c r="F11" s="2" t="n">
        <v>46126</v>
      </c>
      <c r="G11" s="2" t="n">
        <v>46212</v>
      </c>
      <c r="H11" s="1" t="inlineStr">
        <is>
          <t>Account team</t>
        </is>
      </c>
      <c r="I11" s="1" t="inlineStr">
        <is>
          <t>Weekly reliability review with site leadership</t>
        </is>
      </c>
      <c r="J11" s="1" t="inlineStr">
        <is>
          <t>F. Roux</t>
        </is>
      </c>
      <c r="K11" s="2" t="n">
        <v>46246</v>
      </c>
      <c r="L11" s="1" t="inlineStr">
        <is>
          <t>Yes</t>
        </is>
      </c>
    </row>
    <row r="12">
      <c r="A12" s="1" t="inlineStr">
        <is>
          <t>CHR-2026-011</t>
        </is>
      </c>
      <c r="B12" s="1" t="inlineStr">
        <is>
          <t>Keystone Paper &amp; Pack</t>
        </is>
      </c>
      <c r="C12" s="1" t="inlineStr">
        <is>
          <t>KPP-MSA-2024-68</t>
        </is>
      </c>
      <c r="D12" s="1" t="n">
        <v>153719.78</v>
      </c>
      <c r="E12" s="1" t="inlineStr">
        <is>
          <t>Pricing above renewal benchmark</t>
        </is>
      </c>
      <c r="F12" s="2" t="n">
        <v>45917</v>
      </c>
      <c r="G12" s="2" t="n">
        <v>45974</v>
      </c>
      <c r="H12" s="1" t="inlineStr">
        <is>
          <t>Executive sponsor</t>
        </is>
      </c>
      <c r="I12" s="1" t="inlineStr">
        <is>
          <t>Weekly reliability review with site leadership</t>
        </is>
      </c>
      <c r="J12" s="1" t="inlineStr">
        <is>
          <t>F. Roux</t>
        </is>
      </c>
      <c r="K12" s="2" t="n">
        <v>46085</v>
      </c>
      <c r="L12" s="1" t="inlineStr">
        <is>
          <t>Yes</t>
        </is>
      </c>
    </row>
    <row r="13">
      <c r="A13" s="1" t="inlineStr">
        <is>
          <t>CHR-2026-012</t>
        </is>
      </c>
      <c r="B13" s="1" t="inlineStr">
        <is>
          <t>Ironvale Grocery Group</t>
        </is>
      </c>
      <c r="C13" s="1" t="inlineStr">
        <is>
          <t>IVG-MSA-2023-44</t>
        </is>
      </c>
      <c r="D13" s="1" t="n">
        <v>782538.21</v>
      </c>
      <c r="E13" s="1" t="inlineStr">
        <is>
          <t>Unresolved punch list at acceptance</t>
        </is>
      </c>
      <c r="F13" s="2" t="n">
        <v>46156</v>
      </c>
      <c r="G13" s="2" t="n">
        <v>46210</v>
      </c>
      <c r="H13" s="1" t="inlineStr">
        <is>
          <t>Executive sponsor</t>
        </is>
      </c>
      <c r="I13" s="1" t="inlineStr">
        <is>
          <t>Commercial restructure of the support tier</t>
        </is>
      </c>
      <c r="J13" s="1" t="inlineStr">
        <is>
          <t>T. Ferreira</t>
        </is>
      </c>
      <c r="K13" s="2" t="n">
        <v>46356</v>
      </c>
      <c r="L13" s="1" t="inlineStr">
        <is>
          <t>Yes</t>
        </is>
      </c>
    </row>
    <row r="14">
      <c r="A14" s="1" t="inlineStr">
        <is>
          <t>CHR-2026-013</t>
        </is>
      </c>
      <c r="B14" s="1" t="inlineStr">
        <is>
          <t>Northfield Beverage</t>
        </is>
      </c>
      <c r="C14" s="1" t="inlineStr">
        <is>
          <t>NFB-MSA-2023-55</t>
        </is>
      </c>
      <c r="D14" s="1" t="n">
        <v>458231.92</v>
      </c>
      <c r="E14" s="1" t="inlineStr">
        <is>
          <t>Unresolved punch list at acceptance</t>
        </is>
      </c>
      <c r="F14" s="2" t="n">
        <v>45940</v>
      </c>
      <c r="G14" s="2" t="n">
        <v>46078</v>
      </c>
      <c r="H14" s="1" t="inlineStr">
        <is>
          <t>VP Customer Operations</t>
        </is>
      </c>
      <c r="I14" s="1" t="inlineStr">
        <is>
          <t>Executive business review scheduled</t>
        </is>
      </c>
      <c r="J14" s="1" t="inlineStr">
        <is>
          <t>F. Roux</t>
        </is>
      </c>
      <c r="K14" s="2" t="n">
        <v>46113</v>
      </c>
      <c r="L14" s="1" t="inlineStr">
        <is>
          <t>Partially</t>
        </is>
      </c>
    </row>
    <row r="15">
      <c r="A15" s="1" t="inlineStr">
        <is>
          <t>CHR-2026-014</t>
        </is>
      </c>
      <c r="B15" s="1" t="inlineStr">
        <is>
          <t>Granite Peak Distribution</t>
        </is>
      </c>
      <c r="C15" s="1" t="inlineStr">
        <is>
          <t>GPD-MSA-2025-45</t>
        </is>
      </c>
      <c r="D15" s="1" t="n">
        <v>133331.08</v>
      </c>
      <c r="E15" s="1" t="inlineStr">
        <is>
          <t>Repeated availability breaches</t>
        </is>
      </c>
      <c r="F15" s="2" t="n">
        <v>46021</v>
      </c>
      <c r="G15" s="2" t="n">
        <v>46163</v>
      </c>
      <c r="H15" s="1" t="inlineStr">
        <is>
          <t>Account team</t>
        </is>
      </c>
      <c r="I15" s="1" t="inlineStr">
        <is>
          <t>Weekly reliability review with site leadership</t>
        </is>
      </c>
      <c r="J15" s="1" t="inlineStr">
        <is>
          <t>J. Alvarez</t>
        </is>
      </c>
      <c r="K15" s="2" t="n">
        <v>46104</v>
      </c>
      <c r="L15" s="1" t="inlineStr">
        <is>
          <t>No</t>
        </is>
      </c>
    </row>
    <row r="16">
      <c r="A16" s="1" t="inlineStr">
        <is>
          <t>CHR-2026-015</t>
        </is>
      </c>
      <c r="B16" s="1" t="inlineStr">
        <is>
          <t>Pioneer Freight Union</t>
        </is>
      </c>
      <c r="C16" s="1" t="inlineStr">
        <is>
          <t>PFU-MSA-2024-76</t>
        </is>
      </c>
      <c r="D16" s="1" t="n">
        <v>922059.3199999999</v>
      </c>
      <c r="E16" s="1" t="inlineStr">
        <is>
          <t>Repeated availability breaches</t>
        </is>
      </c>
      <c r="F16" s="2" t="n">
        <v>45888</v>
      </c>
      <c r="G16" s="2" t="n">
        <v>45958</v>
      </c>
      <c r="H16" s="1" t="inlineStr">
        <is>
          <t>Executive sponsor</t>
        </is>
      </c>
      <c r="I16" s="1" t="inlineStr">
        <is>
          <t>Service credit settlement proposed</t>
        </is>
      </c>
      <c r="J16" s="1" t="inlineStr">
        <is>
          <t>T. Ferreira</t>
        </is>
      </c>
      <c r="K16" s="2" t="n">
        <v>45982</v>
      </c>
      <c r="L16" s="1" t="inlineStr">
        <is>
          <t>No</t>
        </is>
      </c>
    </row>
    <row r="17">
      <c r="A17" s="1" t="inlineStr">
        <is>
          <t>CHR-2026-016</t>
        </is>
      </c>
      <c r="B17" s="1" t="inlineStr">
        <is>
          <t>Bellweather Auto Group</t>
        </is>
      </c>
      <c r="C17" s="1" t="inlineStr">
        <is>
          <t>BWA-MSA-2023-37</t>
        </is>
      </c>
      <c r="D17" s="1" t="n">
        <v>677099.85</v>
      </c>
      <c r="E17" s="1" t="inlineStr">
        <is>
          <t>Pricing above renewal benchmark</t>
        </is>
      </c>
      <c r="F17" s="2" t="n">
        <v>46083</v>
      </c>
      <c r="G17" s="2" t="n">
        <v>46262</v>
      </c>
      <c r="H17" s="1" t="inlineStr">
        <is>
          <t>Account team</t>
        </is>
      </c>
      <c r="I17" s="1" t="inlineStr">
        <is>
          <t>Firmware remediation committed with dates</t>
        </is>
      </c>
      <c r="J17" s="1" t="inlineStr">
        <is>
          <t>J. Alvarez</t>
        </is>
      </c>
      <c r="K17" s="2" t="n">
        <v>46261</v>
      </c>
      <c r="L17" s="1" t="inlineStr">
        <is>
          <t>Yes</t>
        </is>
      </c>
    </row>
    <row r="18">
      <c r="A18" s="1" t="inlineStr">
        <is>
          <t>CHR-2026-017</t>
        </is>
      </c>
      <c r="B18" s="1" t="inlineStr">
        <is>
          <t>Vantage Robotics Supply</t>
        </is>
      </c>
      <c r="C18" s="1" t="inlineStr">
        <is>
          <t>VRS-MSA-2025-86</t>
        </is>
      </c>
      <c r="D18" s="1" t="n">
        <v>89670.27</v>
      </c>
      <c r="E18" s="1" t="inlineStr">
        <is>
          <t>Unresolved punch list at acceptance</t>
        </is>
      </c>
      <c r="F18" s="2" t="n">
        <v>46051</v>
      </c>
      <c r="G18" s="2" t="n">
        <v>46133</v>
      </c>
      <c r="H18" s="1" t="inlineStr">
        <is>
          <t>Account team</t>
        </is>
      </c>
      <c r="I18" s="1" t="inlineStr">
        <is>
          <t>Executive business review scheduled</t>
        </is>
      </c>
      <c r="J18" s="1" t="inlineStr">
        <is>
          <t>J. Alvarez</t>
        </is>
      </c>
      <c r="K18" s="2" t="n">
        <v>46294</v>
      </c>
      <c r="L18" s="1" t="inlineStr">
        <is>
          <t>No</t>
        </is>
      </c>
    </row>
    <row r="19">
      <c r="A19" s="1" t="inlineStr">
        <is>
          <t>CHR-2026-018</t>
        </is>
      </c>
      <c r="B19" s="1" t="inlineStr">
        <is>
          <t>Union Vale Pharma</t>
        </is>
      </c>
      <c r="C19" s="1" t="inlineStr">
        <is>
          <t>UVP-MSA-2025-73</t>
        </is>
      </c>
      <c r="D19" s="1" t="n">
        <v>817260.61</v>
      </c>
      <c r="E19" s="1" t="inlineStr">
        <is>
          <t>Repeated availability breaches</t>
        </is>
      </c>
      <c r="F19" s="2" t="n">
        <v>45867</v>
      </c>
      <c r="G19" s="2" t="n">
        <v>45923</v>
      </c>
      <c r="H19" s="1" t="inlineStr">
        <is>
          <t>VP Customer Operations</t>
        </is>
      </c>
      <c r="I19" s="1" t="inlineStr">
        <is>
          <t>Firmware remediation committed with dates</t>
        </is>
      </c>
      <c r="J19" s="1" t="inlineStr">
        <is>
          <t>H. Ferrand</t>
        </is>
      </c>
      <c r="K19" s="2" t="n">
        <v>46017</v>
      </c>
      <c r="L19" s="1" t="inlineStr">
        <is>
          <t>No</t>
        </is>
      </c>
    </row>
    <row r="20">
      <c r="A20" s="1" t="inlineStr">
        <is>
          <t>CHR-2026-019</t>
        </is>
      </c>
      <c r="B20" s="1" t="inlineStr">
        <is>
          <t>Union Vale Pharma</t>
        </is>
      </c>
      <c r="C20" s="1" t="inlineStr">
        <is>
          <t>UVP-MSA-2023-68</t>
        </is>
      </c>
      <c r="D20" s="1" t="n">
        <v>92961.62</v>
      </c>
      <c r="E20" s="1" t="inlineStr">
        <is>
          <t>Repeated availability breaches</t>
        </is>
      </c>
      <c r="F20" s="2" t="n">
        <v>46058</v>
      </c>
      <c r="G20" s="2" t="n">
        <v>46177</v>
      </c>
      <c r="H20" s="1" t="inlineStr">
        <is>
          <t>Account team</t>
        </is>
      </c>
      <c r="I20" s="1" t="inlineStr">
        <is>
          <t>Executive business review scheduled</t>
        </is>
      </c>
      <c r="J20" s="1" t="inlineStr">
        <is>
          <t>J. Alvarez</t>
        </is>
      </c>
      <c r="K20" s="2" t="n">
        <v>46293</v>
      </c>
      <c r="L20" s="1" t="inlineStr">
        <is>
          <t>Partially</t>
        </is>
      </c>
    </row>
    <row r="21">
      <c r="A21" s="1" t="inlineStr">
        <is>
          <t>CHR-2026-020</t>
        </is>
      </c>
      <c r="B21" s="1" t="inlineStr">
        <is>
          <t>Redwood Optics</t>
        </is>
      </c>
      <c r="C21" s="1" t="inlineStr">
        <is>
          <t>RWO-MSA-2024-85</t>
        </is>
      </c>
      <c r="D21" s="1" t="n">
        <v>752060.3199999999</v>
      </c>
      <c r="E21" s="1" t="inlineStr">
        <is>
          <t>Merger integration freeze</t>
        </is>
      </c>
      <c r="F21" s="2" t="n">
        <v>45831</v>
      </c>
      <c r="G21" s="2" t="n">
        <v>45954</v>
      </c>
      <c r="H21" s="1" t="inlineStr">
        <is>
          <t>Account team</t>
        </is>
      </c>
      <c r="I21" s="1" t="inlineStr">
        <is>
          <t>Firmware remediation committed with dates</t>
        </is>
      </c>
      <c r="J21" s="1" t="inlineStr">
        <is>
          <t>T. Ferreira</t>
        </is>
      </c>
      <c r="K21" s="2" t="n">
        <v>46090</v>
      </c>
      <c r="L21" s="1" t="inlineStr">
        <is>
          <t>No</t>
        </is>
      </c>
    </row>
    <row r="22">
      <c r="A22" s="1" t="inlineStr">
        <is>
          <t>CHR-2026-021</t>
        </is>
      </c>
      <c r="B22" s="1" t="inlineStr">
        <is>
          <t>Tamarack Electronics</t>
        </is>
      </c>
      <c r="C22" s="1" t="inlineStr">
        <is>
          <t>TCE-MSA-2024-75</t>
        </is>
      </c>
      <c r="D22" s="1" t="n">
        <v>1047049.57</v>
      </c>
      <c r="E22" s="1" t="inlineStr">
        <is>
          <t>Merger integration freeze</t>
        </is>
      </c>
      <c r="F22" s="2" t="n">
        <v>45933</v>
      </c>
      <c r="G22" s="2" t="n">
        <v>45959</v>
      </c>
      <c r="H22" s="1" t="inlineStr">
        <is>
          <t>VP Customer Operations</t>
        </is>
      </c>
      <c r="I22" s="1" t="inlineStr">
        <is>
          <t>Commercial restructure of the support tier</t>
        </is>
      </c>
      <c r="J22" s="1" t="inlineStr">
        <is>
          <t>J. Alvarez</t>
        </is>
      </c>
      <c r="K22" s="2" t="n">
        <v>46188</v>
      </c>
      <c r="L22" s="1" t="inlineStr">
        <is>
          <t>No</t>
        </is>
      </c>
    </row>
    <row r="23">
      <c r="A23" s="1" t="inlineStr">
        <is>
          <t>CHR-2026-022</t>
        </is>
      </c>
      <c r="B23" s="1" t="inlineStr">
        <is>
          <t>Bellweather Auto Group</t>
        </is>
      </c>
      <c r="C23" s="1" t="inlineStr">
        <is>
          <t>BWA-MSA-2024-27</t>
        </is>
      </c>
      <c r="D23" s="1" t="n">
        <v>754052.92</v>
      </c>
      <c r="E23" s="1" t="inlineStr">
        <is>
          <t>Repeated availability breaches</t>
        </is>
      </c>
      <c r="F23" s="2" t="n">
        <v>46042</v>
      </c>
      <c r="G23" s="2" t="n">
        <v>46220</v>
      </c>
      <c r="H23" s="1" t="inlineStr">
        <is>
          <t>VP Customer Operations</t>
        </is>
      </c>
      <c r="I23" s="1" t="inlineStr">
        <is>
          <t>Service credit settlement proposed</t>
        </is>
      </c>
      <c r="J23" s="1" t="inlineStr">
        <is>
          <t>F. Roux</t>
        </is>
      </c>
      <c r="K23" s="2" t="n">
        <v>46091</v>
      </c>
      <c r="L23" s="1" t="inlineStr">
        <is>
          <t>No</t>
        </is>
      </c>
    </row>
    <row r="24">
      <c r="A24" s="1" t="inlineStr">
        <is>
          <t>CHR-2026-023</t>
        </is>
      </c>
      <c r="B24" s="1" t="inlineStr">
        <is>
          <t>Quarrybridge Materials</t>
        </is>
      </c>
      <c r="C24" s="1" t="inlineStr">
        <is>
          <t>QBM-MSA-2025-11</t>
        </is>
      </c>
      <c r="D24" s="1" t="n">
        <v>972427.5600000001</v>
      </c>
      <c r="E24" s="1" t="inlineStr">
        <is>
          <t>Site consolidation announced</t>
        </is>
      </c>
      <c r="F24" s="2" t="n">
        <v>45975</v>
      </c>
      <c r="G24" s="2" t="n">
        <v>46154</v>
      </c>
      <c r="H24" s="1" t="inlineStr">
        <is>
          <t>Executive sponsor</t>
        </is>
      </c>
      <c r="I24" s="1" t="inlineStr">
        <is>
          <t>Commercial restructure of the support tier</t>
        </is>
      </c>
      <c r="J24" s="1" t="inlineStr">
        <is>
          <t>F. Roux</t>
        </is>
      </c>
      <c r="K24" s="2" t="n">
        <v>46149</v>
      </c>
      <c r="L24" s="1" t="inlineStr">
        <is>
          <t>Yes</t>
        </is>
      </c>
    </row>
    <row r="25">
      <c r="A25" s="1" t="inlineStr">
        <is>
          <t>CHR-2026-024</t>
        </is>
      </c>
      <c r="B25" s="1" t="inlineStr">
        <is>
          <t>Elmsworth Publishing</t>
        </is>
      </c>
      <c r="C25" s="1" t="inlineStr">
        <is>
          <t>EWP-MSA-2025-63</t>
        </is>
      </c>
      <c r="D25" s="1" t="n">
        <v>940376.52</v>
      </c>
      <c r="E25" s="1" t="inlineStr">
        <is>
          <t>Site consolidation announced</t>
        </is>
      </c>
      <c r="F25" s="2" t="n">
        <v>46066</v>
      </c>
      <c r="G25" s="2" t="n">
        <v>46218</v>
      </c>
      <c r="H25" s="1" t="inlineStr">
        <is>
          <t>VP Customer Operations</t>
        </is>
      </c>
      <c r="I25" s="1" t="inlineStr">
        <is>
          <t>Service credit settlement proposed</t>
        </is>
      </c>
      <c r="J25" s="1" t="inlineStr">
        <is>
          <t>F. Roux</t>
        </is>
      </c>
      <c r="K25" s="2" t="n">
        <v>46248</v>
      </c>
      <c r="L25" s="1" t="inlineStr">
        <is>
          <t>Yes</t>
        </is>
      </c>
    </row>
    <row r="26">
      <c r="A26" s="1" t="inlineStr">
        <is>
          <t>CHR-2026-025</t>
        </is>
      </c>
      <c r="B26" s="1" t="inlineStr">
        <is>
          <t>Elmsworth Publishing</t>
        </is>
      </c>
      <c r="C26" s="1" t="inlineStr">
        <is>
          <t>EWP-MSA-2025-30</t>
        </is>
      </c>
      <c r="D26" s="1" t="n">
        <v>97160.74000000001</v>
      </c>
      <c r="E26" s="1" t="inlineStr">
        <is>
          <t>Sponsor departure</t>
        </is>
      </c>
      <c r="F26" s="2" t="n">
        <v>46163</v>
      </c>
      <c r="G26" s="2" t="n">
        <v>46329</v>
      </c>
      <c r="H26" s="1" t="inlineStr">
        <is>
          <t>Account team</t>
        </is>
      </c>
      <c r="I26" s="1" t="inlineStr">
        <is>
          <t>Weekly reliability review with site leadership</t>
        </is>
      </c>
      <c r="J26" s="1" t="inlineStr">
        <is>
          <t>H. Ferrand</t>
        </is>
      </c>
      <c r="K26" s="2" t="n">
        <v>46241</v>
      </c>
      <c r="L26" s="1" t="inlineStr">
        <is>
          <t>No</t>
        </is>
      </c>
    </row>
    <row r="27">
      <c r="A27" s="1" t="inlineStr">
        <is>
          <t>CHR-2026-026</t>
        </is>
      </c>
      <c r="B27" s="1" t="inlineStr">
        <is>
          <t>Crestline Fulfillment</t>
        </is>
      </c>
      <c r="C27" s="1" t="inlineStr">
        <is>
          <t>CFF-MSA-2023-36</t>
        </is>
      </c>
      <c r="D27" s="1" t="n">
        <v>94875.53</v>
      </c>
      <c r="E27" s="1" t="inlineStr">
        <is>
          <t>Site consolidation announced</t>
        </is>
      </c>
      <c r="F27" s="2" t="n">
        <v>45951</v>
      </c>
      <c r="G27" s="2" t="n">
        <v>46093</v>
      </c>
      <c r="H27" s="1" t="inlineStr">
        <is>
          <t>VP Customer Operations</t>
        </is>
      </c>
      <c r="I27" s="1" t="inlineStr">
        <is>
          <t>Weekly reliability review with site leadership</t>
        </is>
      </c>
      <c r="J27" s="1" t="inlineStr">
        <is>
          <t>J. Alvarez</t>
        </is>
      </c>
      <c r="K27" s="2" t="n">
        <v>46070</v>
      </c>
      <c r="L27" s="1" t="inlineStr">
        <is>
          <t>No</t>
        </is>
      </c>
    </row>
    <row r="28">
      <c r="A28" s="1" t="inlineStr">
        <is>
          <t>CHR-2026-027</t>
        </is>
      </c>
      <c r="B28" s="1" t="inlineStr">
        <is>
          <t>Tamarack Electronics</t>
        </is>
      </c>
      <c r="C28" s="1" t="inlineStr">
        <is>
          <t>TCE-MSA-2024-48</t>
        </is>
      </c>
      <c r="D28" s="1" t="n">
        <v>1150100.68</v>
      </c>
      <c r="E28" s="1" t="inlineStr">
        <is>
          <t>Pricing above renewal benchmark</t>
        </is>
      </c>
      <c r="F28" s="2" t="n">
        <v>46134</v>
      </c>
      <c r="G28" s="2" t="n">
        <v>46275</v>
      </c>
      <c r="H28" s="1" t="inlineStr">
        <is>
          <t>VP Customer Operations</t>
        </is>
      </c>
      <c r="I28" s="1" t="inlineStr">
        <is>
          <t>Commercial restructure of the support tier</t>
        </is>
      </c>
      <c r="J28" s="1" t="inlineStr">
        <is>
          <t>J. Alvarez</t>
        </is>
      </c>
      <c r="K28" s="2" t="n">
        <v>46288</v>
      </c>
      <c r="L28" s="1" t="inlineStr">
        <is>
          <t>Partially</t>
        </is>
      </c>
    </row>
    <row r="29">
      <c r="A29" s="1" t="inlineStr">
        <is>
          <t>CHR-2026-028</t>
        </is>
      </c>
      <c r="B29" s="1" t="inlineStr">
        <is>
          <t>Vantage Robotics Supply</t>
        </is>
      </c>
      <c r="C29" s="1" t="inlineStr">
        <is>
          <t>VRS-MSA-2023-48</t>
        </is>
      </c>
      <c r="D29" s="1" t="n">
        <v>934654.84</v>
      </c>
      <c r="E29" s="1" t="inlineStr">
        <is>
          <t>Sponsor departure</t>
        </is>
      </c>
      <c r="F29" s="2" t="n">
        <v>46080</v>
      </c>
      <c r="G29" s="2" t="n">
        <v>46185</v>
      </c>
      <c r="H29" s="1" t="inlineStr">
        <is>
          <t>Account team</t>
        </is>
      </c>
      <c r="I29" s="1" t="inlineStr">
        <is>
          <t>Weekly reliability review with site leadership</t>
        </is>
      </c>
      <c r="J29" s="1" t="inlineStr">
        <is>
          <t>F. Roux</t>
        </is>
      </c>
      <c r="K29" s="2" t="n">
        <v>46309</v>
      </c>
      <c r="L29" s="1" t="inlineStr">
        <is>
          <t>Yes</t>
        </is>
      </c>
    </row>
    <row r="30">
      <c r="A30" s="1" t="inlineStr">
        <is>
          <t>CHR-2026-029</t>
        </is>
      </c>
      <c r="B30" s="1" t="inlineStr">
        <is>
          <t>Granite Peak Distribution</t>
        </is>
      </c>
      <c r="C30" s="1" t="inlineStr">
        <is>
          <t>GPD-MSA-2023-15</t>
        </is>
      </c>
      <c r="D30" s="1" t="n">
        <v>745940.4</v>
      </c>
      <c r="E30" s="1" t="inlineStr">
        <is>
          <t>Merger integration freeze</t>
        </is>
      </c>
      <c r="F30" s="2" t="n">
        <v>46014</v>
      </c>
      <c r="G30" s="2" t="n">
        <v>46065</v>
      </c>
      <c r="H30" s="1" t="inlineStr">
        <is>
          <t>Account team</t>
        </is>
      </c>
      <c r="I30" s="1" t="inlineStr">
        <is>
          <t>Executive business review scheduled</t>
        </is>
      </c>
      <c r="J30" s="1" t="inlineStr">
        <is>
          <t>F. Roux</t>
        </is>
      </c>
      <c r="K30" s="2" t="n">
        <v>46153</v>
      </c>
      <c r="L30" s="1" t="inlineStr">
        <is>
          <t>No</t>
        </is>
      </c>
    </row>
    <row r="31">
      <c r="A31" s="1" t="inlineStr">
        <is>
          <t>CHR-2026-030</t>
        </is>
      </c>
      <c r="B31" s="1" t="inlineStr">
        <is>
          <t>Pioneer Freight Union</t>
        </is>
      </c>
      <c r="C31" s="1" t="inlineStr">
        <is>
          <t>PFU-MSA-2024-80</t>
        </is>
      </c>
      <c r="D31" s="1" t="n">
        <v>803599.65</v>
      </c>
      <c r="E31" s="1" t="inlineStr">
        <is>
          <t>Site consolidation announced</t>
        </is>
      </c>
      <c r="F31" s="2" t="n">
        <v>46171</v>
      </c>
      <c r="G31" s="2" t="n">
        <v>46276</v>
      </c>
      <c r="H31" s="1" t="inlineStr">
        <is>
          <t>Executive sponsor</t>
        </is>
      </c>
      <c r="I31" s="1" t="inlineStr">
        <is>
          <t>Commercial restructure of the support tier</t>
        </is>
      </c>
      <c r="J31" s="1" t="inlineStr">
        <is>
          <t>T. Ferreira</t>
        </is>
      </c>
      <c r="K31" s="2" t="n">
        <v>46336</v>
      </c>
      <c r="L31" s="1" t="inlineStr">
        <is>
          <t>No</t>
        </is>
      </c>
    </row>
    <row r="32">
      <c r="A32" s="1" t="inlineStr">
        <is>
          <t>CHR-2026-031</t>
        </is>
      </c>
      <c r="B32" s="1" t="inlineStr">
        <is>
          <t>Vantage Robotics Supply</t>
        </is>
      </c>
      <c r="C32" s="1" t="inlineStr">
        <is>
          <t>VRS-MSA-2025-88</t>
        </is>
      </c>
      <c r="D32" s="1" t="n">
        <v>603239.8</v>
      </c>
      <c r="E32" s="1" t="inlineStr">
        <is>
          <t>Merger integration freeze</t>
        </is>
      </c>
      <c r="F32" s="2" t="n">
        <v>46157</v>
      </c>
      <c r="G32" s="2" t="n">
        <v>46323</v>
      </c>
      <c r="H32" s="1" t="inlineStr">
        <is>
          <t>VP Customer Operations</t>
        </is>
      </c>
      <c r="I32" s="1" t="inlineStr">
        <is>
          <t>Commercial restructure of the support tier</t>
        </is>
      </c>
      <c r="J32" s="1" t="inlineStr">
        <is>
          <t>J. Alvarez</t>
        </is>
      </c>
      <c r="K32" s="2" t="n">
        <v>46311</v>
      </c>
      <c r="L32" s="1" t="inlineStr">
        <is>
          <t>No</t>
        </is>
      </c>
    </row>
    <row r="33">
      <c r="A33" s="1" t="inlineStr">
        <is>
          <t>CHR-2026-032</t>
        </is>
      </c>
      <c r="B33" s="1" t="inlineStr">
        <is>
          <t>Zephyr Air Cargo</t>
        </is>
      </c>
      <c r="C33" s="1" t="inlineStr">
        <is>
          <t>ZAC-MSA-2023-25</t>
        </is>
      </c>
      <c r="D33" s="1" t="n">
        <v>697440.15</v>
      </c>
      <c r="E33" s="1" t="inlineStr">
        <is>
          <t>Merger integration freeze</t>
        </is>
      </c>
      <c r="F33" s="2" t="n">
        <v>45919</v>
      </c>
      <c r="G33" s="2" t="n">
        <v>46041</v>
      </c>
      <c r="H33" s="1" t="inlineStr">
        <is>
          <t>Account team</t>
        </is>
      </c>
      <c r="I33" s="1" t="inlineStr">
        <is>
          <t>Firmware remediation committed with dates</t>
        </is>
      </c>
      <c r="J33" s="1" t="inlineStr">
        <is>
          <t>H. Ferrand</t>
        </is>
      </c>
      <c r="K33" s="2" t="n">
        <v>46120</v>
      </c>
      <c r="L33" s="1" t="inlineStr">
        <is>
          <t>Yes</t>
        </is>
      </c>
    </row>
    <row r="34">
      <c r="A34" s="1" t="inlineStr">
        <is>
          <t>CHR-2026-033</t>
        </is>
      </c>
      <c r="B34" s="1" t="inlineStr">
        <is>
          <t>Pioneer Freight Union</t>
        </is>
      </c>
      <c r="C34" s="1" t="inlineStr">
        <is>
          <t>PFU-MSA-2023-62</t>
        </is>
      </c>
      <c r="D34" s="1" t="n">
        <v>597270.3100000001</v>
      </c>
      <c r="E34" s="1" t="inlineStr">
        <is>
          <t>Unresolved punch list at acceptance</t>
        </is>
      </c>
      <c r="F34" s="2" t="n">
        <v>46080</v>
      </c>
      <c r="G34" s="2" t="n">
        <v>46199</v>
      </c>
      <c r="H34" s="1" t="inlineStr">
        <is>
          <t>VP Customer Operations</t>
        </is>
      </c>
      <c r="I34" s="1" t="inlineStr">
        <is>
          <t>Executive business review scheduled</t>
        </is>
      </c>
      <c r="J34" s="1" t="inlineStr">
        <is>
          <t>F. Roux</t>
        </is>
      </c>
      <c r="K34" s="2" t="n">
        <v>46213</v>
      </c>
      <c r="L34" s="1" t="inlineStr">
        <is>
          <t>Partially</t>
        </is>
      </c>
    </row>
    <row r="35">
      <c r="A35" s="1" t="inlineStr">
        <is>
          <t>CHR-2026-034</t>
        </is>
      </c>
      <c r="B35" s="1" t="inlineStr">
        <is>
          <t>Keystone Paper &amp; Pack</t>
        </is>
      </c>
      <c r="C35" s="1" t="inlineStr">
        <is>
          <t>KPP-MSA-2024-36</t>
        </is>
      </c>
      <c r="D35" s="1" t="n">
        <v>369858.74</v>
      </c>
      <c r="E35" s="1" t="inlineStr">
        <is>
          <t>Site consolidation announced</t>
        </is>
      </c>
      <c r="F35" s="2" t="n">
        <v>46010</v>
      </c>
      <c r="G35" s="2" t="n">
        <v>46080</v>
      </c>
      <c r="H35" s="1" t="inlineStr">
        <is>
          <t>VP Customer Operations</t>
        </is>
      </c>
      <c r="I35" s="1" t="inlineStr">
        <is>
          <t>Commercial restructure of the support tier</t>
        </is>
      </c>
      <c r="J35" s="1" t="inlineStr">
        <is>
          <t>J. Alvarez</t>
        </is>
      </c>
      <c r="K35" s="2" t="n">
        <v>46148</v>
      </c>
      <c r="L35" s="1" t="inlineStr">
        <is>
          <t>Partially</t>
        </is>
      </c>
    </row>
    <row r="36">
      <c r="A36" s="1" t="inlineStr">
        <is>
          <t>CHR-2026-035</t>
        </is>
      </c>
      <c r="B36" s="1" t="inlineStr">
        <is>
          <t>Bellweather Auto Group</t>
        </is>
      </c>
      <c r="C36" s="1" t="inlineStr">
        <is>
          <t>BWA-MSA-2025-47</t>
        </is>
      </c>
      <c r="D36" s="1" t="n">
        <v>696669.27</v>
      </c>
      <c r="E36" s="1" t="inlineStr">
        <is>
          <t>Site consolidation announced</t>
        </is>
      </c>
      <c r="F36" s="2" t="n">
        <v>46028</v>
      </c>
      <c r="G36" s="2" t="n">
        <v>46146</v>
      </c>
      <c r="H36" s="1" t="inlineStr">
        <is>
          <t>Executive sponsor</t>
        </is>
      </c>
      <c r="I36" s="1" t="inlineStr">
        <is>
          <t>Weekly reliability review with site leadership</t>
        </is>
      </c>
      <c r="J36" s="1" t="inlineStr">
        <is>
          <t>T. Ferreira</t>
        </is>
      </c>
      <c r="K36" s="2" t="n">
        <v>46182</v>
      </c>
      <c r="L36" s="1" t="inlineStr">
        <is>
          <t>Partially</t>
        </is>
      </c>
    </row>
    <row r="37">
      <c r="A37" s="1" t="inlineStr">
        <is>
          <t>CHR-2026-036</t>
        </is>
      </c>
      <c r="B37" s="1" t="inlineStr">
        <is>
          <t>Calder Marine Supply</t>
        </is>
      </c>
      <c r="C37" s="1" t="inlineStr">
        <is>
          <t>CMS-MSA-2023-35</t>
        </is>
      </c>
      <c r="D37" s="1" t="n">
        <v>846226.61</v>
      </c>
      <c r="E37" s="1" t="inlineStr">
        <is>
          <t>Merger integration freeze</t>
        </is>
      </c>
      <c r="F37" s="2" t="n">
        <v>45912</v>
      </c>
      <c r="G37" s="2" t="n">
        <v>46027</v>
      </c>
      <c r="H37" s="1" t="inlineStr">
        <is>
          <t>VP Customer Operations</t>
        </is>
      </c>
      <c r="I37" s="1" t="inlineStr">
        <is>
          <t>Service credit settlement proposed</t>
        </is>
      </c>
      <c r="J37" s="1" t="inlineStr">
        <is>
          <t>T. Ferreira</t>
        </is>
      </c>
      <c r="K37" s="2" t="n">
        <v>46058</v>
      </c>
      <c r="L37" s="1" t="inlineStr">
        <is>
          <t>No</t>
        </is>
      </c>
    </row>
    <row r="38">
      <c r="A38" s="1" t="inlineStr">
        <is>
          <t>CHR-2026-037</t>
        </is>
      </c>
      <c r="B38" s="1" t="inlineStr">
        <is>
          <t>Pioneer Freight Union</t>
        </is>
      </c>
      <c r="C38" s="1" t="inlineStr">
        <is>
          <t>PFU-MSA-2025-29</t>
        </is>
      </c>
      <c r="D38" s="1" t="n">
        <v>259511.02</v>
      </c>
      <c r="E38" s="1" t="inlineStr">
        <is>
          <t>Repeated availability breaches</t>
        </is>
      </c>
      <c r="F38" s="2" t="n">
        <v>46066</v>
      </c>
      <c r="G38" s="2" t="n">
        <v>46175</v>
      </c>
      <c r="H38" s="1" t="inlineStr">
        <is>
          <t>Account team</t>
        </is>
      </c>
      <c r="I38" s="1" t="inlineStr">
        <is>
          <t>Commercial restructure of the support tier</t>
        </is>
      </c>
      <c r="J38" s="1" t="inlineStr">
        <is>
          <t>T. Ferreira</t>
        </is>
      </c>
      <c r="K38" s="2" t="n">
        <v>46289</v>
      </c>
      <c r="L38" s="1" t="inlineStr">
        <is>
          <t>Yes</t>
        </is>
      </c>
    </row>
    <row r="39">
      <c r="A39" s="1" t="inlineStr">
        <is>
          <t>CHR-2026-038</t>
        </is>
      </c>
      <c r="B39" s="1" t="inlineStr">
        <is>
          <t>Pioneer Freight Union</t>
        </is>
      </c>
      <c r="C39" s="1" t="inlineStr">
        <is>
          <t>PFU-MSA-2024-78</t>
        </is>
      </c>
      <c r="D39" s="1" t="n">
        <v>580465.65</v>
      </c>
      <c r="E39" s="1" t="inlineStr">
        <is>
          <t>Unresolved punch list at acceptance</t>
        </is>
      </c>
      <c r="F39" s="2" t="n">
        <v>45982</v>
      </c>
      <c r="G39" s="2" t="n">
        <v>46059</v>
      </c>
      <c r="H39" s="1" t="inlineStr">
        <is>
          <t>Executive sponsor</t>
        </is>
      </c>
      <c r="I39" s="1" t="inlineStr">
        <is>
          <t>Firmware remediation committed with dates</t>
        </is>
      </c>
      <c r="J39" s="1" t="inlineStr">
        <is>
          <t>J. Alvarez</t>
        </is>
      </c>
      <c r="K39" s="2" t="n">
        <v>46161</v>
      </c>
      <c r="L39" s="1" t="inlineStr">
        <is>
          <t>No</t>
        </is>
      </c>
    </row>
    <row r="40">
      <c r="A40" s="1" t="inlineStr">
        <is>
          <t>CHR-2026-039</t>
        </is>
      </c>
      <c r="B40" s="1" t="inlineStr">
        <is>
          <t>Zephyr Air Cargo</t>
        </is>
      </c>
      <c r="C40" s="1" t="inlineStr">
        <is>
          <t>ZAC-MSA-2025-29</t>
        </is>
      </c>
      <c r="D40" s="1" t="n">
        <v>442237.19</v>
      </c>
      <c r="E40" s="1" t="inlineStr">
        <is>
          <t>Site consolidation announced</t>
        </is>
      </c>
      <c r="F40" s="2" t="n">
        <v>46038</v>
      </c>
      <c r="G40" s="2" t="n">
        <v>46150</v>
      </c>
      <c r="H40" s="1" t="inlineStr">
        <is>
          <t>VP Customer Operations</t>
        </is>
      </c>
      <c r="I40" s="1" t="inlineStr">
        <is>
          <t>Firmware remediation committed with dates</t>
        </is>
      </c>
      <c r="J40" s="1" t="inlineStr">
        <is>
          <t>J. Alvarez</t>
        </is>
      </c>
      <c r="K40" s="2" t="n">
        <v>46226</v>
      </c>
      <c r="L40" s="1" t="inlineStr">
        <is>
          <t>Yes</t>
        </is>
      </c>
    </row>
    <row r="41">
      <c r="A41" s="1" t="inlineStr">
        <is>
          <t>CHR-2026-040</t>
        </is>
      </c>
      <c r="B41" s="1" t="inlineStr">
        <is>
          <t>Harborline Systems</t>
        </is>
      </c>
      <c r="C41" s="1" t="inlineStr">
        <is>
          <t>HLS-MSA-2024-42</t>
        </is>
      </c>
      <c r="D41" s="1" t="n">
        <v>1146142.91</v>
      </c>
      <c r="E41" s="1" t="inlineStr">
        <is>
          <t>Pricing above renewal benchmark</t>
        </is>
      </c>
      <c r="F41" s="2" t="n">
        <v>46114</v>
      </c>
      <c r="G41" s="2" t="n">
        <v>46156</v>
      </c>
      <c r="H41" s="1" t="inlineStr">
        <is>
          <t>Account team</t>
        </is>
      </c>
      <c r="I41" s="1" t="inlineStr">
        <is>
          <t>Weekly reliability review with site leadership</t>
        </is>
      </c>
      <c r="J41" s="1" t="inlineStr">
        <is>
          <t>H. Ferrand</t>
        </is>
      </c>
      <c r="K41" s="2" t="n">
        <v>46218</v>
      </c>
      <c r="L41" s="1" t="inlineStr">
        <is>
          <t>Partially</t>
        </is>
      </c>
    </row>
    <row r="42">
      <c r="A42" s="1" t="inlineStr">
        <is>
          <t>CHR-2026-041</t>
        </is>
      </c>
      <c r="B42" s="1" t="inlineStr">
        <is>
          <t>Dorsey Grain Cooperative</t>
        </is>
      </c>
      <c r="C42" s="1" t="inlineStr">
        <is>
          <t>DGC-MSA-2025-55</t>
        </is>
      </c>
      <c r="D42" s="1" t="n">
        <v>1098692.91</v>
      </c>
      <c r="E42" s="1" t="inlineStr">
        <is>
          <t>Unresolved punch list at acceptance</t>
        </is>
      </c>
      <c r="F42" s="2" t="n">
        <v>45960</v>
      </c>
      <c r="G42" s="2" t="n">
        <v>46126</v>
      </c>
      <c r="H42" s="1" t="inlineStr">
        <is>
          <t>Executive sponsor</t>
        </is>
      </c>
      <c r="I42" s="1" t="inlineStr">
        <is>
          <t>Weekly reliability review with site leadership</t>
        </is>
      </c>
      <c r="J42" s="1" t="inlineStr">
        <is>
          <t>H. Ferrand</t>
        </is>
      </c>
      <c r="K42" s="2" t="n">
        <v>46070</v>
      </c>
      <c r="L42" s="1" t="inlineStr">
        <is>
          <t>No</t>
        </is>
      </c>
    </row>
    <row r="43">
      <c r="A43" s="1" t="inlineStr">
        <is>
          <t>CHR-2026-042</t>
        </is>
      </c>
      <c r="B43" s="1" t="inlineStr">
        <is>
          <t>Alderbrook Textiles</t>
        </is>
      </c>
      <c r="C43" s="1" t="inlineStr">
        <is>
          <t>ABT-MSA-2023-84</t>
        </is>
      </c>
      <c r="D43" s="1" t="n">
        <v>153712.08</v>
      </c>
      <c r="E43" s="1" t="inlineStr">
        <is>
          <t>Repeated availability breaches</t>
        </is>
      </c>
      <c r="F43" s="2" t="n">
        <v>46139</v>
      </c>
      <c r="G43" s="2" t="n">
        <v>46185</v>
      </c>
      <c r="H43" s="1" t="inlineStr">
        <is>
          <t>Executive sponsor</t>
        </is>
      </c>
      <c r="I43" s="1" t="inlineStr">
        <is>
          <t>Weekly reliability review with site leadership</t>
        </is>
      </c>
      <c r="J43" s="1" t="inlineStr">
        <is>
          <t>H. Ferrand</t>
        </is>
      </c>
      <c r="K43" s="2" t="n">
        <v>46268</v>
      </c>
      <c r="L43" s="1" t="inlineStr">
        <is>
          <t>No</t>
        </is>
      </c>
    </row>
    <row r="44">
      <c r="A44" s="1" t="inlineStr">
        <is>
          <t>CHR-2026-043</t>
        </is>
      </c>
      <c r="B44" s="1" t="inlineStr">
        <is>
          <t>Fathom Mobility</t>
        </is>
      </c>
      <c r="C44" s="1" t="inlineStr">
        <is>
          <t>FTM-MSA-2023-56</t>
        </is>
      </c>
      <c r="D44" s="1" t="n">
        <v>859479.23</v>
      </c>
      <c r="E44" s="1" t="inlineStr">
        <is>
          <t>Pricing above renewal benchmark</t>
        </is>
      </c>
      <c r="F44" s="2" t="n">
        <v>46017</v>
      </c>
      <c r="G44" s="2" t="n">
        <v>46084</v>
      </c>
      <c r="H44" s="1" t="inlineStr">
        <is>
          <t>Account team</t>
        </is>
      </c>
      <c r="I44" s="1" t="inlineStr">
        <is>
          <t>Weekly reliability review with site leadership</t>
        </is>
      </c>
      <c r="J44" s="1" t="inlineStr">
        <is>
          <t>T. Ferreira</t>
        </is>
      </c>
      <c r="K44" s="2" t="n">
        <v>46184</v>
      </c>
      <c r="L44" s="1" t="inlineStr">
        <is>
          <t>No</t>
        </is>
      </c>
    </row>
    <row r="45">
      <c r="A45" s="1" t="inlineStr">
        <is>
          <t>CHR-2026-044</t>
        </is>
      </c>
      <c r="B45" s="1" t="inlineStr">
        <is>
          <t>Pioneer Freight Union</t>
        </is>
      </c>
      <c r="C45" s="1" t="inlineStr">
        <is>
          <t>PFU-MSA-2023-27</t>
        </is>
      </c>
      <c r="D45" s="1" t="n">
        <v>483660.84</v>
      </c>
      <c r="E45" s="1" t="inlineStr">
        <is>
          <t>Sponsor departure</t>
        </is>
      </c>
      <c r="F45" s="2" t="n">
        <v>46055</v>
      </c>
      <c r="G45" s="2" t="n">
        <v>46219</v>
      </c>
      <c r="H45" s="1" t="inlineStr">
        <is>
          <t>Account team</t>
        </is>
      </c>
      <c r="I45" s="1" t="inlineStr">
        <is>
          <t>Executive business review scheduled</t>
        </is>
      </c>
      <c r="J45" s="1" t="inlineStr">
        <is>
          <t>F. Roux</t>
        </is>
      </c>
      <c r="K45" s="2" t="n">
        <v>46218</v>
      </c>
      <c r="L45" s="1" t="inlineStr">
        <is>
          <t>Partially</t>
        </is>
      </c>
    </row>
    <row r="46">
      <c r="A46" s="1" t="inlineStr">
        <is>
          <t>CHR-2026-045</t>
        </is>
      </c>
      <c r="B46" s="1" t="inlineStr">
        <is>
          <t>Granite Peak Distribution</t>
        </is>
      </c>
      <c r="C46" s="1" t="inlineStr">
        <is>
          <t>GPD-MSA-2025-77</t>
        </is>
      </c>
      <c r="D46" s="1" t="n">
        <v>167019.42</v>
      </c>
      <c r="E46" s="1" t="inlineStr">
        <is>
          <t>Sponsor departure</t>
        </is>
      </c>
      <c r="F46" s="2" t="n">
        <v>45814</v>
      </c>
      <c r="G46" s="2" t="n">
        <v>45950</v>
      </c>
      <c r="H46" s="1" t="inlineStr">
        <is>
          <t>VP Customer Operations</t>
        </is>
      </c>
      <c r="I46" s="1" t="inlineStr">
        <is>
          <t>Executive business review scheduled</t>
        </is>
      </c>
      <c r="J46" s="1" t="inlineStr">
        <is>
          <t>H. Ferrand</t>
        </is>
      </c>
      <c r="K46" s="2" t="n">
        <v>45896</v>
      </c>
      <c r="L46" s="1" t="inlineStr">
        <is>
          <t>Partially</t>
        </is>
      </c>
    </row>
    <row r="47">
      <c r="A47" s="1" t="inlineStr">
        <is>
          <t>CHR-2026-046</t>
        </is>
      </c>
      <c r="B47" s="1" t="inlineStr">
        <is>
          <t>Dorsey Grain Cooperative</t>
        </is>
      </c>
      <c r="C47" s="1" t="inlineStr">
        <is>
          <t>DGC-MSA-2025-35</t>
        </is>
      </c>
      <c r="D47" s="1" t="n">
        <v>723600.62</v>
      </c>
      <c r="E47" s="1" t="inlineStr">
        <is>
          <t>Pricing above renewal benchmark</t>
        </is>
      </c>
      <c r="F47" s="2" t="n">
        <v>46017</v>
      </c>
      <c r="G47" s="2" t="n">
        <v>46045</v>
      </c>
      <c r="H47" s="1" t="inlineStr">
        <is>
          <t>VP Customer Operations</t>
        </is>
      </c>
      <c r="I47" s="1" t="inlineStr">
        <is>
          <t>Commercial restructure of the support tier</t>
        </is>
      </c>
      <c r="J47" s="1" t="inlineStr">
        <is>
          <t>H. Ferrand</t>
        </is>
      </c>
      <c r="K47" s="2" t="n">
        <v>46220</v>
      </c>
      <c r="L47" s="1" t="inlineStr">
        <is>
          <t>No</t>
        </is>
      </c>
    </row>
    <row r="48">
      <c r="A48" s="1" t="inlineStr">
        <is>
          <t>CHR-2026-047</t>
        </is>
      </c>
      <c r="B48" s="1" t="inlineStr">
        <is>
          <t>Zephyr Air Cargo</t>
        </is>
      </c>
      <c r="C48" s="1" t="inlineStr">
        <is>
          <t>ZAC-MSA-2024-35</t>
        </is>
      </c>
      <c r="D48" s="1" t="n">
        <v>441242.75</v>
      </c>
      <c r="E48" s="1" t="inlineStr">
        <is>
          <t>Sponsor departure</t>
        </is>
      </c>
      <c r="F48" s="2" t="n">
        <v>45876</v>
      </c>
      <c r="G48" s="2" t="n">
        <v>45947</v>
      </c>
      <c r="H48" s="1" t="inlineStr">
        <is>
          <t>VP Customer Operations</t>
        </is>
      </c>
      <c r="I48" s="1" t="inlineStr">
        <is>
          <t>Weekly reliability review with site leadership</t>
        </is>
      </c>
      <c r="J48" s="1" t="inlineStr">
        <is>
          <t>H. Ferrand</t>
        </is>
      </c>
      <c r="K48" s="2" t="n">
        <v>46066</v>
      </c>
      <c r="L48" s="1" t="inlineStr">
        <is>
          <t>No</t>
        </is>
      </c>
    </row>
    <row r="49">
      <c r="A49" s="1" t="inlineStr">
        <is>
          <t>CHR-2026-048</t>
        </is>
      </c>
      <c r="B49" s="1" t="inlineStr">
        <is>
          <t>Summit Ridge Retail</t>
        </is>
      </c>
      <c r="C49" s="1" t="inlineStr">
        <is>
          <t>SRR-MSA-2023-80</t>
        </is>
      </c>
      <c r="D49" s="1" t="n">
        <v>838630.1899999999</v>
      </c>
      <c r="E49" s="1" t="inlineStr">
        <is>
          <t>Site consolidation announced</t>
        </is>
      </c>
      <c r="F49" s="2" t="n">
        <v>45911</v>
      </c>
      <c r="G49" s="2" t="n">
        <v>45958</v>
      </c>
      <c r="H49" s="1" t="inlineStr">
        <is>
          <t>VP Customer Operations</t>
        </is>
      </c>
      <c r="I49" s="1" t="inlineStr">
        <is>
          <t>Executive business review scheduled</t>
        </is>
      </c>
      <c r="J49" s="1" t="inlineStr">
        <is>
          <t>T. Ferreira</t>
        </is>
      </c>
      <c r="K49" s="2" t="n">
        <v>46122</v>
      </c>
      <c r="L49" s="1" t="inlineStr">
        <is>
          <t>No</t>
        </is>
      </c>
    </row>
    <row r="50">
      <c r="A50" s="1" t="inlineStr">
        <is>
          <t>CHR-2026-049</t>
        </is>
      </c>
      <c r="B50" s="1" t="inlineStr">
        <is>
          <t>Crestline Fulfillment</t>
        </is>
      </c>
      <c r="C50" s="1" t="inlineStr">
        <is>
          <t>CFF-MSA-2025-33</t>
        </is>
      </c>
      <c r="D50" s="1" t="n">
        <v>1094748.17</v>
      </c>
      <c r="E50" s="1" t="inlineStr">
        <is>
          <t>Repeated availability breaches</t>
        </is>
      </c>
      <c r="F50" s="2" t="n">
        <v>45889</v>
      </c>
      <c r="G50" s="2" t="n">
        <v>45975</v>
      </c>
      <c r="H50" s="1" t="inlineStr">
        <is>
          <t>VP Customer Operations</t>
        </is>
      </c>
      <c r="I50" s="1" t="inlineStr">
        <is>
          <t>Weekly reliability review with site leadership</t>
        </is>
      </c>
      <c r="J50" s="1" t="inlineStr">
        <is>
          <t>T. Ferreira</t>
        </is>
      </c>
      <c r="K50" s="2" t="n">
        <v>46108</v>
      </c>
      <c r="L50" s="1" t="inlineStr">
        <is>
          <t>Yes</t>
        </is>
      </c>
    </row>
    <row r="51">
      <c r="A51" s="1" t="inlineStr">
        <is>
          <t>CHR-2026-050</t>
        </is>
      </c>
      <c r="B51" s="1" t="inlineStr">
        <is>
          <t>Juniper Health Supply</t>
        </is>
      </c>
      <c r="C51" s="1" t="inlineStr">
        <is>
          <t>JHS-MSA-2023-51</t>
        </is>
      </c>
      <c r="D51" s="1" t="n">
        <v>987419.08</v>
      </c>
      <c r="E51" s="1" t="inlineStr">
        <is>
          <t>Sponsor departure</t>
        </is>
      </c>
      <c r="F51" s="2" t="n">
        <v>45929</v>
      </c>
      <c r="G51" s="2" t="n">
        <v>46022</v>
      </c>
      <c r="H51" s="1" t="inlineStr">
        <is>
          <t>Account team</t>
        </is>
      </c>
      <c r="I51" s="1" t="inlineStr">
        <is>
          <t>Executive business review scheduled</t>
        </is>
      </c>
      <c r="J51" s="1" t="inlineStr">
        <is>
          <t>H. Ferrand</t>
        </is>
      </c>
      <c r="K51" s="2" t="n">
        <v>46188</v>
      </c>
      <c r="L51" s="1" t="inlineStr">
        <is>
          <t>No</t>
        </is>
      </c>
    </row>
    <row r="52">
      <c r="A52" s="1" t="inlineStr">
        <is>
          <t>CHR-2026-051</t>
        </is>
      </c>
      <c r="B52" s="1" t="inlineStr">
        <is>
          <t>Elmsworth Publishing</t>
        </is>
      </c>
      <c r="C52" s="1" t="inlineStr">
        <is>
          <t>EWP-MSA-2023-51</t>
        </is>
      </c>
      <c r="D52" s="1" t="n">
        <v>609237.29</v>
      </c>
      <c r="E52" s="1" t="inlineStr">
        <is>
          <t>Unresolved punch list at acceptance</t>
        </is>
      </c>
      <c r="F52" s="2" t="n">
        <v>45960</v>
      </c>
      <c r="G52" s="2" t="n">
        <v>46087</v>
      </c>
      <c r="H52" s="1" t="inlineStr">
        <is>
          <t>Executive sponsor</t>
        </is>
      </c>
      <c r="I52" s="1" t="inlineStr">
        <is>
          <t>Weekly reliability review with site leadership</t>
        </is>
      </c>
      <c r="J52" s="1" t="inlineStr">
        <is>
          <t>J. Alvarez</t>
        </is>
      </c>
      <c r="K52" s="2" t="n">
        <v>46115</v>
      </c>
      <c r="L52" s="1" t="inlineStr">
        <is>
          <t>No</t>
        </is>
      </c>
    </row>
    <row r="53">
      <c r="A53" s="1" t="inlineStr">
        <is>
          <t>CHR-2026-052</t>
        </is>
      </c>
      <c r="B53" s="1" t="inlineStr">
        <is>
          <t>Meridian Dynamics</t>
        </is>
      </c>
      <c r="C53" s="1" t="inlineStr">
        <is>
          <t>MDY-MSA-2025-84</t>
        </is>
      </c>
      <c r="D53" s="1" t="n">
        <v>626487.53</v>
      </c>
      <c r="E53" s="1" t="inlineStr">
        <is>
          <t>Site consolidation announced</t>
        </is>
      </c>
      <c r="F53" s="2" t="n">
        <v>46140</v>
      </c>
      <c r="G53" s="2" t="n">
        <v>46206</v>
      </c>
      <c r="H53" s="1" t="inlineStr">
        <is>
          <t>Account team</t>
        </is>
      </c>
      <c r="I53" s="1" t="inlineStr">
        <is>
          <t>Firmware remediation committed with dates</t>
        </is>
      </c>
      <c r="J53" s="1" t="inlineStr">
        <is>
          <t>J. Alvarez</t>
        </is>
      </c>
      <c r="K53" s="2" t="n">
        <v>46218</v>
      </c>
      <c r="L53" s="1" t="inlineStr">
        <is>
          <t>No</t>
        </is>
      </c>
    </row>
    <row r="54">
      <c r="A54" s="1" t="inlineStr">
        <is>
          <t>CHR-2026-053</t>
        </is>
      </c>
      <c r="B54" s="1" t="inlineStr">
        <is>
          <t>Westlake Chemical Depot</t>
        </is>
      </c>
      <c r="C54" s="1" t="inlineStr">
        <is>
          <t>WCD-MSA-2025-31</t>
        </is>
      </c>
      <c r="D54" s="1" t="n">
        <v>163900.98</v>
      </c>
      <c r="E54" s="1" t="inlineStr">
        <is>
          <t>Site consolidation announced</t>
        </is>
      </c>
      <c r="F54" s="2" t="n">
        <v>45996</v>
      </c>
      <c r="G54" s="2" t="n">
        <v>46024</v>
      </c>
      <c r="H54" s="1" t="inlineStr">
        <is>
          <t>VP Customer Operations</t>
        </is>
      </c>
      <c r="I54" s="1" t="inlineStr">
        <is>
          <t>Executive business review scheduled</t>
        </is>
      </c>
      <c r="J54" s="1" t="inlineStr">
        <is>
          <t>F. Roux</t>
        </is>
      </c>
      <c r="K54" s="2" t="n">
        <v>46049</v>
      </c>
      <c r="L54" s="1" t="inlineStr">
        <is>
          <t>No</t>
        </is>
      </c>
    </row>
    <row r="55">
      <c r="A55" s="1" t="inlineStr">
        <is>
          <t>CHR-2026-054</t>
        </is>
      </c>
      <c r="B55" s="1" t="inlineStr">
        <is>
          <t>Juniper Health Supply</t>
        </is>
      </c>
      <c r="C55" s="1" t="inlineStr">
        <is>
          <t>JHS-MSA-2023-16</t>
        </is>
      </c>
      <c r="D55" s="1" t="n">
        <v>453835.07</v>
      </c>
      <c r="E55" s="1" t="inlineStr">
        <is>
          <t>Merger integration freeze</t>
        </is>
      </c>
      <c r="F55" s="2" t="n">
        <v>45849</v>
      </c>
      <c r="G55" s="2" t="n">
        <v>45954</v>
      </c>
      <c r="H55" s="1" t="inlineStr">
        <is>
          <t>Account team</t>
        </is>
      </c>
      <c r="I55" s="1" t="inlineStr">
        <is>
          <t>Weekly reliability review with site leadership</t>
        </is>
      </c>
      <c r="J55" s="1" t="inlineStr">
        <is>
          <t>F. Roux</t>
        </is>
      </c>
      <c r="K55" s="2" t="n">
        <v>46030</v>
      </c>
      <c r="L55" s="1" t="inlineStr">
        <is>
          <t>Yes</t>
        </is>
      </c>
    </row>
    <row r="56">
      <c r="A56" s="1" t="inlineStr">
        <is>
          <t>CHR-2026-055</t>
        </is>
      </c>
      <c r="B56" s="1" t="inlineStr">
        <is>
          <t>Elmsworth Publishing</t>
        </is>
      </c>
      <c r="C56" s="1" t="inlineStr">
        <is>
          <t>EWP-MSA-2025-48</t>
        </is>
      </c>
      <c r="D56" s="1" t="n">
        <v>487269</v>
      </c>
      <c r="E56" s="1" t="inlineStr">
        <is>
          <t>Unresolved punch list at acceptance</t>
        </is>
      </c>
      <c r="F56" s="2" t="n">
        <v>45932</v>
      </c>
      <c r="G56" s="2" t="n">
        <v>46077</v>
      </c>
      <c r="H56" s="1" t="inlineStr">
        <is>
          <t>Executive sponsor</t>
        </is>
      </c>
      <c r="I56" s="1" t="inlineStr">
        <is>
          <t>Service credit settlement proposed</t>
        </is>
      </c>
      <c r="J56" s="1" t="inlineStr">
        <is>
          <t>H. Ferrand</t>
        </is>
      </c>
      <c r="K56" s="2" t="n">
        <v>46121</v>
      </c>
      <c r="L56" s="1" t="inlineStr">
        <is>
          <t>No</t>
        </is>
      </c>
    </row>
    <row r="57">
      <c r="A57" s="1" t="inlineStr">
        <is>
          <t>CHR-2026-056</t>
        </is>
      </c>
      <c r="B57" s="1" t="inlineStr">
        <is>
          <t>Bellweather Auto Group</t>
        </is>
      </c>
      <c r="C57" s="1" t="inlineStr">
        <is>
          <t>BWA-MSA-2024-72</t>
        </is>
      </c>
      <c r="D57" s="1" t="n">
        <v>76099.38</v>
      </c>
      <c r="E57" s="1" t="inlineStr">
        <is>
          <t>Unresolved punch list at acceptance</t>
        </is>
      </c>
      <c r="F57" s="2" t="n">
        <v>45950</v>
      </c>
      <c r="G57" s="2" t="n">
        <v>46010</v>
      </c>
      <c r="H57" s="1" t="inlineStr">
        <is>
          <t>Executive sponsor</t>
        </is>
      </c>
      <c r="I57" s="1" t="inlineStr">
        <is>
          <t>Commercial restructure of the support tier</t>
        </is>
      </c>
      <c r="J57" s="1" t="inlineStr">
        <is>
          <t>F. Roux</t>
        </is>
      </c>
      <c r="K57" s="2" t="n">
        <v>46000</v>
      </c>
      <c r="L57" s="1" t="inlineStr">
        <is>
          <t>Yes</t>
        </is>
      </c>
    </row>
    <row r="58">
      <c r="A58" s="1" t="inlineStr">
        <is>
          <t>CHR-2026-057</t>
        </is>
      </c>
      <c r="B58" s="1" t="inlineStr">
        <is>
          <t>Fathom Mobility</t>
        </is>
      </c>
      <c r="C58" s="1" t="inlineStr">
        <is>
          <t>FTM-MSA-2024-59</t>
        </is>
      </c>
      <c r="D58" s="1" t="n">
        <v>973742.34</v>
      </c>
      <c r="E58" s="1" t="inlineStr">
        <is>
          <t>Site consolidation announced</t>
        </is>
      </c>
      <c r="F58" s="2" t="n">
        <v>45812</v>
      </c>
      <c r="G58" s="2" t="n">
        <v>45909</v>
      </c>
      <c r="H58" s="1" t="inlineStr">
        <is>
          <t>Executive sponsor</t>
        </is>
      </c>
      <c r="I58" s="1" t="inlineStr">
        <is>
          <t>Commercial restructure of the support tier</t>
        </is>
      </c>
      <c r="J58" s="1" t="inlineStr">
        <is>
          <t>J. Alvarez</t>
        </is>
      </c>
      <c r="K58" s="2" t="n">
        <v>46023</v>
      </c>
      <c r="L58" s="1" t="inlineStr">
        <is>
          <t>No</t>
        </is>
      </c>
    </row>
    <row r="59">
      <c r="A59" s="1" t="inlineStr">
        <is>
          <t>CHR-2026-058</t>
        </is>
      </c>
      <c r="B59" s="1" t="inlineStr">
        <is>
          <t>Dorsey Grain Cooperative</t>
        </is>
      </c>
      <c r="C59" s="1" t="inlineStr">
        <is>
          <t>DGC-MSA-2025-22</t>
        </is>
      </c>
      <c r="D59" s="1" t="n">
        <v>923367.77</v>
      </c>
      <c r="E59" s="1" t="inlineStr">
        <is>
          <t>Unresolved punch list at acceptance</t>
        </is>
      </c>
      <c r="F59" s="2" t="n">
        <v>45979</v>
      </c>
      <c r="G59" s="2" t="n">
        <v>46111</v>
      </c>
      <c r="H59" s="1" t="inlineStr">
        <is>
          <t>Executive sponsor</t>
        </is>
      </c>
      <c r="I59" s="1" t="inlineStr">
        <is>
          <t>Commercial restructure of the support tier</t>
        </is>
      </c>
      <c r="J59" s="1" t="inlineStr">
        <is>
          <t>F. Roux</t>
        </is>
      </c>
      <c r="K59" s="2" t="n">
        <v>46118</v>
      </c>
      <c r="L59" s="1" t="inlineStr">
        <is>
          <t>Yes</t>
        </is>
      </c>
    </row>
    <row r="60">
      <c r="A60" s="1" t="inlineStr">
        <is>
          <t>CHR-2026-059</t>
        </is>
      </c>
      <c r="B60" s="1" t="inlineStr">
        <is>
          <t>Redwood Optics</t>
        </is>
      </c>
      <c r="C60" s="1" t="inlineStr">
        <is>
          <t>RWO-MSA-2023-47</t>
        </is>
      </c>
      <c r="D60" s="1" t="n">
        <v>928099.28</v>
      </c>
      <c r="E60" s="1" t="inlineStr">
        <is>
          <t>Merger integration freeze</t>
        </is>
      </c>
      <c r="F60" s="2" t="n">
        <v>45950</v>
      </c>
      <c r="G60" s="2" t="n">
        <v>46108</v>
      </c>
      <c r="H60" s="1" t="inlineStr">
        <is>
          <t>Account team</t>
        </is>
      </c>
      <c r="I60" s="1" t="inlineStr">
        <is>
          <t>Executive business review scheduled</t>
        </is>
      </c>
      <c r="J60" s="1" t="inlineStr">
        <is>
          <t>T. Ferreira</t>
        </is>
      </c>
      <c r="K60" s="2" t="n">
        <v>46034</v>
      </c>
      <c r="L60" s="1" t="inlineStr">
        <is>
          <t>No</t>
        </is>
      </c>
    </row>
    <row r="61">
      <c r="A61" s="1" t="inlineStr">
        <is>
          <t>CHR-2026-060</t>
        </is>
      </c>
      <c r="B61" s="1" t="inlineStr">
        <is>
          <t>Northfield Beverage</t>
        </is>
      </c>
      <c r="C61" s="1" t="inlineStr">
        <is>
          <t>NFB-MSA-2025-27</t>
        </is>
      </c>
      <c r="D61" s="1" t="n">
        <v>730245.9399999999</v>
      </c>
      <c r="E61" s="1" t="inlineStr">
        <is>
          <t>Repeated availability breaches</t>
        </is>
      </c>
      <c r="F61" s="2" t="n">
        <v>46034</v>
      </c>
      <c r="G61" s="2" t="n">
        <v>46142</v>
      </c>
      <c r="H61" s="1" t="inlineStr">
        <is>
          <t>VP Customer Operations</t>
        </is>
      </c>
      <c r="I61" s="1" t="inlineStr">
        <is>
          <t>Firmware remediation committed with dates</t>
        </is>
      </c>
      <c r="J61" s="1" t="inlineStr">
        <is>
          <t>F. Roux</t>
        </is>
      </c>
      <c r="K61" s="2" t="n">
        <v>46094</v>
      </c>
      <c r="L61" s="1" t="inlineStr">
        <is>
          <t>No</t>
        </is>
      </c>
    </row>
    <row r="62">
      <c r="A62" s="1" t="inlineStr">
        <is>
          <t>CHR-2026-061</t>
        </is>
      </c>
      <c r="B62" s="1" t="inlineStr">
        <is>
          <t>Dorsey Grain Cooperative</t>
        </is>
      </c>
      <c r="C62" s="1" t="inlineStr">
        <is>
          <t>DGC-MSA-2024-18</t>
        </is>
      </c>
      <c r="D62" s="1" t="n">
        <v>917013.8199999999</v>
      </c>
      <c r="E62" s="1" t="inlineStr">
        <is>
          <t>Merger integration freeze</t>
        </is>
      </c>
      <c r="F62" s="2" t="n">
        <v>46148</v>
      </c>
      <c r="G62" s="2" t="n">
        <v>46293</v>
      </c>
      <c r="H62" s="1" t="inlineStr">
        <is>
          <t>Account team</t>
        </is>
      </c>
      <c r="I62" s="1" t="inlineStr">
        <is>
          <t>Executive business review scheduled</t>
        </is>
      </c>
      <c r="J62" s="1" t="inlineStr">
        <is>
          <t>J. Alvarez</t>
        </is>
      </c>
      <c r="K62" s="2" t="n">
        <v>46406</v>
      </c>
      <c r="L62" s="1" t="inlineStr">
        <is>
          <t>Yes</t>
        </is>
      </c>
    </row>
    <row r="63">
      <c r="A63" s="1" t="inlineStr">
        <is>
          <t>CHR-2026-062</t>
        </is>
      </c>
      <c r="B63" s="1" t="inlineStr">
        <is>
          <t>Tamarack Electronics</t>
        </is>
      </c>
      <c r="C63" s="1" t="inlineStr">
        <is>
          <t>TCE-MSA-2023-63</t>
        </is>
      </c>
      <c r="D63" s="1" t="n">
        <v>1082007.23</v>
      </c>
      <c r="E63" s="1" t="inlineStr">
        <is>
          <t>Site consolidation announced</t>
        </is>
      </c>
      <c r="F63" s="2" t="n">
        <v>46064</v>
      </c>
      <c r="G63" s="2" t="n">
        <v>46148</v>
      </c>
      <c r="H63" s="1" t="inlineStr">
        <is>
          <t>VP Customer Operations</t>
        </is>
      </c>
      <c r="I63" s="1" t="inlineStr">
        <is>
          <t>Commercial restructure of the support tier</t>
        </is>
      </c>
      <c r="J63" s="1" t="inlineStr">
        <is>
          <t>T. Ferreira</t>
        </is>
      </c>
      <c r="K63" s="2" t="n">
        <v>46136</v>
      </c>
      <c r="L63" s="1" t="inlineStr">
        <is>
          <t>Partially</t>
        </is>
      </c>
    </row>
    <row r="64">
      <c r="A64" s="1" t="inlineStr">
        <is>
          <t>CHR-2026-063</t>
        </is>
      </c>
      <c r="B64" s="1" t="inlineStr">
        <is>
          <t>Redwood Optics</t>
        </is>
      </c>
      <c r="C64" s="1" t="inlineStr">
        <is>
          <t>RWO-MSA-2024-13</t>
        </is>
      </c>
      <c r="D64" s="1" t="n">
        <v>766139.04</v>
      </c>
      <c r="E64" s="1" t="inlineStr">
        <is>
          <t>Merger integration freeze</t>
        </is>
      </c>
      <c r="F64" s="2" t="n">
        <v>45835</v>
      </c>
      <c r="G64" s="2" t="n">
        <v>45926</v>
      </c>
      <c r="H64" s="1" t="inlineStr">
        <is>
          <t>VP Customer Operations</t>
        </is>
      </c>
      <c r="I64" s="1" t="inlineStr">
        <is>
          <t>Executive business review scheduled</t>
        </is>
      </c>
      <c r="J64" s="1" t="inlineStr">
        <is>
          <t>T. Ferreira</t>
        </is>
      </c>
      <c r="K64" s="2" t="n">
        <v>46034</v>
      </c>
      <c r="L64" s="1" t="inlineStr">
        <is>
          <t>No</t>
        </is>
      </c>
    </row>
    <row r="65">
      <c r="A65" s="1" t="inlineStr">
        <is>
          <t>CHR-2026-064</t>
        </is>
      </c>
      <c r="B65" s="1" t="inlineStr">
        <is>
          <t>Elmsworth Publishing</t>
        </is>
      </c>
      <c r="C65" s="1" t="inlineStr">
        <is>
          <t>EWP-MSA-2023-59</t>
        </is>
      </c>
      <c r="D65" s="1" t="n">
        <v>284987.64</v>
      </c>
      <c r="E65" s="1" t="inlineStr">
        <is>
          <t>Unresolved punch list at acceptance</t>
        </is>
      </c>
      <c r="F65" s="2" t="n">
        <v>46017</v>
      </c>
      <c r="G65" s="2" t="n">
        <v>46190</v>
      </c>
      <c r="H65" s="1" t="inlineStr">
        <is>
          <t>VP Customer Operations</t>
        </is>
      </c>
      <c r="I65" s="1" t="inlineStr">
        <is>
          <t>Firmware remediation committed with dates</t>
        </is>
      </c>
      <c r="J65" s="1" t="inlineStr">
        <is>
          <t>T. Ferreira</t>
        </is>
      </c>
      <c r="K65" s="2" t="n">
        <v>46157</v>
      </c>
      <c r="L65" s="1" t="inlineStr">
        <is>
          <t>No</t>
        </is>
      </c>
    </row>
    <row r="66">
      <c r="A66" s="1" t="inlineStr">
        <is>
          <t>CHR-2026-065</t>
        </is>
      </c>
      <c r="B66" s="1" t="inlineStr">
        <is>
          <t>Alderbrook Textiles</t>
        </is>
      </c>
      <c r="C66" s="1" t="inlineStr">
        <is>
          <t>ABT-MSA-2024-88</t>
        </is>
      </c>
      <c r="D66" s="1" t="n">
        <v>435227.17</v>
      </c>
      <c r="E66" s="1" t="inlineStr">
        <is>
          <t>Merger integration freeze</t>
        </is>
      </c>
      <c r="F66" s="2" t="n">
        <v>46133</v>
      </c>
      <c r="G66" s="2" t="n">
        <v>46280</v>
      </c>
      <c r="H66" s="1" t="inlineStr">
        <is>
          <t>Executive sponsor</t>
        </is>
      </c>
      <c r="I66" s="1" t="inlineStr">
        <is>
          <t>Firmware remediation committed with dates</t>
        </is>
      </c>
      <c r="J66" s="1" t="inlineStr">
        <is>
          <t>J. Alvarez</t>
        </is>
      </c>
      <c r="K66" s="2" t="n">
        <v>46290</v>
      </c>
      <c r="L66" s="1" t="inlineStr">
        <is>
          <t>No</t>
        </is>
      </c>
    </row>
    <row r="67">
      <c r="A67" s="1" t="inlineStr">
        <is>
          <t>CHR-2026-066</t>
        </is>
      </c>
      <c r="B67" s="1" t="inlineStr">
        <is>
          <t>Fathom Mobility</t>
        </is>
      </c>
      <c r="C67" s="1" t="inlineStr">
        <is>
          <t>FTM-MSA-2023-74</t>
        </is>
      </c>
      <c r="D67" s="1" t="n">
        <v>1127221.01</v>
      </c>
      <c r="E67" s="1" t="inlineStr">
        <is>
          <t>Merger integration freeze</t>
        </is>
      </c>
      <c r="F67" s="2" t="n">
        <v>45890</v>
      </c>
      <c r="G67" s="2" t="n">
        <v>45961</v>
      </c>
      <c r="H67" s="1" t="inlineStr">
        <is>
          <t>Account team</t>
        </is>
      </c>
      <c r="I67" s="1" t="inlineStr">
        <is>
          <t>Service credit settlement proposed</t>
        </is>
      </c>
      <c r="J67" s="1" t="inlineStr">
        <is>
          <t>J. Alvarez</t>
        </is>
      </c>
      <c r="K67" s="2" t="n">
        <v>46050</v>
      </c>
      <c r="L67" s="1" t="inlineStr">
        <is>
          <t>No</t>
        </is>
      </c>
    </row>
    <row r="68">
      <c r="A68" s="1" t="inlineStr">
        <is>
          <t>CHR-2026-067</t>
        </is>
      </c>
      <c r="B68" s="1" t="inlineStr">
        <is>
          <t>Yarrow Home Goods</t>
        </is>
      </c>
      <c r="C68" s="1" t="inlineStr">
        <is>
          <t>YHG-MSA-2025-75</t>
        </is>
      </c>
      <c r="D68" s="1" t="n">
        <v>978577.22</v>
      </c>
      <c r="E68" s="1" t="inlineStr">
        <is>
          <t>Site consolidation announced</t>
        </is>
      </c>
      <c r="F68" s="2" t="n">
        <v>46079</v>
      </c>
      <c r="G68" s="2" t="n">
        <v>46125</v>
      </c>
      <c r="H68" s="1" t="inlineStr">
        <is>
          <t>Account team</t>
        </is>
      </c>
      <c r="I68" s="1" t="inlineStr">
        <is>
          <t>Service credit settlement proposed</t>
        </is>
      </c>
      <c r="J68" s="1" t="inlineStr">
        <is>
          <t>F. Roux</t>
        </is>
      </c>
      <c r="K68" s="2" t="n">
        <v>46129</v>
      </c>
      <c r="L68" s="1" t="inlineStr">
        <is>
          <t>No</t>
        </is>
      </c>
    </row>
    <row r="69">
      <c r="A69" s="1" t="inlineStr">
        <is>
          <t>CHR-2026-068</t>
        </is>
      </c>
      <c r="B69" s="1" t="inlineStr">
        <is>
          <t>Harborline Systems</t>
        </is>
      </c>
      <c r="C69" s="1" t="inlineStr">
        <is>
          <t>HLS-MSA-2025-52</t>
        </is>
      </c>
      <c r="D69" s="1" t="n">
        <v>754099.36</v>
      </c>
      <c r="E69" s="1" t="inlineStr">
        <is>
          <t>Pricing above renewal benchmark</t>
        </is>
      </c>
      <c r="F69" s="2" t="n">
        <v>46155</v>
      </c>
      <c r="G69" s="2" t="n">
        <v>46176</v>
      </c>
      <c r="H69" s="1" t="inlineStr">
        <is>
          <t>Account team</t>
        </is>
      </c>
      <c r="I69" s="1" t="inlineStr">
        <is>
          <t>Weekly reliability review with site leadership</t>
        </is>
      </c>
      <c r="J69" s="1" t="inlineStr">
        <is>
          <t>J. Alvarez</t>
        </is>
      </c>
      <c r="K69" s="2" t="n">
        <v>46199</v>
      </c>
      <c r="L69" s="1" t="inlineStr">
        <is>
          <t>No</t>
        </is>
      </c>
    </row>
    <row r="70">
      <c r="A70" s="1" t="inlineStr">
        <is>
          <t>CHR-2026-069</t>
        </is>
      </c>
      <c r="B70" s="1" t="inlineStr">
        <is>
          <t>Dorsey Grain Cooperative</t>
        </is>
      </c>
      <c r="C70" s="1" t="inlineStr">
        <is>
          <t>DGC-MSA-2025-70</t>
        </is>
      </c>
      <c r="D70" s="1" t="n">
        <v>1142743.6</v>
      </c>
      <c r="E70" s="1" t="inlineStr">
        <is>
          <t>Sponsor departure</t>
        </is>
      </c>
      <c r="F70" s="2" t="n">
        <v>45870</v>
      </c>
      <c r="G70" s="2" t="n">
        <v>46045</v>
      </c>
      <c r="H70" s="1" t="inlineStr">
        <is>
          <t>Account team</t>
        </is>
      </c>
      <c r="I70" s="1" t="inlineStr">
        <is>
          <t>Executive business review scheduled</t>
        </is>
      </c>
      <c r="J70" s="1" t="inlineStr">
        <is>
          <t>H. Ferrand</t>
        </is>
      </c>
      <c r="K70" s="2" t="n">
        <v>45996</v>
      </c>
      <c r="L70" s="1" t="inlineStr">
        <is>
          <t>Yes</t>
        </is>
      </c>
    </row>
    <row r="71">
      <c r="A71" s="1" t="inlineStr">
        <is>
          <t>CHR-2026-070</t>
        </is>
      </c>
      <c r="B71" s="1" t="inlineStr">
        <is>
          <t>Bellweather Auto Group</t>
        </is>
      </c>
      <c r="C71" s="1" t="inlineStr">
        <is>
          <t>BWA-MSA-2025-60</t>
        </is>
      </c>
      <c r="D71" s="1" t="n">
        <v>363573.2</v>
      </c>
      <c r="E71" s="1" t="inlineStr">
        <is>
          <t>Repeated availability breaches</t>
        </is>
      </c>
      <c r="F71" s="2" t="n">
        <v>46000</v>
      </c>
      <c r="G71" s="2" t="n">
        <v>46164</v>
      </c>
      <c r="H71" s="1" t="inlineStr">
        <is>
          <t>Account team</t>
        </is>
      </c>
      <c r="I71" s="1" t="inlineStr">
        <is>
          <t>Firmware remediation committed with dates</t>
        </is>
      </c>
      <c r="J71" s="1" t="inlineStr">
        <is>
          <t>T. Ferreira</t>
        </is>
      </c>
      <c r="K71" s="2" t="n">
        <v>46170</v>
      </c>
      <c r="L71" s="1" t="inlineStr">
        <is>
          <t>Yes</t>
        </is>
      </c>
    </row>
    <row r="72">
      <c r="A72" s="1" t="inlineStr">
        <is>
          <t>CHR-2026-071</t>
        </is>
      </c>
      <c r="B72" s="1" t="inlineStr">
        <is>
          <t>Westlake Chemical Depot</t>
        </is>
      </c>
      <c r="C72" s="1" t="inlineStr">
        <is>
          <t>WCD-MSA-2023-52</t>
        </is>
      </c>
      <c r="D72" s="1" t="n">
        <v>908712.77</v>
      </c>
      <c r="E72" s="1" t="inlineStr">
        <is>
          <t>Unresolved punch list at acceptance</t>
        </is>
      </c>
      <c r="F72" s="2" t="n">
        <v>46055</v>
      </c>
      <c r="G72" s="2" t="n">
        <v>46189</v>
      </c>
      <c r="H72" s="1" t="inlineStr">
        <is>
          <t>Account team</t>
        </is>
      </c>
      <c r="I72" s="1" t="inlineStr">
        <is>
          <t>Service credit settlement proposed</t>
        </is>
      </c>
      <c r="J72" s="1" t="inlineStr">
        <is>
          <t>F. Roux</t>
        </is>
      </c>
      <c r="K72" s="2" t="n">
        <v>46274</v>
      </c>
      <c r="L72" s="1" t="inlineStr">
        <is>
          <t>Partially</t>
        </is>
      </c>
    </row>
    <row r="73">
      <c r="A73" s="1" t="inlineStr">
        <is>
          <t>CHR-2026-072</t>
        </is>
      </c>
      <c r="B73" s="1" t="inlineStr">
        <is>
          <t>Tamarack Electronics</t>
        </is>
      </c>
      <c r="C73" s="1" t="inlineStr">
        <is>
          <t>TCE-MSA-2024-27</t>
        </is>
      </c>
      <c r="D73" s="1" t="n">
        <v>579334.54</v>
      </c>
      <c r="E73" s="1" t="inlineStr">
        <is>
          <t>Site consolidation announced</t>
        </is>
      </c>
      <c r="F73" s="2" t="n">
        <v>46078</v>
      </c>
      <c r="G73" s="2" t="n">
        <v>46220</v>
      </c>
      <c r="H73" s="1" t="inlineStr">
        <is>
          <t>Account team</t>
        </is>
      </c>
      <c r="I73" s="1" t="inlineStr">
        <is>
          <t>Service credit settlement proposed</t>
        </is>
      </c>
      <c r="J73" s="1" t="inlineStr">
        <is>
          <t>T. Ferreira</t>
        </is>
      </c>
      <c r="K73" s="2" t="n">
        <v>46225</v>
      </c>
      <c r="L73" s="1" t="inlineStr">
        <is>
          <t>Partially</t>
        </is>
      </c>
    </row>
    <row r="74">
      <c r="A74" s="1" t="inlineStr">
        <is>
          <t>CHR-2026-073</t>
        </is>
      </c>
      <c r="B74" s="1" t="inlineStr">
        <is>
          <t>Northfield Beverage</t>
        </is>
      </c>
      <c r="C74" s="1" t="inlineStr">
        <is>
          <t>NFB-MSA-2024-45</t>
        </is>
      </c>
      <c r="D74" s="1" t="n">
        <v>798844.5</v>
      </c>
      <c r="E74" s="1" t="inlineStr">
        <is>
          <t>Unresolved punch list at acceptance</t>
        </is>
      </c>
      <c r="F74" s="2" t="n">
        <v>46084</v>
      </c>
      <c r="G74" s="2" t="n">
        <v>46212</v>
      </c>
      <c r="H74" s="1" t="inlineStr">
        <is>
          <t>Executive sponsor</t>
        </is>
      </c>
      <c r="I74" s="1" t="inlineStr">
        <is>
          <t>Firmware remediation committed with dates</t>
        </is>
      </c>
      <c r="J74" s="1" t="inlineStr">
        <is>
          <t>F. Roux</t>
        </is>
      </c>
      <c r="K74" s="2" t="n">
        <v>46217</v>
      </c>
      <c r="L74" s="1" t="inlineStr">
        <is>
          <t>No</t>
        </is>
      </c>
    </row>
    <row r="75">
      <c r="A75" s="1" t="inlineStr">
        <is>
          <t>CHR-2026-074</t>
        </is>
      </c>
      <c r="B75" s="1" t="inlineStr">
        <is>
          <t>Keystone Paper &amp; Pack</t>
        </is>
      </c>
      <c r="C75" s="1" t="inlineStr">
        <is>
          <t>KPP-MSA-2024-72</t>
        </is>
      </c>
      <c r="D75" s="1" t="n">
        <v>242116.46</v>
      </c>
      <c r="E75" s="1" t="inlineStr">
        <is>
          <t>Pricing above renewal benchmark</t>
        </is>
      </c>
      <c r="F75" s="2" t="n">
        <v>45986</v>
      </c>
      <c r="G75" s="2" t="n">
        <v>46027</v>
      </c>
      <c r="H75" s="1" t="inlineStr">
        <is>
          <t>Account team</t>
        </is>
      </c>
      <c r="I75" s="1" t="inlineStr">
        <is>
          <t>Service credit settlement proposed</t>
        </is>
      </c>
      <c r="J75" s="1" t="inlineStr">
        <is>
          <t>F. Roux</t>
        </is>
      </c>
      <c r="K75" s="2" t="n">
        <v>46178</v>
      </c>
      <c r="L75" s="1" t="inlineStr">
        <is>
          <t>Yes</t>
        </is>
      </c>
    </row>
    <row r="76">
      <c r="A76" s="1" t="inlineStr">
        <is>
          <t>CHR-2026-075</t>
        </is>
      </c>
      <c r="B76" s="1" t="inlineStr">
        <is>
          <t>Vantage Robotics Supply</t>
        </is>
      </c>
      <c r="C76" s="1" t="inlineStr">
        <is>
          <t>VRS-MSA-2025-44</t>
        </is>
      </c>
      <c r="D76" s="1" t="n">
        <v>719025.47</v>
      </c>
      <c r="E76" s="1" t="inlineStr">
        <is>
          <t>Unresolved punch list at acceptance</t>
        </is>
      </c>
      <c r="F76" s="2" t="n">
        <v>46043</v>
      </c>
      <c r="G76" s="2" t="n">
        <v>46176</v>
      </c>
      <c r="H76" s="1" t="inlineStr">
        <is>
          <t>VP Customer Operations</t>
        </is>
      </c>
      <c r="I76" s="1" t="inlineStr">
        <is>
          <t>Service credit settlement proposed</t>
        </is>
      </c>
      <c r="J76" s="1" t="inlineStr">
        <is>
          <t>J. Alvarez</t>
        </is>
      </c>
      <c r="K76" s="2" t="n">
        <v>46273</v>
      </c>
      <c r="L76" s="1" t="inlineStr">
        <is>
          <t>Yes</t>
        </is>
      </c>
    </row>
    <row r="77">
      <c r="A77" s="1" t="inlineStr">
        <is>
          <t>CHR-2026-076</t>
        </is>
      </c>
      <c r="B77" s="1" t="inlineStr">
        <is>
          <t>Asterion Logistics</t>
        </is>
      </c>
      <c r="C77" s="1" t="inlineStr">
        <is>
          <t>AST-MSA-2024-65</t>
        </is>
      </c>
      <c r="D77" s="1" t="n">
        <v>220918.79</v>
      </c>
      <c r="E77" s="1" t="inlineStr">
        <is>
          <t>Sponsor departure</t>
        </is>
      </c>
      <c r="F77" s="2" t="n">
        <v>46029</v>
      </c>
      <c r="G77" s="2" t="n">
        <v>46154</v>
      </c>
      <c r="H77" s="1" t="inlineStr">
        <is>
          <t>Account team</t>
        </is>
      </c>
      <c r="I77" s="1" t="inlineStr">
        <is>
          <t>Weekly reliability review with site leadership</t>
        </is>
      </c>
      <c r="J77" s="1" t="inlineStr">
        <is>
          <t>H. Ferrand</t>
        </is>
      </c>
      <c r="K77" s="2" t="n">
        <v>46155</v>
      </c>
      <c r="L77" s="1" t="inlineStr">
        <is>
          <t>Partially</t>
        </is>
      </c>
    </row>
    <row r="78">
      <c r="A78" s="1" t="inlineStr">
        <is>
          <t>CHR-2026-077</t>
        </is>
      </c>
      <c r="B78" s="1" t="inlineStr">
        <is>
          <t>Evergreen Warehousing</t>
        </is>
      </c>
      <c r="C78" s="1" t="inlineStr">
        <is>
          <t>EVW-MSA-2023-77</t>
        </is>
      </c>
      <c r="D78" s="1" t="n">
        <v>827307.3100000001</v>
      </c>
      <c r="E78" s="1" t="inlineStr">
        <is>
          <t>Pricing above renewal benchmark</t>
        </is>
      </c>
      <c r="F78" s="2" t="n">
        <v>45901</v>
      </c>
      <c r="G78" s="2" t="n">
        <v>46043</v>
      </c>
      <c r="H78" s="1" t="inlineStr">
        <is>
          <t>Executive sponsor</t>
        </is>
      </c>
      <c r="I78" s="1" t="inlineStr">
        <is>
          <t>Commercial restructure of the support tier</t>
        </is>
      </c>
      <c r="J78" s="1" t="inlineStr">
        <is>
          <t>T. Ferreira</t>
        </is>
      </c>
      <c r="K78" s="2" t="n">
        <v>46010</v>
      </c>
      <c r="L78" s="1" t="inlineStr">
        <is>
          <t>Yes</t>
        </is>
      </c>
    </row>
    <row r="79">
      <c r="A79" s="1" t="inlineStr">
        <is>
          <t>CHR-2026-078</t>
        </is>
      </c>
      <c r="B79" s="1" t="inlineStr">
        <is>
          <t>Meridian Dynamics</t>
        </is>
      </c>
      <c r="C79" s="1" t="inlineStr">
        <is>
          <t>MDY-MSA-2025-15</t>
        </is>
      </c>
      <c r="D79" s="1" t="n">
        <v>1101900.16</v>
      </c>
      <c r="E79" s="1" t="inlineStr">
        <is>
          <t>Sponsor departure</t>
        </is>
      </c>
      <c r="F79" s="2" t="n">
        <v>45811</v>
      </c>
      <c r="G79" s="2" t="n">
        <v>45961</v>
      </c>
      <c r="H79" s="1" t="inlineStr">
        <is>
          <t>VP Customer Operations</t>
        </is>
      </c>
      <c r="I79" s="1" t="inlineStr">
        <is>
          <t>Executive business review scheduled</t>
        </is>
      </c>
      <c r="J79" s="1" t="inlineStr">
        <is>
          <t>J. Alvarez</t>
        </is>
      </c>
      <c r="K79" s="2" t="n">
        <v>46007</v>
      </c>
      <c r="L79" s="1" t="inlineStr">
        <is>
          <t>No</t>
        </is>
      </c>
    </row>
    <row r="80">
      <c r="A80" s="1" t="inlineStr">
        <is>
          <t>CHR-2026-079</t>
        </is>
      </c>
      <c r="B80" s="1" t="inlineStr">
        <is>
          <t>Dunbar Industrial</t>
        </is>
      </c>
      <c r="C80" s="1" t="inlineStr">
        <is>
          <t>DBI-MSA-2025-42</t>
        </is>
      </c>
      <c r="D80" s="1" t="n">
        <v>833804.98</v>
      </c>
      <c r="E80" s="1" t="inlineStr">
        <is>
          <t>Unresolved punch list at acceptance</t>
        </is>
      </c>
      <c r="F80" s="2" t="n">
        <v>46157</v>
      </c>
      <c r="G80" s="2" t="n">
        <v>46262</v>
      </c>
      <c r="H80" s="1" t="inlineStr">
        <is>
          <t>VP Customer Operations</t>
        </is>
      </c>
      <c r="I80" s="1" t="inlineStr">
        <is>
          <t>Executive business review scheduled</t>
        </is>
      </c>
      <c r="J80" s="1" t="inlineStr">
        <is>
          <t>J. Alvarez</t>
        </is>
      </c>
      <c r="K80" s="2" t="n">
        <v>46324</v>
      </c>
      <c r="L80" s="1" t="inlineStr">
        <is>
          <t>Yes</t>
        </is>
      </c>
    </row>
    <row r="81">
      <c r="A81" s="1" t="inlineStr">
        <is>
          <t>CHR-2026-080</t>
        </is>
      </c>
      <c r="B81" s="1" t="inlineStr">
        <is>
          <t>Larkspur Apparel</t>
        </is>
      </c>
      <c r="C81" s="1" t="inlineStr">
        <is>
          <t>LKA-MSA-2023-15</t>
        </is>
      </c>
      <c r="D81" s="1" t="n">
        <v>129490.94</v>
      </c>
      <c r="E81" s="1" t="inlineStr">
        <is>
          <t>Repeated availability breaches</t>
        </is>
      </c>
      <c r="F81" s="2" t="n">
        <v>46003</v>
      </c>
      <c r="G81" s="2" t="n">
        <v>46059</v>
      </c>
      <c r="H81" s="1" t="inlineStr">
        <is>
          <t>Account team</t>
        </is>
      </c>
      <c r="I81" s="1" t="inlineStr">
        <is>
          <t>Executive business review scheduled</t>
        </is>
      </c>
      <c r="J81" s="1" t="inlineStr">
        <is>
          <t>H. Ferrand</t>
        </is>
      </c>
      <c r="K81" s="2" t="n">
        <v>46093</v>
      </c>
      <c r="L81" s="1" t="inlineStr">
        <is>
          <t>No</t>
        </is>
      </c>
    </row>
    <row r="82">
      <c r="A82" s="1" t="inlineStr">
        <is>
          <t>CHR-2026-081</t>
        </is>
      </c>
      <c r="B82" s="1" t="inlineStr">
        <is>
          <t>Evergreen Warehousing</t>
        </is>
      </c>
      <c r="C82" s="1" t="inlineStr">
        <is>
          <t>EVW-MSA-2025-43</t>
        </is>
      </c>
      <c r="D82" s="1" t="n">
        <v>843971.09</v>
      </c>
      <c r="E82" s="1" t="inlineStr">
        <is>
          <t>Sponsor departure</t>
        </is>
      </c>
      <c r="F82" s="2" t="n">
        <v>45826</v>
      </c>
      <c r="G82" s="2" t="n">
        <v>45961</v>
      </c>
      <c r="H82" s="1" t="inlineStr">
        <is>
          <t>Executive sponsor</t>
        </is>
      </c>
      <c r="I82" s="1" t="inlineStr">
        <is>
          <t>Firmware remediation committed with dates</t>
        </is>
      </c>
      <c r="J82" s="1" t="inlineStr">
        <is>
          <t>F. Roux</t>
        </is>
      </c>
      <c r="K82" s="2" t="n">
        <v>45912</v>
      </c>
      <c r="L82" s="1" t="inlineStr">
        <is>
          <t>No</t>
        </is>
      </c>
    </row>
    <row r="83">
      <c r="A83" s="1" t="inlineStr">
        <is>
          <t>CHR-2026-082</t>
        </is>
      </c>
      <c r="B83" s="1" t="inlineStr">
        <is>
          <t>Union Vale Pharma</t>
        </is>
      </c>
      <c r="C83" s="1" t="inlineStr">
        <is>
          <t>UVP-MSA-2025-57</t>
        </is>
      </c>
      <c r="D83" s="1" t="n">
        <v>907951.14</v>
      </c>
      <c r="E83" s="1" t="inlineStr">
        <is>
          <t>Sponsor departure</t>
        </is>
      </c>
      <c r="F83" s="2" t="n">
        <v>45999</v>
      </c>
      <c r="G83" s="2" t="n">
        <v>46031</v>
      </c>
      <c r="H83" s="1" t="inlineStr">
        <is>
          <t>Account team</t>
        </is>
      </c>
      <c r="I83" s="1" t="inlineStr">
        <is>
          <t>Weekly reliability review with site leadership</t>
        </is>
      </c>
      <c r="J83" s="1" t="inlineStr">
        <is>
          <t>J. Alvarez</t>
        </is>
      </c>
      <c r="K83" s="2" t="n">
        <v>46150</v>
      </c>
      <c r="L83" s="1" t="inlineStr">
        <is>
          <t>Partially</t>
        </is>
      </c>
    </row>
    <row r="84">
      <c r="A84" s="1" t="inlineStr">
        <is>
          <t>CHR-2026-083</t>
        </is>
      </c>
      <c r="B84" s="1" t="inlineStr">
        <is>
          <t>Alderbrook Textiles</t>
        </is>
      </c>
      <c r="C84" s="1" t="inlineStr">
        <is>
          <t>ABT-MSA-2023-52</t>
        </is>
      </c>
      <c r="D84" s="1" t="n">
        <v>392994.34</v>
      </c>
      <c r="E84" s="1" t="inlineStr">
        <is>
          <t>Sponsor departure</t>
        </is>
      </c>
      <c r="F84" s="2" t="n">
        <v>46150</v>
      </c>
      <c r="G84" s="2" t="n">
        <v>46182</v>
      </c>
      <c r="H84" s="1" t="inlineStr">
        <is>
          <t>VP Customer Operations</t>
        </is>
      </c>
      <c r="I84" s="1" t="inlineStr">
        <is>
          <t>Service credit settlement proposed</t>
        </is>
      </c>
      <c r="J84" s="1" t="inlineStr">
        <is>
          <t>H. Ferrand</t>
        </is>
      </c>
      <c r="K84" s="2" t="n">
        <v>46406</v>
      </c>
      <c r="L84" s="1" t="inlineStr">
        <is>
          <t>Yes</t>
        </is>
      </c>
    </row>
    <row r="85">
      <c r="A85" s="1" t="inlineStr">
        <is>
          <t>CHR-2026-084</t>
        </is>
      </c>
      <c r="B85" s="1" t="inlineStr">
        <is>
          <t>Pioneer Freight Union</t>
        </is>
      </c>
      <c r="C85" s="1" t="inlineStr">
        <is>
          <t>PFU-MSA-2023-67</t>
        </is>
      </c>
      <c r="D85" s="1" t="n">
        <v>695036.67</v>
      </c>
      <c r="E85" s="1" t="inlineStr">
        <is>
          <t>Repeated availability breaches</t>
        </is>
      </c>
      <c r="F85" s="2" t="n">
        <v>46108</v>
      </c>
      <c r="G85" s="2" t="n">
        <v>46175</v>
      </c>
      <c r="H85" s="1" t="inlineStr">
        <is>
          <t>Account team</t>
        </is>
      </c>
      <c r="I85" s="1" t="inlineStr">
        <is>
          <t>Service credit settlement proposed</t>
        </is>
      </c>
      <c r="J85" s="1" t="inlineStr">
        <is>
          <t>F. Roux</t>
        </is>
      </c>
      <c r="K85" s="2" t="n">
        <v>46255</v>
      </c>
      <c r="L85" s="1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measurement_quarter</t>
        </is>
      </c>
      <c r="B1" s="1" t="inlineStr">
        <is>
          <t>stage_from</t>
        </is>
      </c>
      <c r="C1" s="1" t="inlineStr">
        <is>
          <t>stage_to</t>
        </is>
      </c>
      <c r="D1" s="1" t="inlineStr">
        <is>
          <t>opportunities_entered</t>
        </is>
      </c>
      <c r="E1" s="1" t="inlineStr">
        <is>
          <t>opportunities_advanced</t>
        </is>
      </c>
      <c r="F1" s="1" t="inlineStr">
        <is>
          <t>conversion_ratio</t>
        </is>
      </c>
      <c r="G1" s="1" t="inlineStr">
        <is>
          <t>median_days_in_stage</t>
        </is>
      </c>
      <c r="H1" s="1" t="inlineStr">
        <is>
          <t>commentary</t>
        </is>
      </c>
    </row>
    <row r="2">
      <c r="A2" s="1" t="inlineStr">
        <is>
          <t>2024Q3</t>
        </is>
      </c>
      <c r="B2" s="1" t="inlineStr">
        <is>
          <t>Discovery</t>
        </is>
      </c>
      <c r="C2" s="1" t="inlineStr">
        <is>
          <t>Site survey</t>
        </is>
      </c>
      <c r="D2" s="1" t="n">
        <v>39</v>
      </c>
      <c r="E2" s="1" t="n">
        <v>31</v>
      </c>
      <c r="F2" s="1">
        <f>ROUND(E2/D2,3)</f>
        <v/>
      </c>
      <c r="G2" s="1" t="n">
        <v>74</v>
      </c>
      <c r="H2" s="1" t="inlineStr">
        <is>
          <t>Loss reason coding was tightened this quarter</t>
        </is>
      </c>
    </row>
    <row r="3">
      <c r="A3" s="1" t="inlineStr">
        <is>
          <t>2024Q4</t>
        </is>
      </c>
      <c r="B3" s="1" t="inlineStr">
        <is>
          <t>Site survey</t>
        </is>
      </c>
      <c r="C3" s="1" t="inlineStr">
        <is>
          <t>Proposal</t>
        </is>
      </c>
      <c r="D3" s="1" t="n">
        <v>79</v>
      </c>
      <c r="E3" s="1" t="n">
        <v>62</v>
      </c>
      <c r="F3" s="1">
        <f>ROUND(E3/D3,3)</f>
        <v/>
      </c>
      <c r="G3" s="1" t="n">
        <v>97</v>
      </c>
      <c r="H3" s="1" t="inlineStr">
        <is>
          <t>Site survey capacity was the binding constraint</t>
        </is>
      </c>
    </row>
    <row r="4">
      <c r="A4" s="1" t="inlineStr">
        <is>
          <t>2025Q1</t>
        </is>
      </c>
      <c r="B4" s="1" t="inlineStr">
        <is>
          <t>Proposal</t>
        </is>
      </c>
      <c r="C4" s="1" t="inlineStr">
        <is>
          <t>Legal review</t>
        </is>
      </c>
      <c r="D4" s="1" t="n">
        <v>60</v>
      </c>
      <c r="E4" s="1" t="n">
        <v>17</v>
      </c>
      <c r="F4" s="1">
        <f>ROUND(E4/D4,3)</f>
        <v/>
      </c>
      <c r="G4" s="1" t="n">
        <v>73</v>
      </c>
      <c r="H4" s="1" t="inlineStr">
        <is>
          <t>Most common loss reason: budget deferred to next fiscal year</t>
        </is>
      </c>
    </row>
    <row r="5">
      <c r="A5" s="1" t="inlineStr">
        <is>
          <t>2025Q2</t>
        </is>
      </c>
      <c r="B5" s="1" t="inlineStr">
        <is>
          <t>Legal review</t>
        </is>
      </c>
      <c r="C5" s="1" t="inlineStr">
        <is>
          <t>Verbal commitment</t>
        </is>
      </c>
      <c r="D5" s="1" t="n">
        <v>26</v>
      </c>
      <c r="E5" s="1" t="n">
        <v>10</v>
      </c>
      <c r="F5" s="1">
        <f>ROUND(E5/D5,3)</f>
        <v/>
      </c>
      <c r="G5" s="1" t="n">
        <v>128</v>
      </c>
      <c r="H5" s="1" t="inlineStr">
        <is>
          <t>Two large opportunities skewed the median</t>
        </is>
      </c>
    </row>
    <row r="6">
      <c r="A6" s="1" t="inlineStr">
        <is>
          <t>2025Q3</t>
        </is>
      </c>
      <c r="B6" s="1" t="inlineStr">
        <is>
          <t>Verbal commitment</t>
        </is>
      </c>
      <c r="C6" s="1" t="inlineStr">
        <is>
          <t>Closed won</t>
        </is>
      </c>
      <c r="D6" s="1" t="n">
        <v>17</v>
      </c>
      <c r="E6" s="1" t="n">
        <v>8</v>
      </c>
      <c r="F6" s="1">
        <f>ROUND(E6/D6,3)</f>
        <v/>
      </c>
      <c r="G6" s="1" t="n">
        <v>20</v>
      </c>
      <c r="H6" s="1" t="inlineStr">
        <is>
          <t>Two large opportunities skewed the median</t>
        </is>
      </c>
    </row>
    <row r="7">
      <c r="A7" s="1" t="inlineStr">
        <is>
          <t>2025Q4</t>
        </is>
      </c>
      <c r="B7" s="1" t="inlineStr">
        <is>
          <t>Qualification</t>
        </is>
      </c>
      <c r="C7" s="1" t="inlineStr">
        <is>
          <t>Discovery</t>
        </is>
      </c>
      <c r="D7" s="1" t="n">
        <v>82</v>
      </c>
      <c r="E7" s="1" t="n">
        <v>80</v>
      </c>
      <c r="F7" s="1">
        <f>ROUND(E7/D7,3)</f>
        <v/>
      </c>
      <c r="G7" s="1" t="n">
        <v>29</v>
      </c>
      <c r="H7" s="1" t="inlineStr">
        <is>
          <t>Loss reason coding was tightened this quarter</t>
        </is>
      </c>
    </row>
    <row r="8">
      <c r="A8" s="1" t="inlineStr">
        <is>
          <t>2026Q1</t>
        </is>
      </c>
      <c r="B8" s="1" t="inlineStr">
        <is>
          <t>Discovery</t>
        </is>
      </c>
      <c r="C8" s="1" t="inlineStr">
        <is>
          <t>Site survey</t>
        </is>
      </c>
      <c r="D8" s="1" t="n">
        <v>55</v>
      </c>
      <c r="E8" s="1" t="n">
        <v>48</v>
      </c>
      <c r="F8" s="1">
        <f>ROUND(E8/D8,3)</f>
        <v/>
      </c>
      <c r="G8" s="1" t="n">
        <v>112</v>
      </c>
      <c r="H8" s="1" t="inlineStr">
        <is>
          <t>Loss reason coding was tightened this quarter</t>
        </is>
      </c>
    </row>
    <row r="9">
      <c r="A9" s="1" t="inlineStr">
        <is>
          <t>2026Q2</t>
        </is>
      </c>
      <c r="B9" s="1" t="inlineStr">
        <is>
          <t>Site survey</t>
        </is>
      </c>
      <c r="C9" s="1" t="inlineStr">
        <is>
          <t>Proposal</t>
        </is>
      </c>
      <c r="D9" s="1" t="n">
        <v>28</v>
      </c>
      <c r="E9" s="1" t="n">
        <v>18</v>
      </c>
      <c r="F9" s="1">
        <f>ROUND(E9/D9,3)</f>
        <v/>
      </c>
      <c r="G9" s="1" t="n">
        <v>45</v>
      </c>
      <c r="H9" s="1" t="inlineStr">
        <is>
          <t>Site survey capacity was the binding constraint</t>
        </is>
      </c>
    </row>
    <row r="10">
      <c r="A10" s="1" t="inlineStr">
        <is>
          <t>2024Q2</t>
        </is>
      </c>
      <c r="B10" s="1" t="inlineStr">
        <is>
          <t>Proposal</t>
        </is>
      </c>
      <c r="C10" s="1" t="inlineStr">
        <is>
          <t>Legal review</t>
        </is>
      </c>
      <c r="D10" s="1" t="n">
        <v>56</v>
      </c>
      <c r="E10" s="1" t="n">
        <v>30</v>
      </c>
      <c r="F10" s="1">
        <f>ROUND(E10/D10,3)</f>
        <v/>
      </c>
      <c r="G10" s="1" t="n">
        <v>47</v>
      </c>
      <c r="H10" s="1" t="inlineStr">
        <is>
          <t>Site survey capacity was the binding constraint</t>
        </is>
      </c>
    </row>
    <row r="11">
      <c r="A11" s="1" t="inlineStr">
        <is>
          <t>2024Q3</t>
        </is>
      </c>
      <c r="B11" s="1" t="inlineStr">
        <is>
          <t>Legal review</t>
        </is>
      </c>
      <c r="C11" s="1" t="inlineStr">
        <is>
          <t>Verbal commitment</t>
        </is>
      </c>
      <c r="D11" s="1" t="n">
        <v>71</v>
      </c>
      <c r="E11" s="1" t="n">
        <v>54</v>
      </c>
      <c r="F11" s="1">
        <f>ROUND(E11/D11,3)</f>
        <v/>
      </c>
      <c r="G11" s="1" t="n">
        <v>70</v>
      </c>
      <c r="H11" s="1" t="inlineStr">
        <is>
          <t>Loss reason coding was tightened this quarter</t>
        </is>
      </c>
    </row>
    <row r="12">
      <c r="A12" s="1" t="inlineStr">
        <is>
          <t>2024Q4</t>
        </is>
      </c>
      <c r="B12" s="1" t="inlineStr">
        <is>
          <t>Verbal commitment</t>
        </is>
      </c>
      <c r="C12" s="1" t="inlineStr">
        <is>
          <t>Closed won</t>
        </is>
      </c>
      <c r="D12" s="1" t="n">
        <v>95</v>
      </c>
      <c r="E12" s="1" t="n">
        <v>93</v>
      </c>
      <c r="F12" s="1">
        <f>ROUND(E12/D12,3)</f>
        <v/>
      </c>
      <c r="G12" s="1" t="n">
        <v>49</v>
      </c>
      <c r="H12" s="1" t="inlineStr">
        <is>
          <t>Site survey capacity was the binding constraint</t>
        </is>
      </c>
    </row>
    <row r="13">
      <c r="A13" s="1" t="inlineStr">
        <is>
          <t>2025Q1</t>
        </is>
      </c>
      <c r="B13" s="1" t="inlineStr">
        <is>
          <t>Qualification</t>
        </is>
      </c>
      <c r="C13" s="1" t="inlineStr">
        <is>
          <t>Discovery</t>
        </is>
      </c>
      <c r="D13" s="1" t="n">
        <v>76</v>
      </c>
      <c r="E13" s="1" t="n">
        <v>72</v>
      </c>
      <c r="F13" s="1">
        <f>ROUND(E13/D13,3)</f>
        <v/>
      </c>
      <c r="G13" s="1" t="n">
        <v>45</v>
      </c>
      <c r="H13" s="1" t="inlineStr">
        <is>
          <t>Site survey capacity was the binding constraint</t>
        </is>
      </c>
    </row>
    <row r="14">
      <c r="A14" s="1" t="inlineStr">
        <is>
          <t>2025Q2</t>
        </is>
      </c>
      <c r="B14" s="1" t="inlineStr">
        <is>
          <t>Discovery</t>
        </is>
      </c>
      <c r="C14" s="1" t="inlineStr">
        <is>
          <t>Site survey</t>
        </is>
      </c>
      <c r="D14" s="1" t="n">
        <v>94</v>
      </c>
      <c r="E14" s="1" t="n">
        <v>85</v>
      </c>
      <c r="F14" s="1">
        <f>ROUND(E14/D14,3)</f>
        <v/>
      </c>
      <c r="G14" s="1" t="n">
        <v>107</v>
      </c>
      <c r="H14" s="1" t="inlineStr">
        <is>
          <t>Site survey capacity was the binding constraint</t>
        </is>
      </c>
    </row>
    <row r="15">
      <c r="A15" s="1" t="inlineStr">
        <is>
          <t>2025Q3</t>
        </is>
      </c>
      <c r="B15" s="1" t="inlineStr">
        <is>
          <t>Site survey</t>
        </is>
      </c>
      <c r="C15" s="1" t="inlineStr">
        <is>
          <t>Proposal</t>
        </is>
      </c>
      <c r="D15" s="1" t="n">
        <v>81</v>
      </c>
      <c r="E15" s="1" t="n">
        <v>38</v>
      </c>
      <c r="F15" s="1">
        <f>ROUND(E15/D15,3)</f>
        <v/>
      </c>
      <c r="G15" s="1" t="n">
        <v>26</v>
      </c>
      <c r="H15" s="1" t="inlineStr">
        <is>
          <t>Two large opportunities skewed the median</t>
        </is>
      </c>
    </row>
    <row r="16">
      <c r="A16" s="1" t="inlineStr">
        <is>
          <t>2025Q4</t>
        </is>
      </c>
      <c r="B16" s="1" t="inlineStr">
        <is>
          <t>Proposal</t>
        </is>
      </c>
      <c r="C16" s="1" t="inlineStr">
        <is>
          <t>Legal review</t>
        </is>
      </c>
      <c r="D16" s="1" t="n">
        <v>43</v>
      </c>
      <c r="E16" s="1" t="n">
        <v>6</v>
      </c>
      <c r="F16" s="1">
        <f>ROUND(E16/D16,3)</f>
        <v/>
      </c>
      <c r="G16" s="1" t="n">
        <v>11</v>
      </c>
      <c r="H16" s="1" t="inlineStr">
        <is>
          <t>Loss reason coding was tightened this quarter</t>
        </is>
      </c>
    </row>
    <row r="17">
      <c r="A17" s="1" t="inlineStr">
        <is>
          <t>2026Q1</t>
        </is>
      </c>
      <c r="B17" s="1" t="inlineStr">
        <is>
          <t>Legal review</t>
        </is>
      </c>
      <c r="C17" s="1" t="inlineStr">
        <is>
          <t>Verbal commitment</t>
        </is>
      </c>
      <c r="D17" s="1" t="n">
        <v>24</v>
      </c>
      <c r="E17" s="1" t="n">
        <v>1</v>
      </c>
      <c r="F17" s="1">
        <f>ROUND(E17/D17,3)</f>
        <v/>
      </c>
      <c r="G17" s="1" t="n">
        <v>18</v>
      </c>
      <c r="H17" s="1" t="inlineStr">
        <is>
          <t>Site survey capacity was the binding constraint</t>
        </is>
      </c>
    </row>
    <row r="18">
      <c r="A18" s="1" t="inlineStr">
        <is>
          <t>2026Q2</t>
        </is>
      </c>
      <c r="B18" s="1" t="inlineStr">
        <is>
          <t>Verbal commitment</t>
        </is>
      </c>
      <c r="C18" s="1" t="inlineStr">
        <is>
          <t>Closed won</t>
        </is>
      </c>
      <c r="D18" s="1" t="n">
        <v>36</v>
      </c>
      <c r="E18" s="1" t="n">
        <v>34</v>
      </c>
      <c r="F18" s="1">
        <f>ROUND(E18/D18,3)</f>
        <v/>
      </c>
      <c r="G18" s="1" t="n">
        <v>9</v>
      </c>
      <c r="H18" s="1" t="inlineStr">
        <is>
          <t>Site survey capacity was the binding constraint</t>
        </is>
      </c>
    </row>
    <row r="19">
      <c r="A19" s="1" t="inlineStr">
        <is>
          <t>2024Q2</t>
        </is>
      </c>
      <c r="B19" s="1" t="inlineStr">
        <is>
          <t>Qualification</t>
        </is>
      </c>
      <c r="C19" s="1" t="inlineStr">
        <is>
          <t>Discovery</t>
        </is>
      </c>
      <c r="D19" s="1" t="n">
        <v>20</v>
      </c>
      <c r="E19" s="1" t="n">
        <v>1</v>
      </c>
      <c r="F19" s="1">
        <f>ROUND(E19/D19,3)</f>
        <v/>
      </c>
      <c r="G19" s="1" t="n">
        <v>59</v>
      </c>
      <c r="H19" s="1" t="inlineStr">
        <is>
          <t>Legal turnaround improved after the template refresh</t>
        </is>
      </c>
    </row>
    <row r="20">
      <c r="A20" s="1" t="inlineStr">
        <is>
          <t>2024Q3</t>
        </is>
      </c>
      <c r="B20" s="1" t="inlineStr">
        <is>
          <t>Discovery</t>
        </is>
      </c>
      <c r="C20" s="1" t="inlineStr">
        <is>
          <t>Site survey</t>
        </is>
      </c>
      <c r="D20" s="1" t="n">
        <v>75</v>
      </c>
      <c r="E20" s="1" t="n">
        <v>67</v>
      </c>
      <c r="F20" s="1">
        <f>ROUND(E20/D20,3)</f>
        <v/>
      </c>
      <c r="G20" s="1" t="n">
        <v>61</v>
      </c>
      <c r="H20" s="1" t="inlineStr">
        <is>
          <t>Loss reason coding was tightened this quarter</t>
        </is>
      </c>
    </row>
    <row r="21">
      <c r="A21" s="1" t="inlineStr">
        <is>
          <t>2024Q4</t>
        </is>
      </c>
      <c r="B21" s="1" t="inlineStr">
        <is>
          <t>Site survey</t>
        </is>
      </c>
      <c r="C21" s="1" t="inlineStr">
        <is>
          <t>Proposal</t>
        </is>
      </c>
      <c r="D21" s="1" t="n">
        <v>27</v>
      </c>
      <c r="E21" s="1" t="n">
        <v>14</v>
      </c>
      <c r="F21" s="1">
        <f>ROUND(E21/D21,3)</f>
        <v/>
      </c>
      <c r="G21" s="1" t="n">
        <v>38</v>
      </c>
      <c r="H21" s="1" t="inlineStr">
        <is>
          <t>Site survey capacity was the binding constraint</t>
        </is>
      </c>
    </row>
    <row r="22">
      <c r="A22" s="1" t="inlineStr">
        <is>
          <t>2025Q1</t>
        </is>
      </c>
      <c r="B22" s="1" t="inlineStr">
        <is>
          <t>Proposal</t>
        </is>
      </c>
      <c r="C22" s="1" t="inlineStr">
        <is>
          <t>Legal review</t>
        </is>
      </c>
      <c r="D22" s="1" t="n">
        <v>80</v>
      </c>
      <c r="E22" s="1" t="n">
        <v>75</v>
      </c>
      <c r="F22" s="1">
        <f>ROUND(E22/D22,3)</f>
        <v/>
      </c>
      <c r="G22" s="1" t="n">
        <v>127</v>
      </c>
      <c r="H22" s="1" t="inlineStr">
        <is>
          <t>Site survey capacity was the binding constraint</t>
        </is>
      </c>
    </row>
    <row r="23">
      <c r="A23" s="1" t="inlineStr">
        <is>
          <t>2025Q2</t>
        </is>
      </c>
      <c r="B23" s="1" t="inlineStr">
        <is>
          <t>Legal review</t>
        </is>
      </c>
      <c r="C23" s="1" t="inlineStr">
        <is>
          <t>Verbal commitment</t>
        </is>
      </c>
      <c r="D23" s="1" t="n">
        <v>92</v>
      </c>
      <c r="E23" s="1" t="n">
        <v>58</v>
      </c>
      <c r="F23" s="1">
        <f>ROUND(E23/D23,3)</f>
        <v/>
      </c>
      <c r="G23" s="1" t="n">
        <v>118</v>
      </c>
      <c r="H23" s="1" t="inlineStr">
        <is>
          <t>Loss reason coding was tightened this quarter</t>
        </is>
      </c>
    </row>
    <row r="24">
      <c r="A24" s="1" t="inlineStr">
        <is>
          <t>2025Q3</t>
        </is>
      </c>
      <c r="B24" s="1" t="inlineStr">
        <is>
          <t>Verbal commitment</t>
        </is>
      </c>
      <c r="C24" s="1" t="inlineStr">
        <is>
          <t>Closed won</t>
        </is>
      </c>
      <c r="D24" s="1" t="n">
        <v>42</v>
      </c>
      <c r="E24" s="1" t="n">
        <v>40</v>
      </c>
      <c r="F24" s="1">
        <f>ROUND(E24/D24,3)</f>
        <v/>
      </c>
      <c r="G24" s="1" t="n">
        <v>16</v>
      </c>
      <c r="H24" s="1" t="inlineStr">
        <is>
          <t>Site survey capacity was the binding constraint</t>
        </is>
      </c>
    </row>
    <row r="25">
      <c r="A25" s="1" t="inlineStr">
        <is>
          <t>2025Q4</t>
        </is>
      </c>
      <c r="B25" s="1" t="inlineStr">
        <is>
          <t>Qualification</t>
        </is>
      </c>
      <c r="C25" s="1" t="inlineStr">
        <is>
          <t>Discovery</t>
        </is>
      </c>
      <c r="D25" s="1" t="n">
        <v>42</v>
      </c>
      <c r="E25" s="1" t="n">
        <v>32</v>
      </c>
      <c r="F25" s="1">
        <f>ROUND(E25/D25,3)</f>
        <v/>
      </c>
      <c r="G25" s="1" t="n">
        <v>53</v>
      </c>
      <c r="H25" s="1" t="inlineStr">
        <is>
          <t>Two large opportunities skewed the median</t>
        </is>
      </c>
    </row>
    <row r="26">
      <c r="A26" s="1" t="inlineStr">
        <is>
          <t>2026Q1</t>
        </is>
      </c>
      <c r="B26" s="1" t="inlineStr">
        <is>
          <t>Discovery</t>
        </is>
      </c>
      <c r="C26" s="1" t="inlineStr">
        <is>
          <t>Site survey</t>
        </is>
      </c>
      <c r="D26" s="1" t="n">
        <v>84</v>
      </c>
      <c r="E26" s="1" t="n">
        <v>79</v>
      </c>
      <c r="F26" s="1">
        <f>ROUND(E26/D26,3)</f>
        <v/>
      </c>
      <c r="G26" s="1" t="n">
        <v>109</v>
      </c>
      <c r="H26" s="1" t="inlineStr">
        <is>
          <t>Legal turnaround improved after the template refresh</t>
        </is>
      </c>
    </row>
    <row r="27">
      <c r="A27" s="1" t="inlineStr">
        <is>
          <t>2026Q2</t>
        </is>
      </c>
      <c r="B27" s="1" t="inlineStr">
        <is>
          <t>Site survey</t>
        </is>
      </c>
      <c r="C27" s="1" t="inlineStr">
        <is>
          <t>Proposal</t>
        </is>
      </c>
      <c r="D27" s="1" t="n">
        <v>75</v>
      </c>
      <c r="E27" s="1" t="n">
        <v>67</v>
      </c>
      <c r="F27" s="1">
        <f>ROUND(E27/D27,3)</f>
        <v/>
      </c>
      <c r="G27" s="1" t="n">
        <v>31</v>
      </c>
      <c r="H27" s="1" t="inlineStr">
        <is>
          <t>Loss reason coding was tightened this quarter</t>
        </is>
      </c>
    </row>
    <row r="28">
      <c r="A28" s="1" t="inlineStr">
        <is>
          <t>2024Q2</t>
        </is>
      </c>
      <c r="B28" s="1" t="inlineStr">
        <is>
          <t>Proposal</t>
        </is>
      </c>
      <c r="C28" s="1" t="inlineStr">
        <is>
          <t>Legal review</t>
        </is>
      </c>
      <c r="D28" s="1" t="n">
        <v>56</v>
      </c>
      <c r="E28" s="1" t="n">
        <v>37</v>
      </c>
      <c r="F28" s="1">
        <f>ROUND(E28/D28,3)</f>
        <v/>
      </c>
      <c r="G28" s="1" t="n">
        <v>24</v>
      </c>
      <c r="H28" s="1" t="inlineStr">
        <is>
          <t>Two large opportunities skewed the median</t>
        </is>
      </c>
    </row>
    <row r="29">
      <c r="A29" s="1" t="inlineStr">
        <is>
          <t>2024Q3</t>
        </is>
      </c>
      <c r="B29" s="1" t="inlineStr">
        <is>
          <t>Legal review</t>
        </is>
      </c>
      <c r="C29" s="1" t="inlineStr">
        <is>
          <t>Verbal commitment</t>
        </is>
      </c>
      <c r="D29" s="1" t="n">
        <v>16</v>
      </c>
      <c r="E29" s="1" t="n">
        <v>1</v>
      </c>
      <c r="F29" s="1">
        <f>ROUND(E29/D29,3)</f>
        <v/>
      </c>
      <c r="G29" s="1" t="n">
        <v>12</v>
      </c>
      <c r="H29" s="1" t="inlineStr">
        <is>
          <t>Two large opportunities skewed the median</t>
        </is>
      </c>
    </row>
    <row r="30">
      <c r="A30" s="1" t="inlineStr">
        <is>
          <t>2024Q4</t>
        </is>
      </c>
      <c r="B30" s="1" t="inlineStr">
        <is>
          <t>Verbal commitment</t>
        </is>
      </c>
      <c r="C30" s="1" t="inlineStr">
        <is>
          <t>Closed won</t>
        </is>
      </c>
      <c r="D30" s="1" t="n">
        <v>28</v>
      </c>
      <c r="E30" s="1" t="n">
        <v>18</v>
      </c>
      <c r="F30" s="1">
        <f>ROUND(E30/D30,3)</f>
        <v/>
      </c>
      <c r="G30" s="1" t="n">
        <v>70</v>
      </c>
      <c r="H30" s="1" t="inlineStr">
        <is>
          <t>Two large opportunities skewed the median</t>
        </is>
      </c>
    </row>
    <row r="31">
      <c r="A31" s="1" t="inlineStr">
        <is>
          <t>2025Q1</t>
        </is>
      </c>
      <c r="B31" s="1" t="inlineStr">
        <is>
          <t>Qualification</t>
        </is>
      </c>
      <c r="C31" s="1" t="inlineStr">
        <is>
          <t>Discovery</t>
        </is>
      </c>
      <c r="D31" s="1" t="n">
        <v>66</v>
      </c>
      <c r="E31" s="1" t="n">
        <v>32</v>
      </c>
      <c r="F31" s="1">
        <f>ROUND(E31/D31,3)</f>
        <v/>
      </c>
      <c r="G31" s="1" t="n">
        <v>124</v>
      </c>
      <c r="H31" s="1" t="inlineStr">
        <is>
          <t>Most common loss reason: project cancelled after site closure</t>
        </is>
      </c>
    </row>
    <row r="32">
      <c r="A32" s="1" t="inlineStr">
        <is>
          <t>2025Q2</t>
        </is>
      </c>
      <c r="B32" s="1" t="inlineStr">
        <is>
          <t>Discovery</t>
        </is>
      </c>
      <c r="C32" s="1" t="inlineStr">
        <is>
          <t>Site survey</t>
        </is>
      </c>
      <c r="D32" s="1" t="n">
        <v>85</v>
      </c>
      <c r="E32" s="1" t="n">
        <v>42</v>
      </c>
      <c r="F32" s="1">
        <f>ROUND(E32/D32,3)</f>
        <v/>
      </c>
      <c r="G32" s="1" t="n">
        <v>55</v>
      </c>
      <c r="H32" s="1" t="inlineStr">
        <is>
          <t>Two large opportunities skewed the median</t>
        </is>
      </c>
    </row>
    <row r="33">
      <c r="A33" s="1" t="inlineStr">
        <is>
          <t>2025Q3</t>
        </is>
      </c>
      <c r="B33" s="1" t="inlineStr">
        <is>
          <t>Site survey</t>
        </is>
      </c>
      <c r="C33" s="1" t="inlineStr">
        <is>
          <t>Proposal</t>
        </is>
      </c>
      <c r="D33" s="1" t="n">
        <v>73</v>
      </c>
      <c r="E33" s="1" t="n">
        <v>71</v>
      </c>
      <c r="F33" s="1">
        <f>ROUND(E33/D33,3)</f>
        <v/>
      </c>
      <c r="G33" s="1" t="n">
        <v>124</v>
      </c>
      <c r="H33" s="1" t="inlineStr">
        <is>
          <t>Loss reason coding was tightened this quarter</t>
        </is>
      </c>
    </row>
    <row r="34">
      <c r="A34" s="1" t="inlineStr">
        <is>
          <t>2025Q4</t>
        </is>
      </c>
      <c r="B34" s="1" t="inlineStr">
        <is>
          <t>Proposal</t>
        </is>
      </c>
      <c r="C34" s="1" t="inlineStr">
        <is>
          <t>Legal review</t>
        </is>
      </c>
      <c r="D34" s="1" t="n">
        <v>85</v>
      </c>
      <c r="E34" s="1" t="n">
        <v>41</v>
      </c>
      <c r="F34" s="1">
        <f>ROUND(E34/D34,3)</f>
        <v/>
      </c>
      <c r="G34" s="1" t="n">
        <v>120</v>
      </c>
      <c r="H34" s="1" t="inlineStr">
        <is>
          <t>Legal turnaround improved after the template refresh</t>
        </is>
      </c>
    </row>
    <row r="35">
      <c r="A35" s="1" t="inlineStr">
        <is>
          <t>2026Q1</t>
        </is>
      </c>
      <c r="B35" s="1" t="inlineStr">
        <is>
          <t>Legal review</t>
        </is>
      </c>
      <c r="C35" s="1" t="inlineStr">
        <is>
          <t>Verbal commitment</t>
        </is>
      </c>
      <c r="D35" s="1" t="n">
        <v>37</v>
      </c>
      <c r="E35" s="1" t="n">
        <v>32</v>
      </c>
      <c r="F35" s="1">
        <f>ROUND(E35/D35,3)</f>
        <v/>
      </c>
      <c r="G35" s="1" t="n">
        <v>88</v>
      </c>
      <c r="H35" s="1" t="inlineStr">
        <is>
          <t>Most common loss reason: budget deferred to next fiscal year</t>
        </is>
      </c>
    </row>
    <row r="36">
      <c r="A36" s="1" t="inlineStr">
        <is>
          <t>2026Q2</t>
        </is>
      </c>
      <c r="B36" s="1" t="inlineStr">
        <is>
          <t>Verbal commitment</t>
        </is>
      </c>
      <c r="C36" s="1" t="inlineStr">
        <is>
          <t>Closed won</t>
        </is>
      </c>
      <c r="D36" s="1" t="n">
        <v>75</v>
      </c>
      <c r="E36" s="1" t="n">
        <v>72</v>
      </c>
      <c r="F36" s="1">
        <f>ROUND(E36/D36,3)</f>
        <v/>
      </c>
      <c r="G36" s="1" t="n">
        <v>74</v>
      </c>
      <c r="H36" s="1" t="inlineStr">
        <is>
          <t>Site survey capacity was the binding constraint</t>
        </is>
      </c>
    </row>
    <row r="37">
      <c r="A37" s="1" t="inlineStr">
        <is>
          <t>2024Q2</t>
        </is>
      </c>
      <c r="B37" s="1" t="inlineStr">
        <is>
          <t>Qualification</t>
        </is>
      </c>
      <c r="C37" s="1" t="inlineStr">
        <is>
          <t>Discovery</t>
        </is>
      </c>
      <c r="D37" s="1" t="n">
        <v>78</v>
      </c>
      <c r="E37" s="1" t="n">
        <v>54</v>
      </c>
      <c r="F37" s="1">
        <f>ROUND(E37/D37,3)</f>
        <v/>
      </c>
      <c r="G37" s="1" t="n">
        <v>56</v>
      </c>
      <c r="H37" s="1" t="inlineStr">
        <is>
          <t>Legal turnaround improved after the template refresh</t>
        </is>
      </c>
    </row>
    <row r="38">
      <c r="A38" s="1" t="inlineStr">
        <is>
          <t>2024Q3</t>
        </is>
      </c>
      <c r="B38" s="1" t="inlineStr">
        <is>
          <t>Discovery</t>
        </is>
      </c>
      <c r="C38" s="1" t="inlineStr">
        <is>
          <t>Site survey</t>
        </is>
      </c>
      <c r="D38" s="1" t="n">
        <v>81</v>
      </c>
      <c r="E38" s="1" t="n">
        <v>77</v>
      </c>
      <c r="F38" s="1">
        <f>ROUND(E38/D38,3)</f>
        <v/>
      </c>
      <c r="G38" s="1" t="n">
        <v>78</v>
      </c>
      <c r="H38" s="1" t="inlineStr">
        <is>
          <t>Site survey capacity was the binding constraint</t>
        </is>
      </c>
    </row>
    <row r="39">
      <c r="A39" s="1" t="inlineStr">
        <is>
          <t>2024Q4</t>
        </is>
      </c>
      <c r="B39" s="1" t="inlineStr">
        <is>
          <t>Site survey</t>
        </is>
      </c>
      <c r="C39" s="1" t="inlineStr">
        <is>
          <t>Proposal</t>
        </is>
      </c>
      <c r="D39" s="1" t="n">
        <v>25</v>
      </c>
      <c r="E39" s="1" t="n">
        <v>1</v>
      </c>
      <c r="F39" s="1">
        <f>ROUND(E39/D39,3)</f>
        <v/>
      </c>
      <c r="G39" s="1" t="n">
        <v>44</v>
      </c>
      <c r="H39" s="1" t="inlineStr">
        <is>
          <t>Site survey capacity was the binding constraint</t>
        </is>
      </c>
    </row>
    <row r="40">
      <c r="A40" s="1" t="inlineStr">
        <is>
          <t>2025Q1</t>
        </is>
      </c>
      <c r="B40" s="1" t="inlineStr">
        <is>
          <t>Proposal</t>
        </is>
      </c>
      <c r="C40" s="1" t="inlineStr">
        <is>
          <t>Legal review</t>
        </is>
      </c>
      <c r="D40" s="1" t="n">
        <v>22</v>
      </c>
      <c r="E40" s="1" t="n">
        <v>1</v>
      </c>
      <c r="F40" s="1">
        <f>ROUND(E40/D40,3)</f>
        <v/>
      </c>
      <c r="G40" s="1" t="n">
        <v>29</v>
      </c>
      <c r="H40" s="1" t="inlineStr">
        <is>
          <t>Two large opportunities skewed the median</t>
        </is>
      </c>
    </row>
    <row r="41">
      <c r="A41" s="1" t="inlineStr">
        <is>
          <t>2025Q2</t>
        </is>
      </c>
      <c r="B41" s="1" t="inlineStr">
        <is>
          <t>Legal review</t>
        </is>
      </c>
      <c r="C41" s="1" t="inlineStr">
        <is>
          <t>Verbal commitment</t>
        </is>
      </c>
      <c r="D41" s="1" t="n">
        <v>87</v>
      </c>
      <c r="E41" s="1" t="n">
        <v>49</v>
      </c>
      <c r="F41" s="1">
        <f>ROUND(E41/D41,3)</f>
        <v/>
      </c>
      <c r="G41" s="1" t="n">
        <v>73</v>
      </c>
      <c r="H41" s="1" t="inlineStr">
        <is>
          <t>Legal turnaround improved after the template refresh</t>
        </is>
      </c>
    </row>
    <row r="42">
      <c r="A42" s="1" t="inlineStr">
        <is>
          <t>2025Q3</t>
        </is>
      </c>
      <c r="B42" s="1" t="inlineStr">
        <is>
          <t>Verbal commitment</t>
        </is>
      </c>
      <c r="C42" s="1" t="inlineStr">
        <is>
          <t>Closed won</t>
        </is>
      </c>
      <c r="D42" s="1" t="n">
        <v>50</v>
      </c>
      <c r="E42" s="1" t="n">
        <v>45</v>
      </c>
      <c r="F42" s="1">
        <f>ROUND(E42/D42,3)</f>
        <v/>
      </c>
      <c r="G42" s="1" t="n">
        <v>86</v>
      </c>
      <c r="H42" s="1" t="inlineStr">
        <is>
          <t>Loss reason coding was tightened this quarter</t>
        </is>
      </c>
    </row>
    <row r="43">
      <c r="A43" s="1" t="inlineStr">
        <is>
          <t>2025Q4</t>
        </is>
      </c>
      <c r="B43" s="1" t="inlineStr">
        <is>
          <t>Qualification</t>
        </is>
      </c>
      <c r="C43" s="1" t="inlineStr">
        <is>
          <t>Discovery</t>
        </is>
      </c>
      <c r="D43" s="1" t="n">
        <v>75</v>
      </c>
      <c r="E43" s="1" t="n">
        <v>32</v>
      </c>
      <c r="F43" s="1">
        <f>ROUND(E43/D43,3)</f>
        <v/>
      </c>
      <c r="G43" s="1" t="n">
        <v>84</v>
      </c>
      <c r="H43" s="1" t="inlineStr">
        <is>
          <t>Legal turnaround improved after the template refresh</t>
        </is>
      </c>
    </row>
    <row r="44">
      <c r="A44" s="1" t="inlineStr">
        <is>
          <t>2026Q1</t>
        </is>
      </c>
      <c r="B44" s="1" t="inlineStr">
        <is>
          <t>Discovery</t>
        </is>
      </c>
      <c r="C44" s="1" t="inlineStr">
        <is>
          <t>Site survey</t>
        </is>
      </c>
      <c r="D44" s="1" t="n">
        <v>88</v>
      </c>
      <c r="E44" s="1" t="n">
        <v>45</v>
      </c>
      <c r="F44" s="1">
        <f>ROUND(E44/D44,3)</f>
        <v/>
      </c>
      <c r="G44" s="1" t="n">
        <v>124</v>
      </c>
      <c r="H44" s="1" t="inlineStr">
        <is>
          <t>Loss reason coding was tightened this quarter</t>
        </is>
      </c>
    </row>
    <row r="45">
      <c r="A45" s="1" t="inlineStr">
        <is>
          <t>2026Q2</t>
        </is>
      </c>
      <c r="B45" s="1" t="inlineStr">
        <is>
          <t>Site survey</t>
        </is>
      </c>
      <c r="C45" s="1" t="inlineStr">
        <is>
          <t>Proposal</t>
        </is>
      </c>
      <c r="D45" s="1" t="n">
        <v>78</v>
      </c>
      <c r="E45" s="1" t="n">
        <v>60</v>
      </c>
      <c r="F45" s="1">
        <f>ROUND(E45/D45,3)</f>
        <v/>
      </c>
      <c r="G45" s="1" t="n">
        <v>70</v>
      </c>
      <c r="H45" s="1" t="inlineStr">
        <is>
          <t>Most common loss reason: price above approved capital envelope</t>
        </is>
      </c>
    </row>
    <row r="46">
      <c r="A46" s="1" t="inlineStr">
        <is>
          <t>2024Q2</t>
        </is>
      </c>
      <c r="B46" s="1" t="inlineStr">
        <is>
          <t>Proposal</t>
        </is>
      </c>
      <c r="C46" s="1" t="inlineStr">
        <is>
          <t>Legal review</t>
        </is>
      </c>
      <c r="D46" s="1" t="n">
        <v>33</v>
      </c>
      <c r="E46" s="1" t="n">
        <v>17</v>
      </c>
      <c r="F46" s="1">
        <f>ROUND(E46/D46,3)</f>
        <v/>
      </c>
      <c r="G46" s="1" t="n">
        <v>71</v>
      </c>
      <c r="H46" s="1" t="inlineStr">
        <is>
          <t>Two large opportunities skewed the median</t>
        </is>
      </c>
    </row>
    <row r="47">
      <c r="A47" s="1" t="inlineStr">
        <is>
          <t>2024Q3</t>
        </is>
      </c>
      <c r="B47" s="1" t="inlineStr">
        <is>
          <t>Legal review</t>
        </is>
      </c>
      <c r="C47" s="1" t="inlineStr">
        <is>
          <t>Verbal commitment</t>
        </is>
      </c>
      <c r="D47" s="1" t="n">
        <v>39</v>
      </c>
      <c r="E47" s="1" t="n">
        <v>25</v>
      </c>
      <c r="F47" s="1">
        <f>ROUND(E47/D47,3)</f>
        <v/>
      </c>
      <c r="G47" s="1" t="n">
        <v>55</v>
      </c>
      <c r="H47" s="1" t="inlineStr">
        <is>
          <t>Most common loss reason: budget deferred to next fiscal year</t>
        </is>
      </c>
    </row>
    <row r="48">
      <c r="A48" s="1" t="inlineStr">
        <is>
          <t>2024Q4</t>
        </is>
      </c>
      <c r="B48" s="1" t="inlineStr">
        <is>
          <t>Verbal commitment</t>
        </is>
      </c>
      <c r="C48" s="1" t="inlineStr">
        <is>
          <t>Closed won</t>
        </is>
      </c>
      <c r="D48" s="1" t="n">
        <v>42</v>
      </c>
      <c r="E48" s="1" t="n">
        <v>1</v>
      </c>
      <c r="F48" s="1">
        <f>ROUND(E48/D48,3)</f>
        <v/>
      </c>
      <c r="G48" s="1" t="n">
        <v>117</v>
      </c>
      <c r="H48" s="1" t="inlineStr">
        <is>
          <t>Two large opportunities skewed the median</t>
        </is>
      </c>
    </row>
    <row r="49">
      <c r="A49" s="1" t="inlineStr">
        <is>
          <t>2025Q1</t>
        </is>
      </c>
      <c r="B49" s="1" t="inlineStr">
        <is>
          <t>Qualification</t>
        </is>
      </c>
      <c r="C49" s="1" t="inlineStr">
        <is>
          <t>Discovery</t>
        </is>
      </c>
      <c r="D49" s="1" t="n">
        <v>94</v>
      </c>
      <c r="E49" s="1" t="n">
        <v>65</v>
      </c>
      <c r="F49" s="1">
        <f>ROUND(E49/D49,3)</f>
        <v/>
      </c>
      <c r="G49" s="1" t="n">
        <v>66</v>
      </c>
      <c r="H49" s="1" t="inlineStr">
        <is>
          <t>Two large opportunities skewed the median</t>
        </is>
      </c>
    </row>
    <row r="50">
      <c r="A50" s="1" t="inlineStr">
        <is>
          <t>2025Q2</t>
        </is>
      </c>
      <c r="B50" s="1" t="inlineStr">
        <is>
          <t>Discovery</t>
        </is>
      </c>
      <c r="C50" s="1" t="inlineStr">
        <is>
          <t>Site survey</t>
        </is>
      </c>
      <c r="D50" s="1" t="n">
        <v>39</v>
      </c>
      <c r="E50" s="1" t="n">
        <v>25</v>
      </c>
      <c r="F50" s="1">
        <f>ROUND(E50/D50,3)</f>
        <v/>
      </c>
      <c r="G50" s="1" t="n">
        <v>82</v>
      </c>
      <c r="H50" s="1" t="inlineStr">
        <is>
          <t>Most common loss reason: price above approved capital envelope</t>
        </is>
      </c>
    </row>
    <row r="51">
      <c r="A51" s="1" t="inlineStr">
        <is>
          <t>2025Q3</t>
        </is>
      </c>
      <c r="B51" s="1" t="inlineStr">
        <is>
          <t>Site survey</t>
        </is>
      </c>
      <c r="C51" s="1" t="inlineStr">
        <is>
          <t>Proposal</t>
        </is>
      </c>
      <c r="D51" s="1" t="n">
        <v>25</v>
      </c>
      <c r="E51" s="1" t="n">
        <v>3</v>
      </c>
      <c r="F51" s="1">
        <f>ROUND(E51/D51,3)</f>
        <v/>
      </c>
      <c r="G51" s="1" t="n">
        <v>103</v>
      </c>
      <c r="H51" s="1" t="inlineStr">
        <is>
          <t>Legal turnaround improved after the template refresh</t>
        </is>
      </c>
    </row>
    <row r="52">
      <c r="A52" s="1" t="inlineStr">
        <is>
          <t>2025Q4</t>
        </is>
      </c>
      <c r="B52" s="1" t="inlineStr">
        <is>
          <t>Proposal</t>
        </is>
      </c>
      <c r="C52" s="1" t="inlineStr">
        <is>
          <t>Legal review</t>
        </is>
      </c>
      <c r="D52" s="1" t="n">
        <v>70</v>
      </c>
      <c r="E52" s="1" t="n">
        <v>67</v>
      </c>
      <c r="F52" s="1">
        <f>ROUND(E52/D52,3)</f>
        <v/>
      </c>
      <c r="G52" s="1" t="n">
        <v>117</v>
      </c>
      <c r="H52" s="1" t="inlineStr">
        <is>
          <t>Legal turnaround improved after the template refresh</t>
        </is>
      </c>
    </row>
    <row r="53">
      <c r="A53" s="1" t="inlineStr">
        <is>
          <t>2026Q1</t>
        </is>
      </c>
      <c r="B53" s="1" t="inlineStr">
        <is>
          <t>Legal review</t>
        </is>
      </c>
      <c r="C53" s="1" t="inlineStr">
        <is>
          <t>Verbal commitment</t>
        </is>
      </c>
      <c r="D53" s="1" t="n">
        <v>60</v>
      </c>
      <c r="E53" s="1" t="n">
        <v>18</v>
      </c>
      <c r="F53" s="1">
        <f>ROUND(E53/D53,3)</f>
        <v/>
      </c>
      <c r="G53" s="1" t="n">
        <v>132</v>
      </c>
      <c r="H53" s="1" t="inlineStr">
        <is>
          <t>Loss reason coding was tightened this quarter</t>
        </is>
      </c>
    </row>
    <row r="54">
      <c r="A54" s="1" t="inlineStr">
        <is>
          <t>2026Q2</t>
        </is>
      </c>
      <c r="B54" s="1" t="inlineStr">
        <is>
          <t>Verbal commitment</t>
        </is>
      </c>
      <c r="C54" s="1" t="inlineStr">
        <is>
          <t>Closed won</t>
        </is>
      </c>
      <c r="D54" s="1" t="n">
        <v>57</v>
      </c>
      <c r="E54" s="1" t="n">
        <v>32</v>
      </c>
      <c r="F54" s="1">
        <f>ROUND(E54/D54,3)</f>
        <v/>
      </c>
      <c r="G54" s="1" t="n">
        <v>66</v>
      </c>
      <c r="H54" s="1" t="inlineStr">
        <is>
          <t>Two large opportunities skewed the median</t>
        </is>
      </c>
    </row>
    <row r="55">
      <c r="A55" s="1" t="inlineStr">
        <is>
          <t>2024Q2</t>
        </is>
      </c>
      <c r="B55" s="1" t="inlineStr">
        <is>
          <t>Qualification</t>
        </is>
      </c>
      <c r="C55" s="1" t="inlineStr">
        <is>
          <t>Discovery</t>
        </is>
      </c>
      <c r="D55" s="1" t="n">
        <v>56</v>
      </c>
      <c r="E55" s="1" t="n">
        <v>35</v>
      </c>
      <c r="F55" s="1">
        <f>ROUND(E55/D55,3)</f>
        <v/>
      </c>
      <c r="G55" s="1" t="n">
        <v>132</v>
      </c>
      <c r="H55" s="1" t="inlineStr">
        <is>
          <t>Site survey capacity was the binding constraint</t>
        </is>
      </c>
    </row>
    <row r="56">
      <c r="A56" s="1" t="inlineStr">
        <is>
          <t>2024Q3</t>
        </is>
      </c>
      <c r="B56" s="1" t="inlineStr">
        <is>
          <t>Discovery</t>
        </is>
      </c>
      <c r="C56" s="1" t="inlineStr">
        <is>
          <t>Site survey</t>
        </is>
      </c>
      <c r="D56" s="1" t="n">
        <v>37</v>
      </c>
      <c r="E56" s="1" t="n">
        <v>14</v>
      </c>
      <c r="F56" s="1">
        <f>ROUND(E56/D56,3)</f>
        <v/>
      </c>
      <c r="G56" s="1" t="n">
        <v>114</v>
      </c>
      <c r="H56" s="1" t="inlineStr">
        <is>
          <t>Loss reason coding was tightened this quarter</t>
        </is>
      </c>
    </row>
    <row r="57">
      <c r="A57" s="1" t="inlineStr">
        <is>
          <t>2024Q4</t>
        </is>
      </c>
      <c r="B57" s="1" t="inlineStr">
        <is>
          <t>Site survey</t>
        </is>
      </c>
      <c r="C57" s="1" t="inlineStr">
        <is>
          <t>Proposal</t>
        </is>
      </c>
      <c r="D57" s="1" t="n">
        <v>65</v>
      </c>
      <c r="E57" s="1" t="n">
        <v>59</v>
      </c>
      <c r="F57" s="1">
        <f>ROUND(E57/D57,3)</f>
        <v/>
      </c>
      <c r="G57" s="1" t="n">
        <v>105</v>
      </c>
      <c r="H57" s="1" t="inlineStr">
        <is>
          <t>Loss reason coding was tightened this quarter</t>
        </is>
      </c>
    </row>
    <row r="58">
      <c r="A58" s="1" t="inlineStr">
        <is>
          <t>2025Q1</t>
        </is>
      </c>
      <c r="B58" s="1" t="inlineStr">
        <is>
          <t>Proposal</t>
        </is>
      </c>
      <c r="C58" s="1" t="inlineStr">
        <is>
          <t>Legal review</t>
        </is>
      </c>
      <c r="D58" s="1" t="n">
        <v>92</v>
      </c>
      <c r="E58" s="1" t="n">
        <v>68</v>
      </c>
      <c r="F58" s="1">
        <f>ROUND(E58/D58,3)</f>
        <v/>
      </c>
      <c r="G58" s="1" t="n">
        <v>35</v>
      </c>
      <c r="H58" s="1" t="inlineStr">
        <is>
          <t>Site survey capacity was the binding constraint</t>
        </is>
      </c>
    </row>
    <row r="59">
      <c r="A59" s="1" t="inlineStr">
        <is>
          <t>2025Q2</t>
        </is>
      </c>
      <c r="B59" s="1" t="inlineStr">
        <is>
          <t>Legal review</t>
        </is>
      </c>
      <c r="C59" s="1" t="inlineStr">
        <is>
          <t>Verbal commitment</t>
        </is>
      </c>
      <c r="D59" s="1" t="n">
        <v>77</v>
      </c>
      <c r="E59" s="1" t="n">
        <v>70</v>
      </c>
      <c r="F59" s="1">
        <f>ROUND(E59/D59,3)</f>
        <v/>
      </c>
      <c r="G59" s="1" t="n">
        <v>72</v>
      </c>
      <c r="H59" s="1" t="inlineStr">
        <is>
          <t>Loss reason coding was tightened this quarter</t>
        </is>
      </c>
    </row>
    <row r="60">
      <c r="A60" s="1" t="inlineStr">
        <is>
          <t>2025Q3</t>
        </is>
      </c>
      <c r="B60" s="1" t="inlineStr">
        <is>
          <t>Verbal commitment</t>
        </is>
      </c>
      <c r="C60" s="1" t="inlineStr">
        <is>
          <t>Closed won</t>
        </is>
      </c>
      <c r="D60" s="1" t="n">
        <v>43</v>
      </c>
      <c r="E60" s="1" t="n">
        <v>33</v>
      </c>
      <c r="F60" s="1">
        <f>ROUND(E60/D60,3)</f>
        <v/>
      </c>
      <c r="G60" s="1" t="n">
        <v>32</v>
      </c>
      <c r="H60" s="1" t="inlineStr">
        <is>
          <t>Two large opportunities skewed the median</t>
        </is>
      </c>
    </row>
    <row r="61">
      <c r="A61" s="1" t="inlineStr">
        <is>
          <t>2025Q4</t>
        </is>
      </c>
      <c r="B61" s="1" t="inlineStr">
        <is>
          <t>Qualification</t>
        </is>
      </c>
      <c r="C61" s="1" t="inlineStr">
        <is>
          <t>Discovery</t>
        </is>
      </c>
      <c r="D61" s="1" t="n">
        <v>92</v>
      </c>
      <c r="E61" s="1" t="n">
        <v>70</v>
      </c>
      <c r="F61" s="1">
        <f>ROUND(E61/D61,3)</f>
        <v/>
      </c>
      <c r="G61" s="1" t="n">
        <v>62</v>
      </c>
      <c r="H61" s="1" t="inlineStr">
        <is>
          <t>Most common loss reason: timeline could not be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2026-08-09T15:57:48Z</dcterms:created>
  <dcterms:modified xmlns:dcterms="http://purl.org/dc/terms/" xmlns:xsi="http://www.w3.org/2001/XMLSchema-instance" xsi:type="dcterms:W3CDTF">2026-08-09T15:57:49Z</dcterms:modified>
</cp:coreProperties>
</file>