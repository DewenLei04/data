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and Runw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cash_opening</t>
        </is>
      </c>
      <c r="C1" s="1" t="inlineStr">
        <is>
          <t>operating_receipts</t>
        </is>
      </c>
      <c r="D1" s="1" t="inlineStr">
        <is>
          <t>operating_disbursements</t>
        </is>
      </c>
      <c r="E1" s="1" t="inlineStr">
        <is>
          <t>capital_expenditure</t>
        </is>
      </c>
      <c r="F1" s="1" t="inlineStr">
        <is>
          <t>financing_inflows</t>
        </is>
      </c>
      <c r="G1" s="1" t="inlineStr">
        <is>
          <t>cash_closing</t>
        </is>
      </c>
      <c r="H1" s="1" t="inlineStr">
        <is>
          <t>net_operating_burn</t>
        </is>
      </c>
      <c r="I1" s="1" t="inlineStr">
        <is>
          <t>trailing_three_month_average_burn</t>
        </is>
      </c>
      <c r="J1" s="1" t="inlineStr">
        <is>
          <t>runway_months_at_trailing_burn</t>
        </is>
      </c>
      <c r="K1" s="1" t="inlineStr">
        <is>
          <t>liquidity_commentary</t>
        </is>
      </c>
    </row>
    <row r="2">
      <c r="A2" s="1" t="inlineStr">
        <is>
          <t>2024-01</t>
        </is>
      </c>
      <c r="B2" s="1" t="n">
        <v>18412775</v>
      </c>
      <c r="C2" s="1" t="n">
        <v>2872962.14</v>
      </c>
      <c r="D2" s="1" t="n">
        <v>3862742.57</v>
      </c>
      <c r="E2" s="1" t="n">
        <v>458715.15</v>
      </c>
      <c r="F2" s="1" t="n">
        <v>0</v>
      </c>
      <c r="G2" s="1">
        <f>ROUND(B2+C2-D2-E2+F2,2)</f>
        <v/>
      </c>
      <c r="H2" s="1">
        <f>ROUND(D2+E2-C2,2)</f>
        <v/>
      </c>
      <c r="I2" s="1" t="inlineStr"/>
      <c r="J2" s="1" t="inlineStr"/>
      <c r="K2" s="1" t="inlineStr">
        <is>
          <t>Hosting commitment prepaid for the year</t>
        </is>
      </c>
    </row>
    <row r="3">
      <c r="A3" s="1" t="inlineStr">
        <is>
          <t>2024-02</t>
        </is>
      </c>
      <c r="B3" s="1">
        <f>G2</f>
        <v/>
      </c>
      <c r="C3" s="1" t="n">
        <v>822414.98</v>
      </c>
      <c r="D3" s="1" t="n">
        <v>3477004.61</v>
      </c>
      <c r="E3" s="1" t="n">
        <v>325323.33</v>
      </c>
      <c r="F3" s="1" t="n">
        <v>16000000</v>
      </c>
      <c r="G3" s="1">
        <f>ROUND(B3+C3-D3-E3+F3,2)</f>
        <v/>
      </c>
      <c r="H3" s="1">
        <f>ROUND(D3+E3-C3,2)</f>
        <v/>
      </c>
      <c r="I3" s="1" t="inlineStr"/>
      <c r="J3" s="1" t="inlineStr"/>
      <c r="K3" s="1" t="inlineStr">
        <is>
          <t>Bridge instrument funded in the month</t>
        </is>
      </c>
    </row>
    <row r="4">
      <c r="A4" s="1" t="inlineStr">
        <is>
          <t>2024-03</t>
        </is>
      </c>
      <c r="B4" s="1">
        <f>G3</f>
        <v/>
      </c>
      <c r="C4" s="1" t="n">
        <v>1362599.62</v>
      </c>
      <c r="D4" s="1" t="n">
        <v>2430243</v>
      </c>
      <c r="E4" s="1" t="n">
        <v>623265.95</v>
      </c>
      <c r="F4" s="1" t="n">
        <v>0</v>
      </c>
      <c r="G4" s="1">
        <f>ROUND(B4+C4-D4-E4+F4,2)</f>
        <v/>
      </c>
      <c r="H4" s="1">
        <f>ROUND(D4+E4-C4,2)</f>
        <v/>
      </c>
      <c r="I4" s="1">
        <f>ROUND(AVERAGE(H2:H4),2)</f>
        <v/>
      </c>
      <c r="J4" s="1">
        <f>IF(I4&lt;=0,"not applicable",ROUND(G4/I4,1))</f>
        <v/>
      </c>
      <c r="K4" s="1" t="inlineStr">
        <is>
          <t>Payroll included the annual bonus cycle</t>
        </is>
      </c>
    </row>
    <row r="5">
      <c r="A5" s="1" t="inlineStr">
        <is>
          <t>2024-04</t>
        </is>
      </c>
      <c r="B5" s="1">
        <f>G4</f>
        <v/>
      </c>
      <c r="C5" s="1" t="n">
        <v>1760639.24</v>
      </c>
      <c r="D5" s="1" t="n">
        <v>3667769.32</v>
      </c>
      <c r="E5" s="1" t="n">
        <v>118247.06</v>
      </c>
      <c r="F5" s="1" t="n">
        <v>0</v>
      </c>
      <c r="G5" s="1">
        <f>ROUND(B5+C5-D5-E5+F5,2)</f>
        <v/>
      </c>
      <c r="H5" s="1">
        <f>ROUND(D5+E5-C5,2)</f>
        <v/>
      </c>
      <c r="I5" s="1">
        <f>ROUND(AVERAGE(H3:H5),2)</f>
        <v/>
      </c>
      <c r="J5" s="1">
        <f>IF(I5&lt;=0,"not applicable",ROUND(G5/I5,1))</f>
        <v/>
      </c>
      <c r="K5" s="1" t="inlineStr">
        <is>
          <t>Capital spend relates to the second test cell</t>
        </is>
      </c>
    </row>
    <row r="6">
      <c r="A6" s="1" t="inlineStr">
        <is>
          <t>2024-05</t>
        </is>
      </c>
      <c r="B6" s="1">
        <f>G5</f>
        <v/>
      </c>
      <c r="C6" s="1" t="n">
        <v>782462.41</v>
      </c>
      <c r="D6" s="1" t="n">
        <v>2961145.94</v>
      </c>
      <c r="E6" s="1" t="n">
        <v>449626.21</v>
      </c>
      <c r="F6" s="1" t="n">
        <v>0</v>
      </c>
      <c r="G6" s="1">
        <f>ROUND(B6+C6-D6-E6+F6,2)</f>
        <v/>
      </c>
      <c r="H6" s="1">
        <f>ROUND(D6+E6-C6,2)</f>
        <v/>
      </c>
      <c r="I6" s="1">
        <f>ROUND(AVERAGE(H4:H6),2)</f>
        <v/>
      </c>
      <c r="J6" s="1">
        <f>IF(I6&lt;=0,"not applicable",ROUND(G6/I6,1))</f>
        <v/>
      </c>
      <c r="K6" s="1" t="inlineStr">
        <is>
          <t>Burn improved on lower contract manufacturing spend</t>
        </is>
      </c>
    </row>
    <row r="7">
      <c r="A7" s="1" t="inlineStr">
        <is>
          <t>2024-06</t>
        </is>
      </c>
      <c r="B7" s="1">
        <f>G6</f>
        <v/>
      </c>
      <c r="C7" s="1" t="n">
        <v>1296900.1</v>
      </c>
      <c r="D7" s="1" t="n">
        <v>2189658.32</v>
      </c>
      <c r="E7" s="1" t="n">
        <v>147391.56</v>
      </c>
      <c r="F7" s="1" t="n">
        <v>0</v>
      </c>
      <c r="G7" s="1">
        <f>ROUND(B7+C7-D7-E7+F7,2)</f>
        <v/>
      </c>
      <c r="H7" s="1">
        <f>ROUND(D7+E7-C7,2)</f>
        <v/>
      </c>
      <c r="I7" s="1">
        <f>ROUND(AVERAGE(H5:H7),2)</f>
        <v/>
      </c>
      <c r="J7" s="1">
        <f>IF(I7&lt;=0,"not applicable",ROUND(G7/I7,1))</f>
        <v/>
      </c>
      <c r="K7" s="1" t="inlineStr">
        <is>
          <t>Hosting commitment prepaid for the year</t>
        </is>
      </c>
    </row>
    <row r="8">
      <c r="A8" s="1" t="inlineStr">
        <is>
          <t>2024-07</t>
        </is>
      </c>
      <c r="B8" s="1">
        <f>G7</f>
        <v/>
      </c>
      <c r="C8" s="1" t="n">
        <v>951339.76</v>
      </c>
      <c r="D8" s="1" t="n">
        <v>3429758.66</v>
      </c>
      <c r="E8" s="1" t="n">
        <v>468040.49</v>
      </c>
      <c r="F8" s="1" t="n">
        <v>0</v>
      </c>
      <c r="G8" s="1">
        <f>ROUND(B8+C8-D8-E8+F8,2)</f>
        <v/>
      </c>
      <c r="H8" s="1">
        <f>ROUND(D8+E8-C8,2)</f>
        <v/>
      </c>
      <c r="I8" s="1">
        <f>ROUND(AVERAGE(H6:H8),2)</f>
        <v/>
      </c>
      <c r="J8" s="1">
        <f>IF(I8&lt;=0,"not applicable",ROUND(G8/I8,1))</f>
        <v/>
      </c>
      <c r="K8" s="1" t="inlineStr">
        <is>
          <t>Receipts concentrated in the final week of the month</t>
        </is>
      </c>
    </row>
    <row r="9">
      <c r="A9" s="1" t="inlineStr">
        <is>
          <t>2024-08</t>
        </is>
      </c>
      <c r="B9" s="1">
        <f>G8</f>
        <v/>
      </c>
      <c r="C9" s="1" t="n">
        <v>1992875.6</v>
      </c>
      <c r="D9" s="1" t="n">
        <v>3729711.15</v>
      </c>
      <c r="E9" s="1" t="n">
        <v>291567.84</v>
      </c>
      <c r="F9" s="1" t="n">
        <v>0</v>
      </c>
      <c r="G9" s="1">
        <f>ROUND(B9+C9-D9-E9+F9,2)</f>
        <v/>
      </c>
      <c r="H9" s="1">
        <f>ROUND(D9+E9-C9,2)</f>
        <v/>
      </c>
      <c r="I9" s="1">
        <f>ROUND(AVERAGE(H7:H9),2)</f>
        <v/>
      </c>
      <c r="J9" s="1">
        <f>IF(I9&lt;=0,"not applicable",ROUND(G9/I9,1))</f>
        <v/>
      </c>
      <c r="K9" s="1" t="inlineStr">
        <is>
          <t>Receipts concentrated in the final week of the month</t>
        </is>
      </c>
    </row>
    <row r="10">
      <c r="A10" s="1" t="inlineStr">
        <is>
          <t>2024-09</t>
        </is>
      </c>
      <c r="B10" s="1">
        <f>G9</f>
        <v/>
      </c>
      <c r="C10" s="1" t="n">
        <v>1072072.19</v>
      </c>
      <c r="D10" s="1" t="n">
        <v>3581783.56</v>
      </c>
      <c r="E10" s="1" t="n">
        <v>636348.8199999999</v>
      </c>
      <c r="F10" s="1" t="n">
        <v>2036017.07</v>
      </c>
      <c r="G10" s="1">
        <f>ROUND(B10+C10-D10-E10+F10,2)</f>
        <v/>
      </c>
      <c r="H10" s="1">
        <f>ROUND(D10+E10-C10,2)</f>
        <v/>
      </c>
      <c r="I10" s="1">
        <f>ROUND(AVERAGE(H8:H10),2)</f>
        <v/>
      </c>
      <c r="J10" s="1">
        <f>IF(I10&lt;=0,"not applicable",ROUND(G10/I10,1))</f>
        <v/>
      </c>
      <c r="K10" s="1" t="inlineStr">
        <is>
          <t>Hosting commitment prepaid for the year</t>
        </is>
      </c>
    </row>
    <row r="11">
      <c r="A11" s="1" t="inlineStr">
        <is>
          <t>2024-10</t>
        </is>
      </c>
      <c r="B11" s="1">
        <f>G10</f>
        <v/>
      </c>
      <c r="C11" s="1" t="n">
        <v>1561553.51</v>
      </c>
      <c r="D11" s="1" t="n">
        <v>2673197.35</v>
      </c>
      <c r="E11" s="1" t="n">
        <v>315751.13</v>
      </c>
      <c r="F11" s="1" t="n">
        <v>0</v>
      </c>
      <c r="G11" s="1">
        <f>ROUND(B11+C11-D11-E11+F11,2)</f>
        <v/>
      </c>
      <c r="H11" s="1">
        <f>ROUND(D11+E11-C11,2)</f>
        <v/>
      </c>
      <c r="I11" s="1">
        <f>ROUND(AVERAGE(H9:H11),2)</f>
        <v/>
      </c>
      <c r="J11" s="1">
        <f>IF(I11&lt;=0,"not applicable",ROUND(G11/I11,1))</f>
        <v/>
      </c>
      <c r="K11" s="1" t="inlineStr">
        <is>
          <t>Hosting commitment prepaid for the year</t>
        </is>
      </c>
    </row>
    <row r="12">
      <c r="A12" s="1" t="inlineStr">
        <is>
          <t>2024-11</t>
        </is>
      </c>
      <c r="B12" s="1">
        <f>G11</f>
        <v/>
      </c>
      <c r="C12" s="1" t="n">
        <v>1089680.64</v>
      </c>
      <c r="D12" s="1" t="n">
        <v>3651411.91</v>
      </c>
      <c r="E12" s="1" t="n">
        <v>511862.15</v>
      </c>
      <c r="F12" s="1" t="n">
        <v>0</v>
      </c>
      <c r="G12" s="1">
        <f>ROUND(B12+C12-D12-E12+F12,2)</f>
        <v/>
      </c>
      <c r="H12" s="1">
        <f>ROUND(D12+E12-C12,2)</f>
        <v/>
      </c>
      <c r="I12" s="1">
        <f>ROUND(AVERAGE(H10:H12),2)</f>
        <v/>
      </c>
      <c r="J12" s="1">
        <f>IF(I12&lt;=0,"not applicable",ROUND(G12/I12,1))</f>
        <v/>
      </c>
      <c r="K12" s="1" t="inlineStr">
        <is>
          <t>Financing inflow is the Series A initial closing</t>
        </is>
      </c>
    </row>
    <row r="13">
      <c r="A13" s="1" t="inlineStr">
        <is>
          <t>2024-12</t>
        </is>
      </c>
      <c r="B13" s="1">
        <f>G12</f>
        <v/>
      </c>
      <c r="C13" s="1" t="n">
        <v>1525925.89</v>
      </c>
      <c r="D13" s="1" t="n">
        <v>2635119.91</v>
      </c>
      <c r="E13" s="1" t="n">
        <v>31465.26</v>
      </c>
      <c r="F13" s="1" t="n">
        <v>0</v>
      </c>
      <c r="G13" s="1">
        <f>ROUND(B13+C13-D13-E13+F13,2)</f>
        <v/>
      </c>
      <c r="H13" s="1">
        <f>ROUND(D13+E13-C13,2)</f>
        <v/>
      </c>
      <c r="I13" s="1">
        <f>ROUND(AVERAGE(H11:H13),2)</f>
        <v/>
      </c>
      <c r="J13" s="1">
        <f>IF(I13&lt;=0,"not applicable",ROUND(G13/I13,1))</f>
        <v/>
      </c>
      <c r="K13" s="1" t="inlineStr">
        <is>
          <t>Capital spend relates to the second test cell</t>
        </is>
      </c>
    </row>
    <row r="14">
      <c r="A14" s="1" t="inlineStr">
        <is>
          <t>2025-01</t>
        </is>
      </c>
      <c r="B14" s="1">
        <f>G13</f>
        <v/>
      </c>
      <c r="C14" s="1" t="n">
        <v>1757537.25</v>
      </c>
      <c r="D14" s="1" t="n">
        <v>2902966.15</v>
      </c>
      <c r="E14" s="1" t="n">
        <v>431757.44</v>
      </c>
      <c r="F14" s="1" t="n">
        <v>0</v>
      </c>
      <c r="G14" s="1">
        <f>ROUND(B14+C14-D14-E14+F14,2)</f>
        <v/>
      </c>
      <c r="H14" s="1">
        <f>ROUND(D14+E14-C14,2)</f>
        <v/>
      </c>
      <c r="I14" s="1">
        <f>ROUND(AVERAGE(H12:H14),2)</f>
        <v/>
      </c>
      <c r="J14" s="1">
        <f>IF(I14&lt;=0,"not applicable",ROUND(G14/I14,1))</f>
        <v/>
      </c>
      <c r="K14" s="1" t="inlineStr">
        <is>
          <t>Financing inflow is the Series A initial closing</t>
        </is>
      </c>
    </row>
    <row r="15">
      <c r="A15" s="1" t="inlineStr">
        <is>
          <t>2025-02</t>
        </is>
      </c>
      <c r="B15" s="1">
        <f>G14</f>
        <v/>
      </c>
      <c r="C15" s="1" t="n">
        <v>2417376.63</v>
      </c>
      <c r="D15" s="1" t="n">
        <v>3678672.38</v>
      </c>
      <c r="E15" s="1" t="n">
        <v>307938.52</v>
      </c>
      <c r="F15" s="1" t="n">
        <v>0</v>
      </c>
      <c r="G15" s="1">
        <f>ROUND(B15+C15-D15-E15+F15,2)</f>
        <v/>
      </c>
      <c r="H15" s="1">
        <f>ROUND(D15+E15-C15,2)</f>
        <v/>
      </c>
      <c r="I15" s="1">
        <f>ROUND(AVERAGE(H13:H15),2)</f>
        <v/>
      </c>
      <c r="J15" s="1">
        <f>IF(I15&lt;=0,"not applicable",ROUND(G15/I15,1))</f>
        <v/>
      </c>
      <c r="K15" s="1" t="inlineStr">
        <is>
          <t>Payroll included the annual bonus cycle</t>
        </is>
      </c>
    </row>
    <row r="16">
      <c r="A16" s="1" t="inlineStr">
        <is>
          <t>2025-03</t>
        </is>
      </c>
      <c r="B16" s="1">
        <f>G15</f>
        <v/>
      </c>
      <c r="C16" s="1" t="n">
        <v>2847978.64</v>
      </c>
      <c r="D16" s="1" t="n">
        <v>2757171.42</v>
      </c>
      <c r="E16" s="1" t="n">
        <v>245091.07</v>
      </c>
      <c r="F16" s="1" t="n">
        <v>0</v>
      </c>
      <c r="G16" s="1">
        <f>ROUND(B16+C16-D16-E16+F16,2)</f>
        <v/>
      </c>
      <c r="H16" s="1">
        <f>ROUND(D16+E16-C16,2)</f>
        <v/>
      </c>
      <c r="I16" s="1">
        <f>ROUND(AVERAGE(H14:H16),2)</f>
        <v/>
      </c>
      <c r="J16" s="1">
        <f>IF(I16&lt;=0,"not applicable",ROUND(G16/I16,1))</f>
        <v/>
      </c>
      <c r="K16" s="1" t="inlineStr">
        <is>
          <t>Financing inflow is the Series A initial closing</t>
        </is>
      </c>
    </row>
    <row r="17">
      <c r="A17" s="1" t="inlineStr">
        <is>
          <t>2025-04</t>
        </is>
      </c>
      <c r="B17" s="1">
        <f>G16</f>
        <v/>
      </c>
      <c r="C17" s="1" t="n">
        <v>2542623.53</v>
      </c>
      <c r="D17" s="1" t="n">
        <v>2420565.05</v>
      </c>
      <c r="E17" s="1" t="n">
        <v>444764.12</v>
      </c>
      <c r="F17" s="1" t="n">
        <v>0</v>
      </c>
      <c r="G17" s="1">
        <f>ROUND(B17+C17-D17-E17+F17,2)</f>
        <v/>
      </c>
      <c r="H17" s="1">
        <f>ROUND(D17+E17-C17,2)</f>
        <v/>
      </c>
      <c r="I17" s="1">
        <f>ROUND(AVERAGE(H15:H17),2)</f>
        <v/>
      </c>
      <c r="J17" s="1">
        <f>IF(I17&lt;=0,"not applicable",ROUND(G17/I17,1))</f>
        <v/>
      </c>
      <c r="K17" s="1" t="inlineStr">
        <is>
          <t>Capital spend relates to the second test cell</t>
        </is>
      </c>
    </row>
    <row r="18">
      <c r="A18" s="1" t="inlineStr">
        <is>
          <t>2025-05</t>
        </is>
      </c>
      <c r="B18" s="1">
        <f>G17</f>
        <v/>
      </c>
      <c r="C18" s="1" t="n">
        <v>1413327.05</v>
      </c>
      <c r="D18" s="1" t="n">
        <v>2412940.9</v>
      </c>
      <c r="E18" s="1" t="n">
        <v>239024.95</v>
      </c>
      <c r="F18" s="1" t="n">
        <v>0</v>
      </c>
      <c r="G18" s="1">
        <f>ROUND(B18+C18-D18-E18+F18,2)</f>
        <v/>
      </c>
      <c r="H18" s="1">
        <f>ROUND(D18+E18-C18,2)</f>
        <v/>
      </c>
      <c r="I18" s="1">
        <f>ROUND(AVERAGE(H16:H18),2)</f>
        <v/>
      </c>
      <c r="J18" s="1">
        <f>IF(I18&lt;=0,"not applicable",ROUND(G18/I18,1))</f>
        <v/>
      </c>
      <c r="K18" s="1" t="inlineStr">
        <is>
          <t>Receipts concentrated in the final week of the month</t>
        </is>
      </c>
    </row>
    <row r="19">
      <c r="A19" s="1" t="inlineStr">
        <is>
          <t>2025-06</t>
        </is>
      </c>
      <c r="B19" s="1">
        <f>G18</f>
        <v/>
      </c>
      <c r="C19" s="1" t="n">
        <v>2335614.48</v>
      </c>
      <c r="D19" s="1" t="n">
        <v>3642902.43</v>
      </c>
      <c r="E19" s="1" t="n">
        <v>439017.94</v>
      </c>
      <c r="F19" s="1" t="n">
        <v>4379258.57</v>
      </c>
      <c r="G19" s="1">
        <f>ROUND(B19+C19-D19-E19+F19,2)</f>
        <v/>
      </c>
      <c r="H19" s="1">
        <f>ROUND(D19+E19-C19,2)</f>
        <v/>
      </c>
      <c r="I19" s="1">
        <f>ROUND(AVERAGE(H17:H19),2)</f>
        <v/>
      </c>
      <c r="J19" s="1">
        <f>IF(I19&lt;=0,"not applicable",ROUND(G19/I19,1))</f>
        <v/>
      </c>
      <c r="K19" s="1" t="inlineStr">
        <is>
          <t>Burn improved on lower contract manufacturing spend</t>
        </is>
      </c>
    </row>
    <row r="20">
      <c r="A20" s="1" t="inlineStr">
        <is>
          <t>2025-07</t>
        </is>
      </c>
      <c r="B20" s="1">
        <f>G19</f>
        <v/>
      </c>
      <c r="C20" s="1" t="n">
        <v>876574.25</v>
      </c>
      <c r="D20" s="1" t="n">
        <v>3698562.75</v>
      </c>
      <c r="E20" s="1" t="n">
        <v>533776.5</v>
      </c>
      <c r="F20" s="1" t="n">
        <v>0</v>
      </c>
      <c r="G20" s="1">
        <f>ROUND(B20+C20-D20-E20+F20,2)</f>
        <v/>
      </c>
      <c r="H20" s="1">
        <f>ROUND(D20+E20-C20,2)</f>
        <v/>
      </c>
      <c r="I20" s="1">
        <f>ROUND(AVERAGE(H18:H20),2)</f>
        <v/>
      </c>
      <c r="J20" s="1">
        <f>IF(I20&lt;=0,"not applicable",ROUND(G20/I20,1))</f>
        <v/>
      </c>
      <c r="K20" s="1" t="inlineStr">
        <is>
          <t>Hosting commitment prepaid for the year</t>
        </is>
      </c>
    </row>
    <row r="21">
      <c r="A21" s="1" t="inlineStr">
        <is>
          <t>2025-08</t>
        </is>
      </c>
      <c r="B21" s="1">
        <f>G20</f>
        <v/>
      </c>
      <c r="C21" s="1" t="n">
        <v>2778543.88</v>
      </c>
      <c r="D21" s="1" t="n">
        <v>3099516.94</v>
      </c>
      <c r="E21" s="1" t="n">
        <v>181092.66</v>
      </c>
      <c r="F21" s="1" t="n">
        <v>0</v>
      </c>
      <c r="G21" s="1">
        <f>ROUND(B21+C21-D21-E21+F21,2)</f>
        <v/>
      </c>
      <c r="H21" s="1">
        <f>ROUND(D21+E21-C21,2)</f>
        <v/>
      </c>
      <c r="I21" s="1">
        <f>ROUND(AVERAGE(H19:H21),2)</f>
        <v/>
      </c>
      <c r="J21" s="1">
        <f>IF(I21&lt;=0,"not applicable",ROUND(G21/I21,1))</f>
        <v/>
      </c>
      <c r="K21" s="1" t="inlineStr">
        <is>
          <t>Capital spend relates to the second test cell</t>
        </is>
      </c>
    </row>
    <row r="22">
      <c r="A22" s="1" t="inlineStr">
        <is>
          <t>2025-09</t>
        </is>
      </c>
      <c r="B22" s="1">
        <f>G21</f>
        <v/>
      </c>
      <c r="C22" s="1" t="n">
        <v>2103781.1</v>
      </c>
      <c r="D22" s="1" t="n">
        <v>2581836.38</v>
      </c>
      <c r="E22" s="1" t="n">
        <v>407572.18</v>
      </c>
      <c r="F22" s="1" t="n">
        <v>0</v>
      </c>
      <c r="G22" s="1">
        <f>ROUND(B22+C22-D22-E22+F22,2)</f>
        <v/>
      </c>
      <c r="H22" s="1">
        <f>ROUND(D22+E22-C22,2)</f>
        <v/>
      </c>
      <c r="I22" s="1">
        <f>ROUND(AVERAGE(H20:H22),2)</f>
        <v/>
      </c>
      <c r="J22" s="1">
        <f>IF(I22&lt;=0,"not applicable",ROUND(G22/I22,1))</f>
        <v/>
      </c>
      <c r="K22" s="1" t="inlineStr">
        <is>
          <t>Two large customer receipts slipped into the following month</t>
        </is>
      </c>
    </row>
    <row r="23">
      <c r="A23" s="1" t="inlineStr">
        <is>
          <t>2025-10</t>
        </is>
      </c>
      <c r="B23" s="1">
        <f>G22</f>
        <v/>
      </c>
      <c r="C23" s="1" t="n">
        <v>2603268.22</v>
      </c>
      <c r="D23" s="1" t="n">
        <v>3794148.6</v>
      </c>
      <c r="E23" s="1" t="n">
        <v>55358.24</v>
      </c>
      <c r="F23" s="1" t="n">
        <v>0</v>
      </c>
      <c r="G23" s="1">
        <f>ROUND(B23+C23-D23-E23+F23,2)</f>
        <v/>
      </c>
      <c r="H23" s="1">
        <f>ROUND(D23+E23-C23,2)</f>
        <v/>
      </c>
      <c r="I23" s="1">
        <f>ROUND(AVERAGE(H21:H23),2)</f>
        <v/>
      </c>
      <c r="J23" s="1">
        <f>IF(I23&lt;=0,"not applicable",ROUND(G23/I23,1))</f>
        <v/>
      </c>
      <c r="K23" s="1" t="inlineStr">
        <is>
          <t>Disbursements include the annual insurance renewal</t>
        </is>
      </c>
    </row>
    <row r="24">
      <c r="A24" s="1" t="inlineStr">
        <is>
          <t>2025-11</t>
        </is>
      </c>
      <c r="B24" s="1">
        <f>G23</f>
        <v/>
      </c>
      <c r="C24" s="1" t="n">
        <v>884794</v>
      </c>
      <c r="D24" s="1" t="n">
        <v>3080861.8</v>
      </c>
      <c r="E24" s="1" t="n">
        <v>155290.36</v>
      </c>
      <c r="F24" s="1" t="n">
        <v>4193096.4</v>
      </c>
      <c r="G24" s="1">
        <f>ROUND(B24+C24-D24-E24+F24,2)</f>
        <v/>
      </c>
      <c r="H24" s="1">
        <f>ROUND(D24+E24-C24,2)</f>
        <v/>
      </c>
      <c r="I24" s="1">
        <f>ROUND(AVERAGE(H22:H24),2)</f>
        <v/>
      </c>
      <c r="J24" s="1">
        <f>IF(I24&lt;=0,"not applicable",ROUND(G24/I24,1))</f>
        <v/>
      </c>
      <c r="K24" s="1" t="inlineStr">
        <is>
          <t>Receipts concentrated in the final week of the month</t>
        </is>
      </c>
    </row>
    <row r="25">
      <c r="A25" s="1" t="inlineStr">
        <is>
          <t>2025-12</t>
        </is>
      </c>
      <c r="B25" s="1">
        <f>G24</f>
        <v/>
      </c>
      <c r="C25" s="1" t="n">
        <v>1852580.81</v>
      </c>
      <c r="D25" s="1" t="n">
        <v>3780725.86</v>
      </c>
      <c r="E25" s="1" t="n">
        <v>152927.32</v>
      </c>
      <c r="F25" s="1" t="n">
        <v>0</v>
      </c>
      <c r="G25" s="1">
        <f>ROUND(B25+C25-D25-E25+F25,2)</f>
        <v/>
      </c>
      <c r="H25" s="1">
        <f>ROUND(D25+E25-C25,2)</f>
        <v/>
      </c>
      <c r="I25" s="1">
        <f>ROUND(AVERAGE(H23:H25),2)</f>
        <v/>
      </c>
      <c r="J25" s="1">
        <f>IF(I25&lt;=0,"not applicable",ROUND(G25/I25,1))</f>
        <v/>
      </c>
      <c r="K25" s="1" t="inlineStr">
        <is>
          <t>Burn improved on lower contract manufacturing spend</t>
        </is>
      </c>
    </row>
    <row r="26">
      <c r="A26" s="1" t="inlineStr">
        <is>
          <t>2026-01</t>
        </is>
      </c>
      <c r="B26" s="1">
        <f>G25</f>
        <v/>
      </c>
      <c r="C26" s="1" t="n">
        <v>2943390.66</v>
      </c>
      <c r="D26" s="1" t="n">
        <v>3203009.04</v>
      </c>
      <c r="E26" s="1" t="n">
        <v>96678.39</v>
      </c>
      <c r="F26" s="1" t="n">
        <v>0</v>
      </c>
      <c r="G26" s="1">
        <f>ROUND(B26+C26-D26-E26+F26,2)</f>
        <v/>
      </c>
      <c r="H26" s="1">
        <f>ROUND(D26+E26-C26,2)</f>
        <v/>
      </c>
      <c r="I26" s="1">
        <f>ROUND(AVERAGE(H24:H26),2)</f>
        <v/>
      </c>
      <c r="J26" s="1">
        <f>IF(I26&lt;=0,"not applicable",ROUND(G26/I26,1))</f>
        <v/>
      </c>
      <c r="K26" s="1" t="inlineStr">
        <is>
          <t>Disbursements include the annual insurance renewal</t>
        </is>
      </c>
    </row>
    <row r="27">
      <c r="A27" s="1" t="inlineStr">
        <is>
          <t>2026-02</t>
        </is>
      </c>
      <c r="B27" s="1">
        <f>G26</f>
        <v/>
      </c>
      <c r="C27" s="1" t="n">
        <v>2628231.35</v>
      </c>
      <c r="D27" s="1" t="n">
        <v>3163298.56</v>
      </c>
      <c r="E27" s="1" t="n">
        <v>218185.09</v>
      </c>
      <c r="F27" s="1" t="n">
        <v>0</v>
      </c>
      <c r="G27" s="1">
        <f>ROUND(B27+C27-D27-E27+F27,2)</f>
        <v/>
      </c>
      <c r="H27" s="1">
        <f>ROUND(D27+E27-C27,2)</f>
        <v/>
      </c>
      <c r="I27" s="1">
        <f>ROUND(AVERAGE(H25:H27),2)</f>
        <v/>
      </c>
      <c r="J27" s="1">
        <f>IF(I27&lt;=0,"not applicable",ROUND(G27/I27,1))</f>
        <v/>
      </c>
      <c r="K27" s="1" t="inlineStr">
        <is>
          <t>Capital spend relates to the second test cell</t>
        </is>
      </c>
    </row>
    <row r="28">
      <c r="A28" s="1" t="inlineStr">
        <is>
          <t>2026-03</t>
        </is>
      </c>
      <c r="B28" s="1">
        <f>G27</f>
        <v/>
      </c>
      <c r="C28" s="1" t="n">
        <v>1150088.72</v>
      </c>
      <c r="D28" s="1" t="n">
        <v>3815756.49</v>
      </c>
      <c r="E28" s="1" t="n">
        <v>595136.59</v>
      </c>
      <c r="F28" s="1" t="n">
        <v>0</v>
      </c>
      <c r="G28" s="1">
        <f>ROUND(B28+C28-D28-E28+F28,2)</f>
        <v/>
      </c>
      <c r="H28" s="1">
        <f>ROUND(D28+E28-C28,2)</f>
        <v/>
      </c>
      <c r="I28" s="1">
        <f>ROUND(AVERAGE(H26:H28),2)</f>
        <v/>
      </c>
      <c r="J28" s="1">
        <f>IF(I28&lt;=0,"not applicable",ROUND(G28/I28,1))</f>
        <v/>
      </c>
      <c r="K28" s="1" t="inlineStr">
        <is>
          <t>Capital spend relates to the second test cell</t>
        </is>
      </c>
    </row>
    <row r="29">
      <c r="A29" s="1" t="inlineStr">
        <is>
          <t>2026-04</t>
        </is>
      </c>
      <c r="B29" s="1">
        <f>G28</f>
        <v/>
      </c>
      <c r="C29" s="1" t="n">
        <v>1008230.74</v>
      </c>
      <c r="D29" s="1" t="n">
        <v>2796676.51</v>
      </c>
      <c r="E29" s="1" t="n">
        <v>187722.02</v>
      </c>
      <c r="F29" s="1" t="n">
        <v>0</v>
      </c>
      <c r="G29" s="1">
        <f>ROUND(B29+C29-D29-E29+F29,2)</f>
        <v/>
      </c>
      <c r="H29" s="1">
        <f>ROUND(D29+E29-C29,2)</f>
        <v/>
      </c>
      <c r="I29" s="1">
        <f>ROUND(AVERAGE(H27:H29),2)</f>
        <v/>
      </c>
      <c r="J29" s="1">
        <f>IF(I29&lt;=0,"not applicable",ROUND(G29/I29,1))</f>
        <v/>
      </c>
      <c r="K29" s="1" t="inlineStr">
        <is>
          <t>Receipts concentrated in the final week of the month</t>
        </is>
      </c>
    </row>
    <row r="30">
      <c r="A30" s="1" t="inlineStr">
        <is>
          <t>2026-05</t>
        </is>
      </c>
      <c r="B30" s="1">
        <f>G29</f>
        <v/>
      </c>
      <c r="C30" s="1" t="n">
        <v>1990475.29</v>
      </c>
      <c r="D30" s="1" t="n">
        <v>3725977.73</v>
      </c>
      <c r="E30" s="1" t="n">
        <v>272802.38</v>
      </c>
      <c r="F30" s="1" t="n">
        <v>0</v>
      </c>
      <c r="G30" s="1">
        <f>ROUND(B30+C30-D30-E30+F30,2)</f>
        <v/>
      </c>
      <c r="H30" s="1">
        <f>ROUND(D30+E30-C30,2)</f>
        <v/>
      </c>
      <c r="I30" s="1">
        <f>ROUND(AVERAGE(H28:H30),2)</f>
        <v/>
      </c>
      <c r="J30" s="1">
        <f>IF(I30&lt;=0,"not applicable",ROUND(G30/I30,1))</f>
        <v/>
      </c>
      <c r="K30" s="1" t="inlineStr">
        <is>
          <t>Financing inflow is the Series A initial closing</t>
        </is>
      </c>
    </row>
    <row r="31">
      <c r="A31" s="1" t="inlineStr">
        <is>
          <t>2026-06</t>
        </is>
      </c>
      <c r="B31" s="1">
        <f>G30</f>
        <v/>
      </c>
      <c r="C31" s="1" t="n">
        <v>2941444.78</v>
      </c>
      <c r="D31" s="1" t="n">
        <v>3032404.29</v>
      </c>
      <c r="E31" s="1" t="n">
        <v>240996.58</v>
      </c>
      <c r="F31" s="1" t="n">
        <v>0</v>
      </c>
      <c r="G31" s="1">
        <f>ROUND(B31+C31-D31-E31+F31,2)</f>
        <v/>
      </c>
      <c r="H31" s="1">
        <f>ROUND(D31+E31-C31,2)</f>
        <v/>
      </c>
      <c r="I31" s="1">
        <f>ROUND(AVERAGE(H29:H31),2)</f>
        <v/>
      </c>
      <c r="J31" s="1">
        <f>IF(I31&lt;=0,"not applicable",ROUND(G31/I31,1))</f>
        <v/>
      </c>
      <c r="K31" s="1" t="inlineStr">
        <is>
          <t>Financing inflow is the Series A initial closing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2026-08-09T15:57:47Z</dcterms:created>
  <dcterms:modified xmlns:dcterms="http://purl.org/dc/terms/" xmlns:xsi="http://www.w3.org/2001/XMLSchema-instance" xsi:type="dcterms:W3CDTF">2026-08-09T15:57:47Z</dcterms:modified>
</cp:coreProperties>
</file>