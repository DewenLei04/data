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opening_arr</t>
        </is>
      </c>
      <c r="C1" s="1" t="inlineStr">
        <is>
          <t>new_arr</t>
        </is>
      </c>
      <c r="D1" s="1" t="inlineStr">
        <is>
          <t>expansion_arr</t>
        </is>
      </c>
      <c r="E1" s="1" t="inlineStr">
        <is>
          <t>contraction_arr</t>
        </is>
      </c>
      <c r="F1" s="1" t="inlineStr">
        <is>
          <t>churned_arr</t>
        </is>
      </c>
      <c r="G1" s="1" t="inlineStr">
        <is>
          <t>closing_arr</t>
        </is>
      </c>
      <c r="H1" s="1" t="inlineStr">
        <is>
          <t>logos_opening</t>
        </is>
      </c>
      <c r="I1" s="1" t="inlineStr">
        <is>
          <t>logos_added</t>
        </is>
      </c>
      <c r="J1" s="1" t="inlineStr">
        <is>
          <t>logos_lost</t>
        </is>
      </c>
      <c r="K1" s="1" t="inlineStr">
        <is>
          <t>logos_closing</t>
        </is>
      </c>
      <c r="L1" s="1" t="inlineStr">
        <is>
          <t>average_contract_value</t>
        </is>
      </c>
      <c r="M1" s="1" t="inlineStr">
        <is>
          <t>movement_commentary</t>
        </is>
      </c>
    </row>
    <row r="2">
      <c r="A2" s="1" t="inlineStr">
        <is>
          <t>2024-07</t>
        </is>
      </c>
      <c r="B2" s="1" t="n">
        <v>13842600</v>
      </c>
      <c r="C2" s="1" t="n">
        <v>521899.32</v>
      </c>
      <c r="D2" s="1" t="n">
        <v>152611.92</v>
      </c>
      <c r="E2" s="1" t="n">
        <v>3674.5</v>
      </c>
      <c r="F2" s="1" t="n">
        <v>0</v>
      </c>
      <c r="G2" s="1">
        <f>ROUND(B2+C2+D2-E2-F2,2)</f>
        <v/>
      </c>
      <c r="H2" s="1" t="n">
        <v>41</v>
      </c>
      <c r="I2" s="1" t="n">
        <v>2</v>
      </c>
      <c r="J2" s="1" t="n">
        <v>0</v>
      </c>
      <c r="K2" s="1">
        <f>H2+I2-J2</f>
        <v/>
      </c>
      <c r="L2" s="1">
        <f>ROUND(G2/K2,2)</f>
        <v/>
      </c>
      <c r="M2" s="1" t="inlineStr">
        <is>
          <t>New logo landed with a pilot-only footprint</t>
        </is>
      </c>
    </row>
    <row r="3">
      <c r="A3" s="1" t="inlineStr">
        <is>
          <t>2024-08</t>
        </is>
      </c>
      <c r="B3" s="1">
        <f>G2</f>
        <v/>
      </c>
      <c r="C3" s="1" t="n">
        <v>560808.17</v>
      </c>
      <c r="D3" s="1" t="n">
        <v>247317.64</v>
      </c>
      <c r="E3" s="1" t="n">
        <v>15786.67</v>
      </c>
      <c r="F3" s="1" t="n">
        <v>193516.42</v>
      </c>
      <c r="G3" s="1">
        <f>ROUND(B3+C3+D3-E3-F3,2)</f>
        <v/>
      </c>
      <c r="H3" s="1">
        <f>K2</f>
        <v/>
      </c>
      <c r="I3" s="1" t="n">
        <v>1</v>
      </c>
      <c r="J3" s="1" t="n">
        <v>1</v>
      </c>
      <c r="K3" s="1">
        <f>H3+I3-J3</f>
        <v/>
      </c>
      <c r="L3" s="1">
        <f>ROUND(G3/K3,2)</f>
        <v/>
      </c>
      <c r="M3" s="1" t="inlineStr">
        <is>
          <t>Expansion driven by a second shift at an existing site</t>
        </is>
      </c>
    </row>
    <row r="4">
      <c r="A4" s="1" t="inlineStr">
        <is>
          <t>2024-09</t>
        </is>
      </c>
      <c r="B4" s="1">
        <f>G3</f>
        <v/>
      </c>
      <c r="C4" s="1" t="n">
        <v>571320.15</v>
      </c>
      <c r="D4" s="1" t="n">
        <v>179986.92</v>
      </c>
      <c r="E4" s="1" t="n">
        <v>91746.34</v>
      </c>
      <c r="F4" s="1" t="n">
        <v>0</v>
      </c>
      <c r="G4" s="1">
        <f>ROUND(B4+C4+D4-E4-F4,2)</f>
        <v/>
      </c>
      <c r="H4" s="1">
        <f>K3</f>
        <v/>
      </c>
      <c r="I4" s="1" t="n">
        <v>4</v>
      </c>
      <c r="J4" s="1" t="n">
        <v>0</v>
      </c>
      <c r="K4" s="1">
        <f>H4+I4-J4</f>
        <v/>
      </c>
      <c r="L4" s="1">
        <f>ROUND(G4/K4,2)</f>
        <v/>
      </c>
      <c r="M4" s="1" t="inlineStr">
        <is>
          <t>Quiet month; pipeline concentrated in the following quarter</t>
        </is>
      </c>
    </row>
    <row r="5">
      <c r="A5" s="1" t="inlineStr">
        <is>
          <t>2024-10</t>
        </is>
      </c>
      <c r="B5" s="1">
        <f>G4</f>
        <v/>
      </c>
      <c r="C5" s="1" t="n">
        <v>928499.73</v>
      </c>
      <c r="D5" s="1" t="n">
        <v>277678.32</v>
      </c>
      <c r="E5" s="1" t="n">
        <v>31152.97</v>
      </c>
      <c r="F5" s="1" t="n">
        <v>105457.98</v>
      </c>
      <c r="G5" s="1">
        <f>ROUND(B5+C5+D5-E5-F5,2)</f>
        <v/>
      </c>
      <c r="H5" s="1">
        <f>K4</f>
        <v/>
      </c>
      <c r="I5" s="1" t="n">
        <v>3</v>
      </c>
      <c r="J5" s="1" t="n">
        <v>1</v>
      </c>
      <c r="K5" s="1">
        <f>H5+I5-J5</f>
        <v/>
      </c>
      <c r="L5" s="1">
        <f>ROUND(G5/K5,2)</f>
        <v/>
      </c>
      <c r="M5" s="1" t="inlineStr">
        <is>
          <t>A single logo churned after a site closure</t>
        </is>
      </c>
    </row>
    <row r="6">
      <c r="A6" s="1" t="inlineStr">
        <is>
          <t>2024-11</t>
        </is>
      </c>
      <c r="B6" s="1">
        <f>G5</f>
        <v/>
      </c>
      <c r="C6" s="1" t="n">
        <v>1466791.04</v>
      </c>
      <c r="D6" s="1" t="n">
        <v>519383.95</v>
      </c>
      <c r="E6" s="1" t="n">
        <v>63433.41</v>
      </c>
      <c r="F6" s="1" t="n">
        <v>193183.72</v>
      </c>
      <c r="G6" s="1">
        <f>ROUND(B6+C6+D6-E6-F6,2)</f>
        <v/>
      </c>
      <c r="H6" s="1">
        <f>K5</f>
        <v/>
      </c>
      <c r="I6" s="1" t="n">
        <v>4</v>
      </c>
      <c r="J6" s="1" t="n">
        <v>1</v>
      </c>
      <c r="K6" s="1">
        <f>H6+I6-J6</f>
        <v/>
      </c>
      <c r="L6" s="1">
        <f>ROUND(G6/K6,2)</f>
        <v/>
      </c>
      <c r="M6" s="1" t="inlineStr">
        <is>
          <t>Expansion driven by a second shift at an existing site</t>
        </is>
      </c>
    </row>
    <row r="7">
      <c r="A7" s="1" t="inlineStr">
        <is>
          <t>2024-12</t>
        </is>
      </c>
      <c r="B7" s="1">
        <f>G6</f>
        <v/>
      </c>
      <c r="C7" s="1" t="n">
        <v>1099250.37</v>
      </c>
      <c r="D7" s="1" t="n">
        <v>522994.06</v>
      </c>
      <c r="E7" s="1" t="n">
        <v>36872.83</v>
      </c>
      <c r="F7" s="1" t="n">
        <v>0</v>
      </c>
      <c r="G7" s="1">
        <f>ROUND(B7+C7+D7-E7-F7,2)</f>
        <v/>
      </c>
      <c r="H7" s="1">
        <f>K6</f>
        <v/>
      </c>
      <c r="I7" s="1" t="n">
        <v>4</v>
      </c>
      <c r="J7" s="1" t="n">
        <v>0</v>
      </c>
      <c r="K7" s="1">
        <f>H7+I7-J7</f>
        <v/>
      </c>
      <c r="L7" s="1">
        <f>ROUND(G7/K7,2)</f>
        <v/>
      </c>
      <c r="M7" s="1" t="inlineStr">
        <is>
          <t>Price uplift applied on renewal across three accounts</t>
        </is>
      </c>
    </row>
    <row r="8">
      <c r="A8" s="1" t="inlineStr">
        <is>
          <t>2025-01</t>
        </is>
      </c>
      <c r="B8" s="1">
        <f>G7</f>
        <v/>
      </c>
      <c r="C8" s="1" t="n">
        <v>179063.69</v>
      </c>
      <c r="D8" s="1" t="n">
        <v>200839.57</v>
      </c>
      <c r="E8" s="1" t="n">
        <v>32616.17</v>
      </c>
      <c r="F8" s="1" t="n">
        <v>0</v>
      </c>
      <c r="G8" s="1">
        <f>ROUND(B8+C8+D8-E8-F8,2)</f>
        <v/>
      </c>
      <c r="H8" s="1">
        <f>K7</f>
        <v/>
      </c>
      <c r="I8" s="1" t="n">
        <v>1</v>
      </c>
      <c r="J8" s="1" t="n">
        <v>0</v>
      </c>
      <c r="K8" s="1">
        <f>H8+I8-J8</f>
        <v/>
      </c>
      <c r="L8" s="1">
        <f>ROUND(G8/K8,2)</f>
        <v/>
      </c>
      <c r="M8" s="1" t="inlineStr">
        <is>
          <t>Quiet month; pipeline concentrated in the following quarter</t>
        </is>
      </c>
    </row>
    <row r="9">
      <c r="A9" s="1" t="inlineStr">
        <is>
          <t>2025-02</t>
        </is>
      </c>
      <c r="B9" s="1">
        <f>G8</f>
        <v/>
      </c>
      <c r="C9" s="1" t="n">
        <v>553170.02</v>
      </c>
      <c r="D9" s="1" t="n">
        <v>210890.98</v>
      </c>
      <c r="E9" s="1" t="n">
        <v>57858.79</v>
      </c>
      <c r="F9" s="1" t="n">
        <v>0</v>
      </c>
      <c r="G9" s="1">
        <f>ROUND(B9+C9+D9-E9-F9,2)</f>
        <v/>
      </c>
      <c r="H9" s="1">
        <f>K8</f>
        <v/>
      </c>
      <c r="I9" s="1" t="n">
        <v>2</v>
      </c>
      <c r="J9" s="1" t="n">
        <v>0</v>
      </c>
      <c r="K9" s="1">
        <f>H9+I9-J9</f>
        <v/>
      </c>
      <c r="L9" s="1">
        <f>ROUND(G9/K9,2)</f>
        <v/>
      </c>
      <c r="M9" s="1" t="inlineStr">
        <is>
          <t>One large renewal downgraded scope at the customer's request</t>
        </is>
      </c>
    </row>
    <row r="10">
      <c r="A10" s="1" t="inlineStr">
        <is>
          <t>2025-03</t>
        </is>
      </c>
      <c r="B10" s="1">
        <f>G9</f>
        <v/>
      </c>
      <c r="C10" s="1" t="n">
        <v>216539.42</v>
      </c>
      <c r="D10" s="1" t="n">
        <v>225065.44</v>
      </c>
      <c r="E10" s="1" t="n">
        <v>24626.25</v>
      </c>
      <c r="F10" s="1" t="n">
        <v>0</v>
      </c>
      <c r="G10" s="1">
        <f>ROUND(B10+C10+D10-E10-F10,2)</f>
        <v/>
      </c>
      <c r="H10" s="1">
        <f>K9</f>
        <v/>
      </c>
      <c r="I10" s="1" t="n">
        <v>5</v>
      </c>
      <c r="J10" s="1" t="n">
        <v>0</v>
      </c>
      <c r="K10" s="1">
        <f>H10+I10-J10</f>
        <v/>
      </c>
      <c r="L10" s="1">
        <f>ROUND(G10/K10,2)</f>
        <v/>
      </c>
      <c r="M10" s="1" t="inlineStr">
        <is>
          <t>A single logo churned after a site closure</t>
        </is>
      </c>
    </row>
    <row r="11">
      <c r="A11" s="1" t="inlineStr">
        <is>
          <t>2025-04</t>
        </is>
      </c>
      <c r="B11" s="1">
        <f>G10</f>
        <v/>
      </c>
      <c r="C11" s="1" t="n">
        <v>266002.58</v>
      </c>
      <c r="D11" s="1" t="n">
        <v>100040.62</v>
      </c>
      <c r="E11" s="1" t="n">
        <v>89571.88</v>
      </c>
      <c r="F11" s="1" t="n">
        <v>124714.41</v>
      </c>
      <c r="G11" s="1">
        <f>ROUND(B11+C11+D11-E11-F11,2)</f>
        <v/>
      </c>
      <c r="H11" s="1">
        <f>K10</f>
        <v/>
      </c>
      <c r="I11" s="1" t="n">
        <v>3</v>
      </c>
      <c r="J11" s="1" t="n">
        <v>1</v>
      </c>
      <c r="K11" s="1">
        <f>H11+I11-J11</f>
        <v/>
      </c>
      <c r="L11" s="1">
        <f>ROUND(G11/K11,2)</f>
        <v/>
      </c>
      <c r="M11" s="1" t="inlineStr">
        <is>
          <t>Quiet month; pipeline concentrated in the following quarter</t>
        </is>
      </c>
    </row>
    <row r="12">
      <c r="A12" s="1" t="inlineStr">
        <is>
          <t>2025-05</t>
        </is>
      </c>
      <c r="B12" s="1">
        <f>G11</f>
        <v/>
      </c>
      <c r="C12" s="1" t="n">
        <v>627763.53</v>
      </c>
      <c r="D12" s="1" t="n">
        <v>21390.04</v>
      </c>
      <c r="E12" s="1" t="n">
        <v>13430.8</v>
      </c>
      <c r="F12" s="1" t="n">
        <v>0</v>
      </c>
      <c r="G12" s="1">
        <f>ROUND(B12+C12+D12-E12-F12,2)</f>
        <v/>
      </c>
      <c r="H12" s="1">
        <f>K11</f>
        <v/>
      </c>
      <c r="I12" s="1" t="n">
        <v>2</v>
      </c>
      <c r="J12" s="1" t="n">
        <v>0</v>
      </c>
      <c r="K12" s="1">
        <f>H12+I12-J12</f>
        <v/>
      </c>
      <c r="L12" s="1">
        <f>ROUND(G12/K12,2)</f>
        <v/>
      </c>
      <c r="M12" s="1" t="inlineStr">
        <is>
          <t>New logo landed with a pilot-only footprint</t>
        </is>
      </c>
    </row>
    <row r="13">
      <c r="A13" s="1" t="inlineStr">
        <is>
          <t>2025-06</t>
        </is>
      </c>
      <c r="B13" s="1">
        <f>G12</f>
        <v/>
      </c>
      <c r="C13" s="1" t="n">
        <v>245214.83</v>
      </c>
      <c r="D13" s="1" t="n">
        <v>183266.54</v>
      </c>
      <c r="E13" s="1" t="n">
        <v>43864.14</v>
      </c>
      <c r="F13" s="1" t="n">
        <v>98404.12</v>
      </c>
      <c r="G13" s="1">
        <f>ROUND(B13+C13+D13-E13-F13,2)</f>
        <v/>
      </c>
      <c r="H13" s="1">
        <f>K12</f>
        <v/>
      </c>
      <c r="I13" s="1" t="n">
        <v>4</v>
      </c>
      <c r="J13" s="1" t="n">
        <v>1</v>
      </c>
      <c r="K13" s="1">
        <f>H13+I13-J13</f>
        <v/>
      </c>
      <c r="L13" s="1">
        <f>ROUND(G13/K13,2)</f>
        <v/>
      </c>
      <c r="M13" s="1" t="inlineStr">
        <is>
          <t>One large renewal downgraded scope at the customer's request</t>
        </is>
      </c>
    </row>
    <row r="14">
      <c r="A14" s="1" t="inlineStr">
        <is>
          <t>2025-07</t>
        </is>
      </c>
      <c r="B14" s="1">
        <f>G13</f>
        <v/>
      </c>
      <c r="C14" s="1" t="n">
        <v>659850.8</v>
      </c>
      <c r="D14" s="1" t="n">
        <v>172641.01</v>
      </c>
      <c r="E14" s="1" t="n">
        <v>61745.03</v>
      </c>
      <c r="F14" s="1" t="n">
        <v>0</v>
      </c>
      <c r="G14" s="1">
        <f>ROUND(B14+C14+D14-E14-F14,2)</f>
        <v/>
      </c>
      <c r="H14" s="1">
        <f>K13</f>
        <v/>
      </c>
      <c r="I14" s="1" t="n">
        <v>2</v>
      </c>
      <c r="J14" s="1" t="n">
        <v>0</v>
      </c>
      <c r="K14" s="1">
        <f>H14+I14-J14</f>
        <v/>
      </c>
      <c r="L14" s="1">
        <f>ROUND(G14/K14,2)</f>
        <v/>
      </c>
      <c r="M14" s="1" t="inlineStr">
        <is>
          <t>New logo landed with a pilot-only footprint</t>
        </is>
      </c>
    </row>
    <row r="15">
      <c r="A15" s="1" t="inlineStr">
        <is>
          <t>2025-08</t>
        </is>
      </c>
      <c r="B15" s="1">
        <f>G14</f>
        <v/>
      </c>
      <c r="C15" s="1" t="n">
        <v>793879.39</v>
      </c>
      <c r="D15" s="1" t="n">
        <v>136706.96</v>
      </c>
      <c r="E15" s="1" t="n">
        <v>63008.43</v>
      </c>
      <c r="F15" s="1" t="n">
        <v>0</v>
      </c>
      <c r="G15" s="1">
        <f>ROUND(B15+C15+D15-E15-F15,2)</f>
        <v/>
      </c>
      <c r="H15" s="1">
        <f>K14</f>
        <v/>
      </c>
      <c r="I15" s="1" t="n">
        <v>5</v>
      </c>
      <c r="J15" s="1" t="n">
        <v>0</v>
      </c>
      <c r="K15" s="1">
        <f>H15+I15-J15</f>
        <v/>
      </c>
      <c r="L15" s="1">
        <f>ROUND(G15/K15,2)</f>
        <v/>
      </c>
      <c r="M15" s="1" t="inlineStr">
        <is>
          <t>One large renewal downgraded scope at the customer's request</t>
        </is>
      </c>
    </row>
    <row r="16">
      <c r="A16" s="1" t="inlineStr">
        <is>
          <t>2025-09</t>
        </is>
      </c>
      <c r="B16" s="1">
        <f>G15</f>
        <v/>
      </c>
      <c r="C16" s="1" t="n">
        <v>537486.88</v>
      </c>
      <c r="D16" s="1" t="n">
        <v>141817.32</v>
      </c>
      <c r="E16" s="1" t="n">
        <v>79618.31</v>
      </c>
      <c r="F16" s="1" t="n">
        <v>0</v>
      </c>
      <c r="G16" s="1">
        <f>ROUND(B16+C16+D16-E16-F16,2)</f>
        <v/>
      </c>
      <c r="H16" s="1">
        <f>K15</f>
        <v/>
      </c>
      <c r="I16" s="1" t="n">
        <v>1</v>
      </c>
      <c r="J16" s="1" t="n">
        <v>0</v>
      </c>
      <c r="K16" s="1">
        <f>H16+I16-J16</f>
        <v/>
      </c>
      <c r="L16" s="1">
        <f>ROUND(G16/K16,2)</f>
        <v/>
      </c>
      <c r="M16" s="1" t="inlineStr">
        <is>
          <t>Expansion driven by a second shift at an existing site</t>
        </is>
      </c>
    </row>
    <row r="17">
      <c r="A17" s="1" t="inlineStr">
        <is>
          <t>2025-10</t>
        </is>
      </c>
      <c r="B17" s="1">
        <f>G16</f>
        <v/>
      </c>
      <c r="C17" s="1" t="n">
        <v>253712.15</v>
      </c>
      <c r="D17" s="1" t="n">
        <v>167643.8</v>
      </c>
      <c r="E17" s="1" t="n">
        <v>55530.46</v>
      </c>
      <c r="F17" s="1" t="n">
        <v>0</v>
      </c>
      <c r="G17" s="1">
        <f>ROUND(B17+C17+D17-E17-F17,2)</f>
        <v/>
      </c>
      <c r="H17" s="1">
        <f>K16</f>
        <v/>
      </c>
      <c r="I17" s="1" t="n">
        <v>5</v>
      </c>
      <c r="J17" s="1" t="n">
        <v>0</v>
      </c>
      <c r="K17" s="1">
        <f>H17+I17-J17</f>
        <v/>
      </c>
      <c r="L17" s="1">
        <f>ROUND(G17/K17,2)</f>
        <v/>
      </c>
      <c r="M17" s="1" t="inlineStr">
        <is>
          <t>New logo landed with a pilot-only footprint</t>
        </is>
      </c>
    </row>
    <row r="18">
      <c r="A18" s="1" t="inlineStr">
        <is>
          <t>2025-11</t>
        </is>
      </c>
      <c r="B18" s="1">
        <f>G17</f>
        <v/>
      </c>
      <c r="C18" s="1" t="n">
        <v>1242596.06</v>
      </c>
      <c r="D18" s="1" t="n">
        <v>65219.66</v>
      </c>
      <c r="E18" s="1" t="n">
        <v>44342</v>
      </c>
      <c r="F18" s="1" t="n">
        <v>0</v>
      </c>
      <c r="G18" s="1">
        <f>ROUND(B18+C18+D18-E18-F18,2)</f>
        <v/>
      </c>
      <c r="H18" s="1">
        <f>K17</f>
        <v/>
      </c>
      <c r="I18" s="1" t="n">
        <v>3</v>
      </c>
      <c r="J18" s="1" t="n">
        <v>0</v>
      </c>
      <c r="K18" s="1">
        <f>H18+I18-J18</f>
        <v/>
      </c>
      <c r="L18" s="1">
        <f>ROUND(G18/K18,2)</f>
        <v/>
      </c>
      <c r="M18" s="1" t="inlineStr">
        <is>
          <t>A single logo churned after a site closure</t>
        </is>
      </c>
    </row>
    <row r="19">
      <c r="A19" s="1" t="inlineStr">
        <is>
          <t>2025-12</t>
        </is>
      </c>
      <c r="B19" s="1">
        <f>G18</f>
        <v/>
      </c>
      <c r="C19" s="1" t="n">
        <v>483399.81</v>
      </c>
      <c r="D19" s="1" t="n">
        <v>190097.2</v>
      </c>
      <c r="E19" s="1" t="n">
        <v>17037.81</v>
      </c>
      <c r="F19" s="1" t="n">
        <v>0</v>
      </c>
      <c r="G19" s="1">
        <f>ROUND(B19+C19+D19-E19-F19,2)</f>
        <v/>
      </c>
      <c r="H19" s="1">
        <f>K18</f>
        <v/>
      </c>
      <c r="I19" s="1" t="n">
        <v>4</v>
      </c>
      <c r="J19" s="1" t="n">
        <v>0</v>
      </c>
      <c r="K19" s="1">
        <f>H19+I19-J19</f>
        <v/>
      </c>
      <c r="L19" s="1">
        <f>ROUND(G19/K19,2)</f>
        <v/>
      </c>
      <c r="M19" s="1" t="inlineStr">
        <is>
          <t>One large renewal downgraded scope at the customer's request</t>
        </is>
      </c>
    </row>
    <row r="20">
      <c r="A20" s="1" t="inlineStr">
        <is>
          <t>2026-01</t>
        </is>
      </c>
      <c r="B20" s="1">
        <f>G19</f>
        <v/>
      </c>
      <c r="C20" s="1" t="n">
        <v>584115.86</v>
      </c>
      <c r="D20" s="1" t="n">
        <v>170515.68</v>
      </c>
      <c r="E20" s="1" t="n">
        <v>36039.94</v>
      </c>
      <c r="F20" s="1" t="n">
        <v>0</v>
      </c>
      <c r="G20" s="1">
        <f>ROUND(B20+C20+D20-E20-F20,2)</f>
        <v/>
      </c>
      <c r="H20" s="1">
        <f>K19</f>
        <v/>
      </c>
      <c r="I20" s="1" t="n">
        <v>4</v>
      </c>
      <c r="J20" s="1" t="n">
        <v>0</v>
      </c>
      <c r="K20" s="1">
        <f>H20+I20-J20</f>
        <v/>
      </c>
      <c r="L20" s="1">
        <f>ROUND(G20/K20,2)</f>
        <v/>
      </c>
      <c r="M20" s="1" t="inlineStr">
        <is>
          <t>Two multi-site deployments closed in the month</t>
        </is>
      </c>
    </row>
    <row r="21">
      <c r="A21" s="1" t="inlineStr">
        <is>
          <t>2026-02</t>
        </is>
      </c>
      <c r="B21" s="1">
        <f>G20</f>
        <v/>
      </c>
      <c r="C21" s="1" t="n">
        <v>271664.07</v>
      </c>
      <c r="D21" s="1" t="n">
        <v>181305.42</v>
      </c>
      <c r="E21" s="1" t="n">
        <v>74868.28999999999</v>
      </c>
      <c r="F21" s="1" t="n">
        <v>0</v>
      </c>
      <c r="G21" s="1">
        <f>ROUND(B21+C21+D21-E21-F21,2)</f>
        <v/>
      </c>
      <c r="H21" s="1">
        <f>K20</f>
        <v/>
      </c>
      <c r="I21" s="1" t="n">
        <v>1</v>
      </c>
      <c r="J21" s="1" t="n">
        <v>0</v>
      </c>
      <c r="K21" s="1">
        <f>H21+I21-J21</f>
        <v/>
      </c>
      <c r="L21" s="1">
        <f>ROUND(G21/K21,2)</f>
        <v/>
      </c>
      <c r="M21" s="1" t="inlineStr">
        <is>
          <t>Quiet month; pipeline concentrated in the following quarter</t>
        </is>
      </c>
    </row>
    <row r="22">
      <c r="A22" s="1" t="inlineStr">
        <is>
          <t>2026-03</t>
        </is>
      </c>
      <c r="B22" s="1">
        <f>G21</f>
        <v/>
      </c>
      <c r="C22" s="1" t="n">
        <v>600901.58</v>
      </c>
      <c r="D22" s="1" t="n">
        <v>62505.55</v>
      </c>
      <c r="E22" s="1" t="n">
        <v>8421.959999999999</v>
      </c>
      <c r="F22" s="1" t="n">
        <v>0</v>
      </c>
      <c r="G22" s="1">
        <f>ROUND(B22+C22+D22-E22-F22,2)</f>
        <v/>
      </c>
      <c r="H22" s="1">
        <f>K21</f>
        <v/>
      </c>
      <c r="I22" s="1" t="n">
        <v>5</v>
      </c>
      <c r="J22" s="1" t="n">
        <v>0</v>
      </c>
      <c r="K22" s="1">
        <f>H22+I22-J22</f>
        <v/>
      </c>
      <c r="L22" s="1">
        <f>ROUND(G22/K22,2)</f>
        <v/>
      </c>
      <c r="M22" s="1" t="inlineStr">
        <is>
          <t>One large renewal downgraded scope at the customer's request</t>
        </is>
      </c>
    </row>
    <row r="23">
      <c r="A23" s="1" t="inlineStr">
        <is>
          <t>2026-04</t>
        </is>
      </c>
      <c r="B23" s="1">
        <f>G22</f>
        <v/>
      </c>
      <c r="C23" s="1" t="n">
        <v>599537.91</v>
      </c>
      <c r="D23" s="1" t="n">
        <v>91451.60000000001</v>
      </c>
      <c r="E23" s="1" t="n">
        <v>74935.95</v>
      </c>
      <c r="F23" s="1" t="n">
        <v>165435.65</v>
      </c>
      <c r="G23" s="1">
        <f>ROUND(B23+C23+D23-E23-F23,2)</f>
        <v/>
      </c>
      <c r="H23" s="1">
        <f>K22</f>
        <v/>
      </c>
      <c r="I23" s="1" t="n">
        <v>5</v>
      </c>
      <c r="J23" s="1" t="n">
        <v>1</v>
      </c>
      <c r="K23" s="1">
        <f>H23+I23-J23</f>
        <v/>
      </c>
      <c r="L23" s="1">
        <f>ROUND(G23/K23,2)</f>
        <v/>
      </c>
      <c r="M23" s="1" t="inlineStr">
        <is>
          <t>Price uplift applied on renewal across three accounts</t>
        </is>
      </c>
    </row>
    <row r="24">
      <c r="A24" s="1" t="inlineStr">
        <is>
          <t>2026-05</t>
        </is>
      </c>
      <c r="B24" s="1">
        <f>G23</f>
        <v/>
      </c>
      <c r="C24" s="1" t="n">
        <v>505429.85</v>
      </c>
      <c r="D24" s="1" t="n">
        <v>206956.86</v>
      </c>
      <c r="E24" s="1" t="n">
        <v>58403.5</v>
      </c>
      <c r="F24" s="1" t="n">
        <v>0</v>
      </c>
      <c r="G24" s="1">
        <f>ROUND(B24+C24+D24-E24-F24,2)</f>
        <v/>
      </c>
      <c r="H24" s="1">
        <f>K23</f>
        <v/>
      </c>
      <c r="I24" s="1" t="n">
        <v>2</v>
      </c>
      <c r="J24" s="1" t="n">
        <v>0</v>
      </c>
      <c r="K24" s="1">
        <f>H24+I24-J24</f>
        <v/>
      </c>
      <c r="L24" s="1">
        <f>ROUND(G24/K24,2)</f>
        <v/>
      </c>
      <c r="M24" s="1" t="inlineStr">
        <is>
          <t>A single logo churned after a site closure</t>
        </is>
      </c>
    </row>
    <row r="25">
      <c r="A25" s="1" t="inlineStr">
        <is>
          <t>2026-06</t>
        </is>
      </c>
      <c r="B25" s="1">
        <f>G24</f>
        <v/>
      </c>
      <c r="C25" s="1" t="n">
        <v>410981.09</v>
      </c>
      <c r="D25" s="1" t="n">
        <v>293127.06</v>
      </c>
      <c r="E25" s="1" t="n">
        <v>8150.55</v>
      </c>
      <c r="F25" s="1" t="n">
        <v>0</v>
      </c>
      <c r="G25" s="1">
        <f>ROUND(B25+C25+D25-E25-F25,2)</f>
        <v/>
      </c>
      <c r="H25" s="1">
        <f>K24</f>
        <v/>
      </c>
      <c r="I25" s="1" t="n">
        <v>1</v>
      </c>
      <c r="J25" s="1" t="n">
        <v>0</v>
      </c>
      <c r="K25" s="1">
        <f>H25+I25-J25</f>
        <v/>
      </c>
      <c r="L25" s="1">
        <f>ROUND(G25/K25,2)</f>
        <v/>
      </c>
      <c r="M25" s="1" t="inlineStr">
        <is>
          <t>Quiet month; pipeline concentrated in the following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