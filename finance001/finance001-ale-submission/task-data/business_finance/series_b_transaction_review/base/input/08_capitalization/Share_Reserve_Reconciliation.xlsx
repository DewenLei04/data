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line_no</t>
        </is>
      </c>
      <c r="B1" s="1" t="inlineStr">
        <is>
          <t>reserve_component</t>
        </is>
      </c>
      <c r="C1" s="1" t="inlineStr">
        <is>
          <t>governing_document</t>
        </is>
      </c>
      <c r="D1" s="1" t="inlineStr">
        <is>
          <t>as_of_date</t>
        </is>
      </c>
      <c r="E1" s="1" t="inlineStr">
        <is>
          <t>opening_grant_count</t>
        </is>
      </c>
      <c r="F1" s="1" t="inlineStr">
        <is>
          <t>grants_added</t>
        </is>
      </c>
      <c r="G1" s="1" t="inlineStr">
        <is>
          <t>grants_cancelled</t>
        </is>
      </c>
      <c r="H1" s="1" t="inlineStr">
        <is>
          <t>closing_grant_count</t>
        </is>
      </c>
      <c r="I1" s="1" t="inlineStr">
        <is>
          <t>control_owner</t>
        </is>
      </c>
      <c r="J1" s="1" t="inlineStr">
        <is>
          <t>review_status</t>
        </is>
      </c>
      <c r="K1" s="1" t="inlineStr">
        <is>
          <t>exception_note</t>
        </is>
      </c>
    </row>
    <row r="2">
      <c r="A2" s="1" t="n">
        <v>1</v>
      </c>
      <c r="B2" s="1" t="inlineStr">
        <is>
          <t>Options outstanding, employees</t>
        </is>
      </c>
      <c r="C2" s="1" t="inlineStr">
        <is>
          <t>2019 Equity Incentive Plan</t>
        </is>
      </c>
      <c r="D2" s="2" t="n">
        <v>46203</v>
      </c>
      <c r="E2" s="1" t="n">
        <v>220</v>
      </c>
      <c r="F2" s="1" t="n">
        <v>15</v>
      </c>
      <c r="G2" s="1" t="n">
        <v>10</v>
      </c>
      <c r="H2" s="1">
        <f>E2+F2-G2</f>
        <v/>
      </c>
      <c r="I2" s="1" t="inlineStr">
        <is>
          <t>P. Raghunathan</t>
        </is>
      </c>
      <c r="J2" s="1" t="inlineStr">
        <is>
          <t>Escalated to counsel</t>
        </is>
      </c>
      <c r="K2" s="1" t="inlineStr">
        <is>
          <t>Component definition changed in the current plan amendment</t>
        </is>
      </c>
    </row>
    <row r="3">
      <c r="A3" s="1" t="n">
        <v>2</v>
      </c>
      <c r="B3" s="1" t="inlineStr">
        <is>
          <t>Options outstanding, contractors</t>
        </is>
      </c>
      <c r="C3" s="1" t="inlineStr">
        <is>
          <t>2019 Equity Incentive Plan</t>
        </is>
      </c>
      <c r="D3" s="2" t="n">
        <v>46203</v>
      </c>
      <c r="E3" s="1" t="n">
        <v>474</v>
      </c>
      <c r="F3" s="1" t="n">
        <v>9</v>
      </c>
      <c r="G3" s="1" t="n">
        <v>31</v>
      </c>
      <c r="H3" s="1">
        <f>E3+F3-G3</f>
        <v/>
      </c>
      <c r="I3" s="1" t="inlineStr">
        <is>
          <t>E. Trantham</t>
        </is>
      </c>
      <c r="J3" s="1" t="inlineStr">
        <is>
          <t>Reconciled with note</t>
        </is>
      </c>
      <c r="K3" s="1" t="inlineStr">
        <is>
          <t>None</t>
        </is>
      </c>
    </row>
    <row r="4">
      <c r="A4" s="1" t="n">
        <v>3</v>
      </c>
      <c r="B4" s="1" t="inlineStr">
        <is>
          <t>Options outstanding, advisors</t>
        </is>
      </c>
      <c r="C4" s="1" t="inlineStr">
        <is>
          <t>Advisor grant form of agreement</t>
        </is>
      </c>
      <c r="D4" s="2" t="n">
        <v>46203</v>
      </c>
      <c r="E4" s="1" t="n">
        <v>336</v>
      </c>
      <c r="F4" s="1" t="n">
        <v>48</v>
      </c>
      <c r="G4" s="1" t="n">
        <v>21</v>
      </c>
      <c r="H4" s="1">
        <f>E4+F4-G4</f>
        <v/>
      </c>
      <c r="I4" s="1" t="inlineStr">
        <is>
          <t>P. Raghunathan</t>
        </is>
      </c>
      <c r="J4" s="1" t="inlineStr">
        <is>
          <t>Reconciled</t>
        </is>
      </c>
      <c r="K4" s="1" t="inlineStr">
        <is>
          <t>None</t>
        </is>
      </c>
    </row>
    <row r="5">
      <c r="A5" s="1" t="n">
        <v>4</v>
      </c>
      <c r="B5" s="1" t="inlineStr">
        <is>
          <t>Restricted stock units, time vesting</t>
        </is>
      </c>
      <c r="C5" s="1" t="inlineStr">
        <is>
          <t>2019 Equity Incentive Plan</t>
        </is>
      </c>
      <c r="D5" s="2" t="n">
        <v>46203</v>
      </c>
      <c r="E5" s="1" t="n">
        <v>409</v>
      </c>
      <c r="F5" s="1" t="n">
        <v>17</v>
      </c>
      <c r="G5" s="1" t="n">
        <v>11</v>
      </c>
      <c r="H5" s="1">
        <f>E5+F5-G5</f>
        <v/>
      </c>
      <c r="I5" s="1" t="inlineStr">
        <is>
          <t>O. Brackenbury</t>
        </is>
      </c>
      <c r="J5" s="1" t="inlineStr">
        <is>
          <t>Reconciled</t>
        </is>
      </c>
      <c r="K5" s="1" t="inlineStr">
        <is>
          <t>None</t>
        </is>
      </c>
    </row>
    <row r="6">
      <c r="A6" s="1" t="n">
        <v>5</v>
      </c>
      <c r="B6" s="1" t="inlineStr">
        <is>
          <t>Restricted stock units, performance</t>
        </is>
      </c>
      <c r="C6" s="1" t="inlineStr">
        <is>
          <t>Board certification resolutions</t>
        </is>
      </c>
      <c r="D6" s="2" t="n">
        <v>46203</v>
      </c>
      <c r="E6" s="1" t="n">
        <v>407</v>
      </c>
      <c r="F6" s="1" t="n">
        <v>17</v>
      </c>
      <c r="G6" s="1" t="n">
        <v>5</v>
      </c>
      <c r="H6" s="1">
        <f>E6+F6-G6</f>
        <v/>
      </c>
      <c r="I6" s="1" t="inlineStr">
        <is>
          <t>S. Aalto</t>
        </is>
      </c>
      <c r="J6" s="1" t="inlineStr">
        <is>
          <t>Reconciled</t>
        </is>
      </c>
      <c r="K6" s="1" t="inlineStr">
        <is>
          <t>Component definition changed in the current plan amendment</t>
        </is>
      </c>
    </row>
    <row r="7">
      <c r="A7" s="1" t="n">
        <v>6</v>
      </c>
      <c r="B7" s="1" t="inlineStr">
        <is>
          <t>Awards exercised in the period</t>
        </is>
      </c>
      <c r="C7" s="1" t="inlineStr">
        <is>
          <t>Exercise notices on file</t>
        </is>
      </c>
      <c r="D7" s="2" t="n">
        <v>46203</v>
      </c>
      <c r="E7" s="1" t="n">
        <v>317</v>
      </c>
      <c r="F7" s="1" t="n">
        <v>18</v>
      </c>
      <c r="G7" s="1" t="n">
        <v>19</v>
      </c>
      <c r="H7" s="1">
        <f>E7+F7-G7</f>
        <v/>
      </c>
      <c r="I7" s="1" t="inlineStr">
        <is>
          <t>P. Raghunathan</t>
        </is>
      </c>
      <c r="J7" s="1" t="inlineStr">
        <is>
          <t>Escalated to counsel</t>
        </is>
      </c>
      <c r="K7" s="1" t="inlineStr">
        <is>
          <t>Component definition changed in the current plan amendment</t>
        </is>
      </c>
    </row>
    <row r="8">
      <c r="A8" s="1" t="n">
        <v>7</v>
      </c>
      <c r="B8" s="1" t="inlineStr">
        <is>
          <t>Awards cancelled on termination</t>
        </is>
      </c>
      <c r="C8" s="1" t="inlineStr">
        <is>
          <t>Termination checklist file</t>
        </is>
      </c>
      <c r="D8" s="2" t="n">
        <v>46203</v>
      </c>
      <c r="E8" s="1" t="n">
        <v>384</v>
      </c>
      <c r="F8" s="1" t="n">
        <v>60</v>
      </c>
      <c r="G8" s="1" t="n">
        <v>10</v>
      </c>
      <c r="H8" s="1">
        <f>E8+F8-G8</f>
        <v/>
      </c>
      <c r="I8" s="1" t="inlineStr">
        <is>
          <t>E. Trantham</t>
        </is>
      </c>
      <c r="J8" s="1" t="inlineStr">
        <is>
          <t>Reconciled</t>
        </is>
      </c>
      <c r="K8" s="1" t="inlineStr">
        <is>
          <t>Counsel reviewing whether the component belongs in the reserve at all</t>
        </is>
      </c>
    </row>
    <row r="9">
      <c r="A9" s="1" t="n">
        <v>8</v>
      </c>
      <c r="B9" s="1" t="inlineStr">
        <is>
          <t>Awards forfeited without vesting</t>
        </is>
      </c>
      <c r="C9" s="1" t="inlineStr">
        <is>
          <t>Termination checklist file</t>
        </is>
      </c>
      <c r="D9" s="2" t="n">
        <v>46203</v>
      </c>
      <c r="E9" s="1" t="n">
        <v>97</v>
      </c>
      <c r="F9" s="1" t="n">
        <v>45</v>
      </c>
      <c r="G9" s="1" t="n">
        <v>30</v>
      </c>
      <c r="H9" s="1">
        <f>E9+F9-G9</f>
        <v/>
      </c>
      <c r="I9" s="1" t="inlineStr">
        <is>
          <t>S. Aalto</t>
        </is>
      </c>
      <c r="J9" s="1" t="inlineStr">
        <is>
          <t>Reconciled</t>
        </is>
      </c>
      <c r="K9" s="1" t="inlineStr">
        <is>
          <t>Two acceptance forms outstanding from the June cohort</t>
        </is>
      </c>
    </row>
    <row r="10">
      <c r="A10" s="1" t="n">
        <v>9</v>
      </c>
      <c r="B10" s="1" t="inlineStr">
        <is>
          <t>Awards repurchased by the Company</t>
        </is>
      </c>
      <c r="C10" s="1" t="inlineStr">
        <is>
          <t>Repurchase agreements</t>
        </is>
      </c>
      <c r="D10" s="2" t="n">
        <v>46203</v>
      </c>
      <c r="E10" s="1" t="n">
        <v>41</v>
      </c>
      <c r="F10" s="1" t="n">
        <v>49</v>
      </c>
      <c r="G10" s="1" t="n">
        <v>32</v>
      </c>
      <c r="H10" s="1">
        <f>E10+F10-G10</f>
        <v/>
      </c>
      <c r="I10" s="1" t="inlineStr">
        <is>
          <t>P. Raghunathan</t>
        </is>
      </c>
      <c r="J10" s="1" t="inlineStr">
        <is>
          <t>Reconciled</t>
        </is>
      </c>
      <c r="K10" s="1" t="inlineStr">
        <is>
          <t>None</t>
        </is>
      </c>
    </row>
    <row r="11">
      <c r="A11" s="1" t="n">
        <v>10</v>
      </c>
      <c r="B11" s="1" t="inlineStr">
        <is>
          <t>Inducement grants pending board action</t>
        </is>
      </c>
      <c r="C11" s="1" t="inlineStr">
        <is>
          <t>Draft consent package</t>
        </is>
      </c>
      <c r="D11" s="2" t="n">
        <v>46203</v>
      </c>
      <c r="E11" s="1" t="n">
        <v>35</v>
      </c>
      <c r="F11" s="1" t="n">
        <v>12</v>
      </c>
      <c r="G11" s="1" t="n">
        <v>13</v>
      </c>
      <c r="H11" s="1">
        <f>E11+F11-G11</f>
        <v/>
      </c>
      <c r="I11" s="1" t="inlineStr">
        <is>
          <t>E. Trantham</t>
        </is>
      </c>
      <c r="J11" s="1" t="inlineStr">
        <is>
          <t>Reconciled with note</t>
        </is>
      </c>
      <c r="K11" s="1" t="inlineStr">
        <is>
          <t>Component definition changed in the current plan amendment</t>
        </is>
      </c>
    </row>
    <row r="12">
      <c r="A12" s="1" t="n">
        <v>11</v>
      </c>
      <c r="B12" s="1" t="inlineStr">
        <is>
          <t>Grants approved but not yet documented</t>
        </is>
      </c>
      <c r="C12" s="1" t="inlineStr">
        <is>
          <t>Board consent minutes</t>
        </is>
      </c>
      <c r="D12" s="2" t="n">
        <v>46203</v>
      </c>
      <c r="E12" s="1" t="n">
        <v>305</v>
      </c>
      <c r="F12" s="1" t="n">
        <v>15</v>
      </c>
      <c r="G12" s="1" t="n">
        <v>18</v>
      </c>
      <c r="H12" s="1">
        <f>E12+F12-G12</f>
        <v/>
      </c>
      <c r="I12" s="1" t="inlineStr">
        <is>
          <t>P. Raghunathan</t>
        </is>
      </c>
      <c r="J12" s="1" t="inlineStr">
        <is>
          <t>Reconciled with note</t>
        </is>
      </c>
      <c r="K12" s="1" t="inlineStr">
        <is>
          <t>Two acceptance forms outstanding from the June cohort</t>
        </is>
      </c>
    </row>
    <row r="13">
      <c r="A13" s="1" t="n">
        <v>12</v>
      </c>
      <c r="B13" s="1" t="inlineStr">
        <is>
          <t>Grants documented but not yet accepted</t>
        </is>
      </c>
      <c r="C13" s="1" t="inlineStr">
        <is>
          <t>Award acceptance register</t>
        </is>
      </c>
      <c r="D13" s="2" t="n">
        <v>46203</v>
      </c>
      <c r="E13" s="1" t="n">
        <v>123</v>
      </c>
      <c r="F13" s="1" t="n">
        <v>74</v>
      </c>
      <c r="G13" s="1" t="n">
        <v>14</v>
      </c>
      <c r="H13" s="1">
        <f>E13+F13-G13</f>
        <v/>
      </c>
      <c r="I13" s="1" t="inlineStr">
        <is>
          <t>P. Raghunathan</t>
        </is>
      </c>
      <c r="J13" s="1" t="inlineStr">
        <is>
          <t>Reconciled with note</t>
        </is>
      </c>
      <c r="K13" s="1" t="inlineStr">
        <is>
          <t>Awaiting the transfer agent report for the quarter</t>
        </is>
      </c>
    </row>
    <row r="14">
      <c r="A14" s="1" t="n">
        <v>13</v>
      </c>
      <c r="B14" s="1" t="inlineStr">
        <is>
          <t>Grants with amended vesting schedules</t>
        </is>
      </c>
      <c r="C14" s="1" t="inlineStr">
        <is>
          <t>Amendment consents</t>
        </is>
      </c>
      <c r="D14" s="2" t="n">
        <v>46203</v>
      </c>
      <c r="E14" s="1" t="n">
        <v>456</v>
      </c>
      <c r="F14" s="1" t="n">
        <v>71</v>
      </c>
      <c r="G14" s="1" t="n">
        <v>29</v>
      </c>
      <c r="H14" s="1">
        <f>E14+F14-G14</f>
        <v/>
      </c>
      <c r="I14" s="1" t="inlineStr">
        <is>
          <t>P. Raghunathan</t>
        </is>
      </c>
      <c r="J14" s="1" t="inlineStr">
        <is>
          <t>Reconciled with note</t>
        </is>
      </c>
      <c r="K14" s="1" t="inlineStr">
        <is>
          <t>Component definition changed in the current plan amendment</t>
        </is>
      </c>
    </row>
    <row r="15">
      <c r="A15" s="1" t="n">
        <v>14</v>
      </c>
      <c r="B15" s="1" t="inlineStr">
        <is>
          <t>Grants subject to a leave-of-absence hold</t>
        </is>
      </c>
      <c r="C15" s="1" t="inlineStr">
        <is>
          <t>People operations records</t>
        </is>
      </c>
      <c r="D15" s="2" t="n">
        <v>46203</v>
      </c>
      <c r="E15" s="1" t="n">
        <v>314</v>
      </c>
      <c r="F15" s="1" t="n">
        <v>30</v>
      </c>
      <c r="G15" s="1" t="n">
        <v>28</v>
      </c>
      <c r="H15" s="1">
        <f>E15+F15-G15</f>
        <v/>
      </c>
      <c r="I15" s="1" t="inlineStr">
        <is>
          <t>S. Aalto</t>
        </is>
      </c>
      <c r="J15" s="1" t="inlineStr">
        <is>
          <t>Open</t>
        </is>
      </c>
      <c r="K15" s="1" t="inlineStr">
        <is>
          <t>None</t>
        </is>
      </c>
    </row>
    <row r="16">
      <c r="A16" s="1" t="n">
        <v>15</v>
      </c>
      <c r="B16" s="1" t="inlineStr">
        <is>
          <t>Grants under review for early exercise</t>
        </is>
      </c>
      <c r="C16" s="1" t="inlineStr">
        <is>
          <t>Early exercise elections</t>
        </is>
      </c>
      <c r="D16" s="2" t="n">
        <v>46203</v>
      </c>
      <c r="E16" s="1" t="n">
        <v>441</v>
      </c>
      <c r="F16" s="1" t="n">
        <v>47</v>
      </c>
      <c r="G16" s="1" t="n">
        <v>33</v>
      </c>
      <c r="H16" s="1">
        <f>E16+F16-G16</f>
        <v/>
      </c>
      <c r="I16" s="1" t="inlineStr">
        <is>
          <t>O. Brackenbury</t>
        </is>
      </c>
      <c r="J16" s="1" t="inlineStr">
        <is>
          <t>Reconciled</t>
        </is>
      </c>
      <c r="K16" s="1" t="inlineStr">
        <is>
          <t>Awaiting the transfer agent report for the quarter</t>
        </is>
      </c>
    </row>
    <row r="17">
      <c r="A17" s="1" t="n">
        <v>16</v>
      </c>
      <c r="B17" s="1" t="inlineStr">
        <is>
          <t>Grants issued under an assumed plan</t>
        </is>
      </c>
      <c r="C17" s="1" t="inlineStr">
        <is>
          <t>Plan assumption agreement</t>
        </is>
      </c>
      <c r="D17" s="2" t="n">
        <v>46203</v>
      </c>
      <c r="E17" s="1" t="n">
        <v>395</v>
      </c>
      <c r="F17" s="1" t="n">
        <v>43</v>
      </c>
      <c r="G17" s="1" t="n">
        <v>33</v>
      </c>
      <c r="H17" s="1">
        <f>E17+F17-G17</f>
        <v/>
      </c>
      <c r="I17" s="1" t="inlineStr">
        <is>
          <t>O. Brackenbury</t>
        </is>
      </c>
      <c r="J17" s="1" t="inlineStr">
        <is>
          <t>Reconciled</t>
        </is>
      </c>
      <c r="K17" s="1" t="inlineStr">
        <is>
          <t>None</t>
        </is>
      </c>
    </row>
    <row r="18">
      <c r="A18" s="1" t="n">
        <v>17</v>
      </c>
      <c r="B18" s="1" t="inlineStr">
        <is>
          <t>Awards held by former employees in exercise window</t>
        </is>
      </c>
      <c r="C18" s="1" t="inlineStr">
        <is>
          <t>Post-termination register</t>
        </is>
      </c>
      <c r="D18" s="2" t="n">
        <v>46203</v>
      </c>
      <c r="E18" s="1" t="n">
        <v>38</v>
      </c>
      <c r="F18" s="1" t="n">
        <v>28</v>
      </c>
      <c r="G18" s="1" t="n">
        <v>10</v>
      </c>
      <c r="H18" s="1">
        <f>E18+F18-G18</f>
        <v/>
      </c>
      <c r="I18" s="1" t="inlineStr">
        <is>
          <t>P. Raghunathan</t>
        </is>
      </c>
      <c r="J18" s="1" t="inlineStr">
        <is>
          <t>Reconciled</t>
        </is>
      </c>
      <c r="K18" s="1" t="inlineStr">
        <is>
          <t>Awaiting the transfer agent report for the quarter</t>
        </is>
      </c>
    </row>
    <row r="19">
      <c r="A19" s="1" t="n">
        <v>18</v>
      </c>
      <c r="B19" s="1" t="inlineStr">
        <is>
          <t>Awards held by international holders</t>
        </is>
      </c>
      <c r="C19" s="1" t="inlineStr">
        <is>
          <t>Country sub-plan appendices</t>
        </is>
      </c>
      <c r="D19" s="2" t="n">
        <v>46203</v>
      </c>
      <c r="E19" s="1" t="n">
        <v>212</v>
      </c>
      <c r="F19" s="1" t="n">
        <v>30</v>
      </c>
      <c r="G19" s="1" t="n">
        <v>5</v>
      </c>
      <c r="H19" s="1">
        <f>E19+F19-G19</f>
        <v/>
      </c>
      <c r="I19" s="1" t="inlineStr">
        <is>
          <t>S. Aalto</t>
        </is>
      </c>
      <c r="J19" s="1" t="inlineStr">
        <is>
          <t>Reconciled with note</t>
        </is>
      </c>
      <c r="K19" s="1" t="inlineStr">
        <is>
          <t>None</t>
        </is>
      </c>
    </row>
    <row r="20">
      <c r="A20" s="1" t="n">
        <v>19</v>
      </c>
      <c r="B20" s="1" t="inlineStr">
        <is>
          <t>Awards with tax withholding elections</t>
        </is>
      </c>
      <c r="C20" s="1" t="inlineStr">
        <is>
          <t>Withholding election forms</t>
        </is>
      </c>
      <c r="D20" s="2" t="n">
        <v>46203</v>
      </c>
      <c r="E20" s="1" t="n">
        <v>433</v>
      </c>
      <c r="F20" s="1" t="n">
        <v>50</v>
      </c>
      <c r="G20" s="1" t="n">
        <v>8</v>
      </c>
      <c r="H20" s="1">
        <f>E20+F20-G20</f>
        <v/>
      </c>
      <c r="I20" s="1" t="inlineStr">
        <is>
          <t>S. Aalto</t>
        </is>
      </c>
      <c r="J20" s="1" t="inlineStr">
        <is>
          <t>Escalated to counsel</t>
        </is>
      </c>
      <c r="K20" s="1" t="inlineStr">
        <is>
          <t>None</t>
        </is>
      </c>
    </row>
    <row r="21">
      <c r="A21" s="1" t="n">
        <v>20</v>
      </c>
      <c r="B21" s="1" t="inlineStr">
        <is>
          <t>Awards flagged for legal review</t>
        </is>
      </c>
      <c r="C21" s="1" t="inlineStr">
        <is>
          <t>Counsel review memorandum</t>
        </is>
      </c>
      <c r="D21" s="2" t="n">
        <v>46203</v>
      </c>
      <c r="E21" s="1" t="n">
        <v>6</v>
      </c>
      <c r="F21" s="1" t="n">
        <v>18</v>
      </c>
      <c r="G21" s="1" t="n">
        <v>2</v>
      </c>
      <c r="H21" s="1">
        <f>E21+F21-G21</f>
        <v/>
      </c>
      <c r="I21" s="1" t="inlineStr">
        <is>
          <t>E. Trantham</t>
        </is>
      </c>
      <c r="J21" s="1" t="inlineStr">
        <is>
          <t>Reconciled</t>
        </is>
      </c>
      <c r="K21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