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 Awards" sheetId="1" state="visible" r:id="rId1"/>
    <sheet xmlns:r="http://schemas.openxmlformats.org/officeDocument/2006/relationships" name="Commercial Awards" sheetId="2" state="visible" r:id="rId2"/>
    <sheet xmlns:r="http://schemas.openxmlformats.org/officeDocument/2006/relationships" name="Operations Awards" sheetId="3" state="visible" r:id="rId3"/>
    <sheet xmlns:r="http://schemas.openxmlformats.org/officeDocument/2006/relationships" name="Corporate Awards" sheetId="4" state="visible" r:id="rId4"/>
    <sheet xmlns:r="http://schemas.openxmlformats.org/officeDocument/2006/relationships" name="Terminated and Forfei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grant_id</t>
        </is>
      </c>
      <c r="B1" s="1" t="inlineStr">
        <is>
          <t>holder</t>
        </is>
      </c>
      <c r="C1" s="1" t="inlineStr">
        <is>
          <t>award_type</t>
        </is>
      </c>
      <c r="D1" s="1" t="inlineStr">
        <is>
          <t>grant_date</t>
        </is>
      </c>
      <c r="E1" s="1" t="inlineStr">
        <is>
          <t>vest_start</t>
        </is>
      </c>
      <c r="F1" s="1" t="inlineStr">
        <is>
          <t>cliff_months</t>
        </is>
      </c>
      <c r="G1" s="1" t="inlineStr">
        <is>
          <t>schedule</t>
        </is>
      </c>
      <c r="H1" s="1" t="inlineStr">
        <is>
          <t>tranche_no</t>
        </is>
      </c>
      <c r="I1" s="1" t="inlineStr">
        <is>
          <t>tranche_date</t>
        </is>
      </c>
      <c r="J1" s="1" t="inlineStr">
        <is>
          <t>tranche_quantity</t>
        </is>
      </c>
      <c r="K1" s="1" t="inlineStr">
        <is>
          <t>grant_quantity</t>
        </is>
      </c>
      <c r="L1" s="1" t="inlineStr">
        <is>
          <t>cumulative_vested</t>
        </is>
      </c>
      <c r="M1" s="1" t="inlineStr">
        <is>
          <t>unvested</t>
        </is>
      </c>
      <c r="N1" s="1" t="inlineStr">
        <is>
          <t>forfeited</t>
        </is>
      </c>
      <c r="O1" s="1" t="inlineStr">
        <is>
          <t>status</t>
        </is>
      </c>
    </row>
    <row r="2">
      <c r="A2" s="1" t="inlineStr">
        <is>
          <t>GR-2022-1001</t>
        </is>
      </c>
      <c r="B2" s="1" t="inlineStr">
        <is>
          <t>Devraj Iyer</t>
        </is>
      </c>
      <c r="C2" s="1" t="inlineStr">
        <is>
          <t>Restricted stock unit</t>
        </is>
      </c>
      <c r="D2" s="2" t="n">
        <v>44657</v>
      </c>
      <c r="E2" s="2" t="n">
        <v>44654</v>
      </c>
      <c r="F2" s="1" t="n">
        <v>12</v>
      </c>
      <c r="G2" s="1" t="inlineStr">
        <is>
          <t>48 months monthly after a 12-month cliff</t>
        </is>
      </c>
      <c r="H2" s="1" t="n">
        <v>1</v>
      </c>
      <c r="I2" s="2" t="n">
        <v>45019</v>
      </c>
      <c r="J2" s="1" t="n">
        <v>13565</v>
      </c>
      <c r="K2" s="1" t="n">
        <v>94957</v>
      </c>
      <c r="L2" s="1">
        <f>J2</f>
        <v/>
      </c>
      <c r="M2" s="1">
        <f>K2-L2</f>
        <v/>
      </c>
      <c r="N2" s="1" t="n">
        <v>0</v>
      </c>
      <c r="O2" s="1" t="inlineStr">
        <is>
          <t>Vested</t>
        </is>
      </c>
    </row>
    <row r="3">
      <c r="A3" s="1" t="inlineStr">
        <is>
          <t>GR-2022-1001</t>
        </is>
      </c>
      <c r="B3" s="1" t="inlineStr">
        <is>
          <t>Devraj Iyer</t>
        </is>
      </c>
      <c r="C3" s="1" t="inlineStr">
        <is>
          <t>Restricted stock unit</t>
        </is>
      </c>
      <c r="D3" s="2" t="n">
        <v>44657</v>
      </c>
      <c r="E3" s="2" t="n">
        <v>44654</v>
      </c>
      <c r="F3" s="1" t="n">
        <v>12</v>
      </c>
      <c r="G3" s="1" t="inlineStr">
        <is>
          <t>48 months monthly after a 12-month cliff</t>
        </is>
      </c>
      <c r="H3" s="1" t="n">
        <v>2</v>
      </c>
      <c r="I3" s="2" t="n">
        <v>45110</v>
      </c>
      <c r="J3" s="1" t="n">
        <v>13565</v>
      </c>
      <c r="K3" s="1" t="n">
        <v>94957</v>
      </c>
      <c r="L3" s="1">
        <f>L2+J3</f>
        <v/>
      </c>
      <c r="M3" s="1">
        <f>K3-L3</f>
        <v/>
      </c>
      <c r="N3" s="1" t="n">
        <v>0</v>
      </c>
      <c r="O3" s="1" t="inlineStr">
        <is>
          <t>Vested</t>
        </is>
      </c>
    </row>
    <row r="4">
      <c r="A4" s="1" t="inlineStr">
        <is>
          <t>GR-2022-1001</t>
        </is>
      </c>
      <c r="B4" s="1" t="inlineStr">
        <is>
          <t>Devraj Iyer</t>
        </is>
      </c>
      <c r="C4" s="1" t="inlineStr">
        <is>
          <t>Restricted stock unit</t>
        </is>
      </c>
      <c r="D4" s="2" t="n">
        <v>44657</v>
      </c>
      <c r="E4" s="2" t="n">
        <v>44654</v>
      </c>
      <c r="F4" s="1" t="n">
        <v>12</v>
      </c>
      <c r="G4" s="1" t="inlineStr">
        <is>
          <t>48 months monthly after a 12-month cliff</t>
        </is>
      </c>
      <c r="H4" s="1" t="n">
        <v>3</v>
      </c>
      <c r="I4" s="2" t="n">
        <v>45202</v>
      </c>
      <c r="J4" s="1" t="n">
        <v>13565</v>
      </c>
      <c r="K4" s="1" t="n">
        <v>94957</v>
      </c>
      <c r="L4" s="1">
        <f>L3+J4</f>
        <v/>
      </c>
      <c r="M4" s="1">
        <f>K4-L4</f>
        <v/>
      </c>
      <c r="N4" s="1" t="n">
        <v>0</v>
      </c>
      <c r="O4" s="1" t="inlineStr">
        <is>
          <t>Vested</t>
        </is>
      </c>
    </row>
    <row r="5">
      <c r="A5" s="1" t="inlineStr">
        <is>
          <t>GR-2022-1001</t>
        </is>
      </c>
      <c r="B5" s="1" t="inlineStr">
        <is>
          <t>Devraj Iyer</t>
        </is>
      </c>
      <c r="C5" s="1" t="inlineStr">
        <is>
          <t>Restricted stock unit</t>
        </is>
      </c>
      <c r="D5" s="2" t="n">
        <v>44657</v>
      </c>
      <c r="E5" s="2" t="n">
        <v>44654</v>
      </c>
      <c r="F5" s="1" t="n">
        <v>12</v>
      </c>
      <c r="G5" s="1" t="inlineStr">
        <is>
          <t>48 months monthly after a 12-month cliff</t>
        </is>
      </c>
      <c r="H5" s="1" t="n">
        <v>4</v>
      </c>
      <c r="I5" s="2" t="n">
        <v>45294</v>
      </c>
      <c r="J5" s="1" t="n">
        <v>13565</v>
      </c>
      <c r="K5" s="1" t="n">
        <v>94957</v>
      </c>
      <c r="L5" s="1">
        <f>L4+J5</f>
        <v/>
      </c>
      <c r="M5" s="1">
        <f>K5-L5</f>
        <v/>
      </c>
      <c r="N5" s="1" t="n">
        <v>0</v>
      </c>
      <c r="O5" s="1" t="inlineStr">
        <is>
          <t>Vested</t>
        </is>
      </c>
    </row>
    <row r="6">
      <c r="A6" s="1" t="inlineStr">
        <is>
          <t>GR-2022-1001</t>
        </is>
      </c>
      <c r="B6" s="1" t="inlineStr">
        <is>
          <t>Devraj Iyer</t>
        </is>
      </c>
      <c r="C6" s="1" t="inlineStr">
        <is>
          <t>Restricted stock unit</t>
        </is>
      </c>
      <c r="D6" s="2" t="n">
        <v>44657</v>
      </c>
      <c r="E6" s="2" t="n">
        <v>44654</v>
      </c>
      <c r="F6" s="1" t="n">
        <v>12</v>
      </c>
      <c r="G6" s="1" t="inlineStr">
        <is>
          <t>48 months monthly after a 12-month cliff</t>
        </is>
      </c>
      <c r="H6" s="1" t="n">
        <v>5</v>
      </c>
      <c r="I6" s="2" t="n">
        <v>45385</v>
      </c>
      <c r="J6" s="1" t="n">
        <v>13565</v>
      </c>
      <c r="K6" s="1" t="n">
        <v>94957</v>
      </c>
      <c r="L6" s="1">
        <f>L5+J6</f>
        <v/>
      </c>
      <c r="M6" s="1">
        <f>K6-L6</f>
        <v/>
      </c>
      <c r="N6" s="1" t="n">
        <v>0</v>
      </c>
      <c r="O6" s="1" t="inlineStr">
        <is>
          <t>Vested</t>
        </is>
      </c>
    </row>
    <row r="7">
      <c r="A7" s="1" t="inlineStr">
        <is>
          <t>GR-2022-1001</t>
        </is>
      </c>
      <c r="B7" s="1" t="inlineStr">
        <is>
          <t>Devraj Iyer</t>
        </is>
      </c>
      <c r="C7" s="1" t="inlineStr">
        <is>
          <t>Restricted stock unit</t>
        </is>
      </c>
      <c r="D7" s="2" t="n">
        <v>44657</v>
      </c>
      <c r="E7" s="2" t="n">
        <v>44654</v>
      </c>
      <c r="F7" s="1" t="n">
        <v>12</v>
      </c>
      <c r="G7" s="1" t="inlineStr">
        <is>
          <t>48 months monthly after a 12-month cliff</t>
        </is>
      </c>
      <c r="H7" s="1" t="n">
        <v>6</v>
      </c>
      <c r="I7" s="2" t="n">
        <v>45476</v>
      </c>
      <c r="J7" s="1" t="n">
        <v>13565</v>
      </c>
      <c r="K7" s="1" t="n">
        <v>94957</v>
      </c>
      <c r="L7" s="1">
        <f>L6+J7</f>
        <v/>
      </c>
      <c r="M7" s="1">
        <f>K7-L7</f>
        <v/>
      </c>
      <c r="N7" s="1" t="n">
        <v>0</v>
      </c>
      <c r="O7" s="1" t="inlineStr">
        <is>
          <t>Vested</t>
        </is>
      </c>
    </row>
    <row r="8">
      <c r="A8" s="1" t="inlineStr">
        <is>
          <t>GR-2022-1001</t>
        </is>
      </c>
      <c r="B8" s="1" t="inlineStr">
        <is>
          <t>Devraj Iyer</t>
        </is>
      </c>
      <c r="C8" s="1" t="inlineStr">
        <is>
          <t>Restricted stock unit</t>
        </is>
      </c>
      <c r="D8" s="2" t="n">
        <v>44657</v>
      </c>
      <c r="E8" s="2" t="n">
        <v>44654</v>
      </c>
      <c r="F8" s="1" t="n">
        <v>12</v>
      </c>
      <c r="G8" s="1" t="inlineStr">
        <is>
          <t>48 months monthly after a 12-month cliff</t>
        </is>
      </c>
      <c r="H8" s="1" t="n">
        <v>7</v>
      </c>
      <c r="I8" s="2" t="n">
        <v>45568</v>
      </c>
      <c r="J8" s="1" t="n">
        <v>13567</v>
      </c>
      <c r="K8" s="1" t="n">
        <v>94957</v>
      </c>
      <c r="L8" s="1">
        <f>L7+J8</f>
        <v/>
      </c>
      <c r="M8" s="1">
        <f>K8-L8</f>
        <v/>
      </c>
      <c r="N8" s="1" t="n">
        <v>0</v>
      </c>
      <c r="O8" s="1" t="inlineStr">
        <is>
          <t>Vested</t>
        </is>
      </c>
    </row>
    <row r="9">
      <c r="A9" s="1" t="inlineStr">
        <is>
          <t>GR-2022-1002</t>
        </is>
      </c>
      <c r="B9" s="1" t="inlineStr">
        <is>
          <t>Freya Lindstrom</t>
        </is>
      </c>
      <c r="C9" s="1" t="inlineStr">
        <is>
          <t>Incentive stock option</t>
        </is>
      </c>
      <c r="D9" s="2" t="n">
        <v>44902</v>
      </c>
      <c r="E9" s="2" t="n">
        <v>44857</v>
      </c>
      <c r="F9" s="1" t="n">
        <v>12</v>
      </c>
      <c r="G9" s="1" t="inlineStr">
        <is>
          <t>16 quarterly tranches</t>
        </is>
      </c>
      <c r="H9" s="1" t="n">
        <v>1</v>
      </c>
      <c r="I9" s="2" t="n">
        <v>45222</v>
      </c>
      <c r="J9" s="1" t="n">
        <v>12363</v>
      </c>
      <c r="K9" s="1" t="n">
        <v>74179</v>
      </c>
      <c r="L9" s="1">
        <f>J9</f>
        <v/>
      </c>
      <c r="M9" s="1">
        <f>K9-L9</f>
        <v/>
      </c>
      <c r="N9" s="1" t="n">
        <v>0</v>
      </c>
      <c r="O9" s="1" t="inlineStr">
        <is>
          <t>Vested</t>
        </is>
      </c>
    </row>
    <row r="10">
      <c r="A10" s="1" t="inlineStr">
        <is>
          <t>GR-2022-1002</t>
        </is>
      </c>
      <c r="B10" s="1" t="inlineStr">
        <is>
          <t>Freya Lindstrom</t>
        </is>
      </c>
      <c r="C10" s="1" t="inlineStr">
        <is>
          <t>Incentive stock option</t>
        </is>
      </c>
      <c r="D10" s="2" t="n">
        <v>44902</v>
      </c>
      <c r="E10" s="2" t="n">
        <v>44857</v>
      </c>
      <c r="F10" s="1" t="n">
        <v>12</v>
      </c>
      <c r="G10" s="1" t="inlineStr">
        <is>
          <t>16 quarterly tranches</t>
        </is>
      </c>
      <c r="H10" s="1" t="n">
        <v>2</v>
      </c>
      <c r="I10" s="2" t="n">
        <v>45314</v>
      </c>
      <c r="J10" s="1" t="n">
        <v>12363</v>
      </c>
      <c r="K10" s="1" t="n">
        <v>74179</v>
      </c>
      <c r="L10" s="1">
        <f>L9+J10</f>
        <v/>
      </c>
      <c r="M10" s="1">
        <f>K10-L10</f>
        <v/>
      </c>
      <c r="N10" s="1" t="n">
        <v>0</v>
      </c>
      <c r="O10" s="1" t="inlineStr">
        <is>
          <t>Vested</t>
        </is>
      </c>
    </row>
    <row r="11">
      <c r="A11" s="1" t="inlineStr">
        <is>
          <t>GR-2022-1002</t>
        </is>
      </c>
      <c r="B11" s="1" t="inlineStr">
        <is>
          <t>Freya Lindstrom</t>
        </is>
      </c>
      <c r="C11" s="1" t="inlineStr">
        <is>
          <t>Incentive stock option</t>
        </is>
      </c>
      <c r="D11" s="2" t="n">
        <v>44902</v>
      </c>
      <c r="E11" s="2" t="n">
        <v>44857</v>
      </c>
      <c r="F11" s="1" t="n">
        <v>12</v>
      </c>
      <c r="G11" s="1" t="inlineStr">
        <is>
          <t>16 quarterly tranches</t>
        </is>
      </c>
      <c r="H11" s="1" t="n">
        <v>3</v>
      </c>
      <c r="I11" s="2" t="n">
        <v>45405</v>
      </c>
      <c r="J11" s="1" t="n">
        <v>12363</v>
      </c>
      <c r="K11" s="1" t="n">
        <v>74179</v>
      </c>
      <c r="L11" s="1">
        <f>L10+J11</f>
        <v/>
      </c>
      <c r="M11" s="1">
        <f>K11-L11</f>
        <v/>
      </c>
      <c r="N11" s="1" t="n">
        <v>0</v>
      </c>
      <c r="O11" s="1" t="inlineStr">
        <is>
          <t>Vested</t>
        </is>
      </c>
    </row>
    <row r="12">
      <c r="A12" s="1" t="inlineStr">
        <is>
          <t>GR-2022-1002</t>
        </is>
      </c>
      <c r="B12" s="1" t="inlineStr">
        <is>
          <t>Freya Lindstrom</t>
        </is>
      </c>
      <c r="C12" s="1" t="inlineStr">
        <is>
          <t>Incentive stock option</t>
        </is>
      </c>
      <c r="D12" s="2" t="n">
        <v>44902</v>
      </c>
      <c r="E12" s="2" t="n">
        <v>44857</v>
      </c>
      <c r="F12" s="1" t="n">
        <v>12</v>
      </c>
      <c r="G12" s="1" t="inlineStr">
        <is>
          <t>16 quarterly tranches</t>
        </is>
      </c>
      <c r="H12" s="1" t="n">
        <v>4</v>
      </c>
      <c r="I12" s="2" t="n">
        <v>45496</v>
      </c>
      <c r="J12" s="1" t="n">
        <v>12363</v>
      </c>
      <c r="K12" s="1" t="n">
        <v>74179</v>
      </c>
      <c r="L12" s="1">
        <f>L11+J12</f>
        <v/>
      </c>
      <c r="M12" s="1">
        <f>K12-L12</f>
        <v/>
      </c>
      <c r="N12" s="1" t="n">
        <v>0</v>
      </c>
      <c r="O12" s="1" t="inlineStr">
        <is>
          <t>Vested</t>
        </is>
      </c>
    </row>
    <row r="13">
      <c r="A13" s="1" t="inlineStr">
        <is>
          <t>GR-2022-1002</t>
        </is>
      </c>
      <c r="B13" s="1" t="inlineStr">
        <is>
          <t>Freya Lindstrom</t>
        </is>
      </c>
      <c r="C13" s="1" t="inlineStr">
        <is>
          <t>Incentive stock option</t>
        </is>
      </c>
      <c r="D13" s="2" t="n">
        <v>44902</v>
      </c>
      <c r="E13" s="2" t="n">
        <v>44857</v>
      </c>
      <c r="F13" s="1" t="n">
        <v>12</v>
      </c>
      <c r="G13" s="1" t="inlineStr">
        <is>
          <t>16 quarterly tranches</t>
        </is>
      </c>
      <c r="H13" s="1" t="n">
        <v>5</v>
      </c>
      <c r="I13" s="2" t="n">
        <v>45588</v>
      </c>
      <c r="J13" s="1" t="n">
        <v>12363</v>
      </c>
      <c r="K13" s="1" t="n">
        <v>74179</v>
      </c>
      <c r="L13" s="1">
        <f>L12+J13</f>
        <v/>
      </c>
      <c r="M13" s="1">
        <f>K13-L13</f>
        <v/>
      </c>
      <c r="N13" s="1" t="n">
        <v>0</v>
      </c>
      <c r="O13" s="1" t="inlineStr">
        <is>
          <t>Vested</t>
        </is>
      </c>
    </row>
    <row r="14">
      <c r="A14" s="1" t="inlineStr">
        <is>
          <t>GR-2022-1002</t>
        </is>
      </c>
      <c r="B14" s="1" t="inlineStr">
        <is>
          <t>Freya Lindstrom</t>
        </is>
      </c>
      <c r="C14" s="1" t="inlineStr">
        <is>
          <t>Incentive stock option</t>
        </is>
      </c>
      <c r="D14" s="2" t="n">
        <v>44902</v>
      </c>
      <c r="E14" s="2" t="n">
        <v>44857</v>
      </c>
      <c r="F14" s="1" t="n">
        <v>12</v>
      </c>
      <c r="G14" s="1" t="inlineStr">
        <is>
          <t>16 quarterly tranches</t>
        </is>
      </c>
      <c r="H14" s="1" t="n">
        <v>6</v>
      </c>
      <c r="I14" s="2" t="n">
        <v>45680</v>
      </c>
      <c r="J14" s="1" t="n">
        <v>12364</v>
      </c>
      <c r="K14" s="1" t="n">
        <v>74179</v>
      </c>
      <c r="L14" s="1">
        <f>L13+J14</f>
        <v/>
      </c>
      <c r="M14" s="1">
        <f>K14-L14</f>
        <v/>
      </c>
      <c r="N14" s="1" t="n">
        <v>0</v>
      </c>
      <c r="O14" s="1" t="inlineStr">
        <is>
          <t>Vested</t>
        </is>
      </c>
    </row>
    <row r="15">
      <c r="A15" s="1" t="inlineStr">
        <is>
          <t>GR-2025-1003</t>
        </is>
      </c>
      <c r="B15" s="1" t="inlineStr">
        <is>
          <t>Leandra Ossipova</t>
        </is>
      </c>
      <c r="C15" s="1" t="inlineStr">
        <is>
          <t>Performance stock unit</t>
        </is>
      </c>
      <c r="D15" s="2" t="n">
        <v>46010</v>
      </c>
      <c r="E15" s="2" t="n">
        <v>45987</v>
      </c>
      <c r="F15" s="1" t="n">
        <v>0</v>
      </c>
      <c r="G15" s="1" t="inlineStr">
        <is>
          <t>16 quarterly tranches</t>
        </is>
      </c>
      <c r="H15" s="1" t="n">
        <v>1</v>
      </c>
      <c r="I15" s="2" t="n">
        <v>45987</v>
      </c>
      <c r="J15" s="1" t="n">
        <v>2596</v>
      </c>
      <c r="K15" s="1" t="n">
        <v>20768</v>
      </c>
      <c r="L15" s="1">
        <f>J15</f>
        <v/>
      </c>
      <c r="M15" s="1">
        <f>K15-L15</f>
        <v/>
      </c>
      <c r="N15" s="1" t="n">
        <v>0</v>
      </c>
      <c r="O15" s="1" t="inlineStr">
        <is>
          <t>Vested</t>
        </is>
      </c>
    </row>
    <row r="16">
      <c r="A16" s="1" t="inlineStr">
        <is>
          <t>GR-2025-1003</t>
        </is>
      </c>
      <c r="B16" s="1" t="inlineStr">
        <is>
          <t>Leandra Ossipova</t>
        </is>
      </c>
      <c r="C16" s="1" t="inlineStr">
        <is>
          <t>Performance stock unit</t>
        </is>
      </c>
      <c r="D16" s="2" t="n">
        <v>46010</v>
      </c>
      <c r="E16" s="2" t="n">
        <v>45987</v>
      </c>
      <c r="F16" s="1" t="n">
        <v>0</v>
      </c>
      <c r="G16" s="1" t="inlineStr">
        <is>
          <t>16 quarterly tranches</t>
        </is>
      </c>
      <c r="H16" s="1" t="n">
        <v>2</v>
      </c>
      <c r="I16" s="2" t="n">
        <v>46079</v>
      </c>
      <c r="J16" s="1" t="n">
        <v>2596</v>
      </c>
      <c r="K16" s="1" t="n">
        <v>20768</v>
      </c>
      <c r="L16" s="1">
        <f>L15+J16</f>
        <v/>
      </c>
      <c r="M16" s="1">
        <f>K16-L16</f>
        <v/>
      </c>
      <c r="N16" s="1" t="n">
        <v>0</v>
      </c>
      <c r="O16" s="1" t="inlineStr">
        <is>
          <t>Vested</t>
        </is>
      </c>
    </row>
    <row r="17">
      <c r="A17" s="1" t="inlineStr">
        <is>
          <t>GR-2025-1003</t>
        </is>
      </c>
      <c r="B17" s="1" t="inlineStr">
        <is>
          <t>Leandra Ossipova</t>
        </is>
      </c>
      <c r="C17" s="1" t="inlineStr">
        <is>
          <t>Performance stock unit</t>
        </is>
      </c>
      <c r="D17" s="2" t="n">
        <v>46010</v>
      </c>
      <c r="E17" s="2" t="n">
        <v>45987</v>
      </c>
      <c r="F17" s="1" t="n">
        <v>0</v>
      </c>
      <c r="G17" s="1" t="inlineStr">
        <is>
          <t>16 quarterly tranches</t>
        </is>
      </c>
      <c r="H17" s="1" t="n">
        <v>3</v>
      </c>
      <c r="I17" s="2" t="n">
        <v>46168</v>
      </c>
      <c r="J17" s="1" t="n">
        <v>2596</v>
      </c>
      <c r="K17" s="1" t="n">
        <v>20768</v>
      </c>
      <c r="L17" s="1">
        <f>L16+J17</f>
        <v/>
      </c>
      <c r="M17" s="1">
        <f>K17-L17</f>
        <v/>
      </c>
      <c r="N17" s="1" t="n">
        <v>0</v>
      </c>
      <c r="O17" s="1" t="inlineStr">
        <is>
          <t>Vested</t>
        </is>
      </c>
    </row>
    <row r="18">
      <c r="A18" s="1" t="inlineStr">
        <is>
          <t>GR-2025-1003</t>
        </is>
      </c>
      <c r="B18" s="1" t="inlineStr">
        <is>
          <t>Leandra Ossipova</t>
        </is>
      </c>
      <c r="C18" s="1" t="inlineStr">
        <is>
          <t>Performance stock unit</t>
        </is>
      </c>
      <c r="D18" s="2" t="n">
        <v>46010</v>
      </c>
      <c r="E18" s="2" t="n">
        <v>45987</v>
      </c>
      <c r="F18" s="1" t="n">
        <v>0</v>
      </c>
      <c r="G18" s="1" t="inlineStr">
        <is>
          <t>16 quarterly tranches</t>
        </is>
      </c>
      <c r="H18" s="1" t="n">
        <v>4</v>
      </c>
      <c r="I18" s="2" t="n">
        <v>46260</v>
      </c>
      <c r="J18" s="1" t="n">
        <v>2596</v>
      </c>
      <c r="K18" s="1" t="n">
        <v>20768</v>
      </c>
      <c r="L18" s="1">
        <f>L17+J18</f>
        <v/>
      </c>
      <c r="M18" s="1">
        <f>K18-L18</f>
        <v/>
      </c>
      <c r="N18" s="1" t="n">
        <v>0</v>
      </c>
      <c r="O18" s="1" t="inlineStr">
        <is>
          <t>Unvested</t>
        </is>
      </c>
    </row>
    <row r="19">
      <c r="A19" s="1" t="inlineStr">
        <is>
          <t>GR-2025-1003</t>
        </is>
      </c>
      <c r="B19" s="1" t="inlineStr">
        <is>
          <t>Leandra Ossipova</t>
        </is>
      </c>
      <c r="C19" s="1" t="inlineStr">
        <is>
          <t>Performance stock unit</t>
        </is>
      </c>
      <c r="D19" s="2" t="n">
        <v>46010</v>
      </c>
      <c r="E19" s="2" t="n">
        <v>45987</v>
      </c>
      <c r="F19" s="1" t="n">
        <v>0</v>
      </c>
      <c r="G19" s="1" t="inlineStr">
        <is>
          <t>16 quarterly tranches</t>
        </is>
      </c>
      <c r="H19" s="1" t="n">
        <v>5</v>
      </c>
      <c r="I19" s="2" t="n">
        <v>46352</v>
      </c>
      <c r="J19" s="1" t="n">
        <v>2596</v>
      </c>
      <c r="K19" s="1" t="n">
        <v>20768</v>
      </c>
      <c r="L19" s="1">
        <f>L18+J19</f>
        <v/>
      </c>
      <c r="M19" s="1">
        <f>K19-L19</f>
        <v/>
      </c>
      <c r="N19" s="1" t="n">
        <v>0</v>
      </c>
      <c r="O19" s="1" t="inlineStr">
        <is>
          <t>Unvested</t>
        </is>
      </c>
    </row>
    <row r="20">
      <c r="A20" s="1" t="inlineStr">
        <is>
          <t>GR-2025-1003</t>
        </is>
      </c>
      <c r="B20" s="1" t="inlineStr">
        <is>
          <t>Leandra Ossipova</t>
        </is>
      </c>
      <c r="C20" s="1" t="inlineStr">
        <is>
          <t>Performance stock unit</t>
        </is>
      </c>
      <c r="D20" s="2" t="n">
        <v>46010</v>
      </c>
      <c r="E20" s="2" t="n">
        <v>45987</v>
      </c>
      <c r="F20" s="1" t="n">
        <v>0</v>
      </c>
      <c r="G20" s="1" t="inlineStr">
        <is>
          <t>16 quarterly tranches</t>
        </is>
      </c>
      <c r="H20" s="1" t="n">
        <v>6</v>
      </c>
      <c r="I20" s="2" t="n">
        <v>46444</v>
      </c>
      <c r="J20" s="1" t="n">
        <v>2596</v>
      </c>
      <c r="K20" s="1" t="n">
        <v>20768</v>
      </c>
      <c r="L20" s="1">
        <f>L19+J20</f>
        <v/>
      </c>
      <c r="M20" s="1">
        <f>K20-L20</f>
        <v/>
      </c>
      <c r="N20" s="1" t="n">
        <v>0</v>
      </c>
      <c r="O20" s="1" t="inlineStr">
        <is>
          <t>Unvested</t>
        </is>
      </c>
    </row>
    <row r="21">
      <c r="A21" s="1" t="inlineStr">
        <is>
          <t>GR-2025-1003</t>
        </is>
      </c>
      <c r="B21" s="1" t="inlineStr">
        <is>
          <t>Leandra Ossipova</t>
        </is>
      </c>
      <c r="C21" s="1" t="inlineStr">
        <is>
          <t>Performance stock unit</t>
        </is>
      </c>
      <c r="D21" s="2" t="n">
        <v>46010</v>
      </c>
      <c r="E21" s="2" t="n">
        <v>45987</v>
      </c>
      <c r="F21" s="1" t="n">
        <v>0</v>
      </c>
      <c r="G21" s="1" t="inlineStr">
        <is>
          <t>16 quarterly tranches</t>
        </is>
      </c>
      <c r="H21" s="1" t="n">
        <v>7</v>
      </c>
      <c r="I21" s="2" t="n">
        <v>46533</v>
      </c>
      <c r="J21" s="1" t="n">
        <v>2596</v>
      </c>
      <c r="K21" s="1" t="n">
        <v>20768</v>
      </c>
      <c r="L21" s="1">
        <f>L20+J21</f>
        <v/>
      </c>
      <c r="M21" s="1">
        <f>K21-L21</f>
        <v/>
      </c>
      <c r="N21" s="1" t="n">
        <v>0</v>
      </c>
      <c r="O21" s="1" t="inlineStr">
        <is>
          <t>Unvested</t>
        </is>
      </c>
    </row>
    <row r="22">
      <c r="A22" s="1" t="inlineStr">
        <is>
          <t>GR-2025-1003</t>
        </is>
      </c>
      <c r="B22" s="1" t="inlineStr">
        <is>
          <t>Leandra Ossipova</t>
        </is>
      </c>
      <c r="C22" s="1" t="inlineStr">
        <is>
          <t>Performance stock unit</t>
        </is>
      </c>
      <c r="D22" s="2" t="n">
        <v>46010</v>
      </c>
      <c r="E22" s="2" t="n">
        <v>45987</v>
      </c>
      <c r="F22" s="1" t="n">
        <v>0</v>
      </c>
      <c r="G22" s="1" t="inlineStr">
        <is>
          <t>16 quarterly tranches</t>
        </is>
      </c>
      <c r="H22" s="1" t="n">
        <v>8</v>
      </c>
      <c r="I22" s="2" t="n">
        <v>46625</v>
      </c>
      <c r="J22" s="1" t="n">
        <v>2596</v>
      </c>
      <c r="K22" s="1" t="n">
        <v>20768</v>
      </c>
      <c r="L22" s="1">
        <f>L21+J22</f>
        <v/>
      </c>
      <c r="M22" s="1">
        <f>K22-L22</f>
        <v/>
      </c>
      <c r="N22" s="1" t="n">
        <v>0</v>
      </c>
      <c r="O22" s="1" t="inlineStr">
        <is>
          <t>Unvested</t>
        </is>
      </c>
    </row>
    <row r="23">
      <c r="A23" s="1" t="inlineStr">
        <is>
          <t>GR-2022-1004</t>
        </is>
      </c>
      <c r="B23" s="1" t="inlineStr">
        <is>
          <t>Marcus Oyelaran</t>
        </is>
      </c>
      <c r="C23" s="1" t="inlineStr">
        <is>
          <t>Performance stock unit</t>
        </is>
      </c>
      <c r="D23" s="2" t="n">
        <v>44729</v>
      </c>
      <c r="E23" s="2" t="n">
        <v>44659</v>
      </c>
      <c r="F23" s="1" t="n">
        <v>12</v>
      </c>
      <c r="G23" s="1" t="inlineStr">
        <is>
          <t>48 months monthly after a 12-month cliff</t>
        </is>
      </c>
      <c r="H23" s="1" t="n">
        <v>1</v>
      </c>
      <c r="I23" s="2" t="n">
        <v>45024</v>
      </c>
      <c r="J23" s="1" t="n">
        <v>10227</v>
      </c>
      <c r="K23" s="1" t="n">
        <v>81819</v>
      </c>
      <c r="L23" s="1">
        <f>J23</f>
        <v/>
      </c>
      <c r="M23" s="1">
        <f>K23-L23</f>
        <v/>
      </c>
      <c r="N23" s="1" t="n">
        <v>0</v>
      </c>
      <c r="O23" s="1" t="inlineStr">
        <is>
          <t>Vested</t>
        </is>
      </c>
    </row>
    <row r="24">
      <c r="A24" s="1" t="inlineStr">
        <is>
          <t>GR-2022-1004</t>
        </is>
      </c>
      <c r="B24" s="1" t="inlineStr">
        <is>
          <t>Marcus Oyelaran</t>
        </is>
      </c>
      <c r="C24" s="1" t="inlineStr">
        <is>
          <t>Performance stock unit</t>
        </is>
      </c>
      <c r="D24" s="2" t="n">
        <v>44729</v>
      </c>
      <c r="E24" s="2" t="n">
        <v>44659</v>
      </c>
      <c r="F24" s="1" t="n">
        <v>12</v>
      </c>
      <c r="G24" s="1" t="inlineStr">
        <is>
          <t>48 months monthly after a 12-month cliff</t>
        </is>
      </c>
      <c r="H24" s="1" t="n">
        <v>2</v>
      </c>
      <c r="I24" s="2" t="n">
        <v>45115</v>
      </c>
      <c r="J24" s="1" t="n">
        <v>10227</v>
      </c>
      <c r="K24" s="1" t="n">
        <v>81819</v>
      </c>
      <c r="L24" s="1">
        <f>L23+J24</f>
        <v/>
      </c>
      <c r="M24" s="1">
        <f>K24-L24</f>
        <v/>
      </c>
      <c r="N24" s="1" t="n">
        <v>0</v>
      </c>
      <c r="O24" s="1" t="inlineStr">
        <is>
          <t>Vested</t>
        </is>
      </c>
    </row>
    <row r="25">
      <c r="A25" s="1" t="inlineStr">
        <is>
          <t>GR-2022-1004</t>
        </is>
      </c>
      <c r="B25" s="1" t="inlineStr">
        <is>
          <t>Marcus Oyelaran</t>
        </is>
      </c>
      <c r="C25" s="1" t="inlineStr">
        <is>
          <t>Performance stock unit</t>
        </is>
      </c>
      <c r="D25" s="2" t="n">
        <v>44729</v>
      </c>
      <c r="E25" s="2" t="n">
        <v>44659</v>
      </c>
      <c r="F25" s="1" t="n">
        <v>12</v>
      </c>
      <c r="G25" s="1" t="inlineStr">
        <is>
          <t>48 months monthly after a 12-month cliff</t>
        </is>
      </c>
      <c r="H25" s="1" t="n">
        <v>3</v>
      </c>
      <c r="I25" s="2" t="n">
        <v>45207</v>
      </c>
      <c r="J25" s="1" t="n">
        <v>10227</v>
      </c>
      <c r="K25" s="1" t="n">
        <v>81819</v>
      </c>
      <c r="L25" s="1">
        <f>L24+J25</f>
        <v/>
      </c>
      <c r="M25" s="1">
        <f>K25-L25</f>
        <v/>
      </c>
      <c r="N25" s="1" t="n">
        <v>0</v>
      </c>
      <c r="O25" s="1" t="inlineStr">
        <is>
          <t>Vested</t>
        </is>
      </c>
    </row>
    <row r="26">
      <c r="A26" s="1" t="inlineStr">
        <is>
          <t>GR-2022-1004</t>
        </is>
      </c>
      <c r="B26" s="1" t="inlineStr">
        <is>
          <t>Marcus Oyelaran</t>
        </is>
      </c>
      <c r="C26" s="1" t="inlineStr">
        <is>
          <t>Performance stock unit</t>
        </is>
      </c>
      <c r="D26" s="2" t="n">
        <v>44729</v>
      </c>
      <c r="E26" s="2" t="n">
        <v>44659</v>
      </c>
      <c r="F26" s="1" t="n">
        <v>12</v>
      </c>
      <c r="G26" s="1" t="inlineStr">
        <is>
          <t>48 months monthly after a 12-month cliff</t>
        </is>
      </c>
      <c r="H26" s="1" t="n">
        <v>4</v>
      </c>
      <c r="I26" s="2" t="n">
        <v>45299</v>
      </c>
      <c r="J26" s="1" t="n">
        <v>10227</v>
      </c>
      <c r="K26" s="1" t="n">
        <v>81819</v>
      </c>
      <c r="L26" s="1">
        <f>L25+J26</f>
        <v/>
      </c>
      <c r="M26" s="1">
        <f>K26-L26</f>
        <v/>
      </c>
      <c r="N26" s="1" t="n">
        <v>0</v>
      </c>
      <c r="O26" s="1" t="inlineStr">
        <is>
          <t>Vested</t>
        </is>
      </c>
    </row>
    <row r="27">
      <c r="A27" s="1" t="inlineStr">
        <is>
          <t>GR-2022-1004</t>
        </is>
      </c>
      <c r="B27" s="1" t="inlineStr">
        <is>
          <t>Marcus Oyelaran</t>
        </is>
      </c>
      <c r="C27" s="1" t="inlineStr">
        <is>
          <t>Performance stock unit</t>
        </is>
      </c>
      <c r="D27" s="2" t="n">
        <v>44729</v>
      </c>
      <c r="E27" s="2" t="n">
        <v>44659</v>
      </c>
      <c r="F27" s="1" t="n">
        <v>12</v>
      </c>
      <c r="G27" s="1" t="inlineStr">
        <is>
          <t>48 months monthly after a 12-month cliff</t>
        </is>
      </c>
      <c r="H27" s="1" t="n">
        <v>5</v>
      </c>
      <c r="I27" s="2" t="n">
        <v>45390</v>
      </c>
      <c r="J27" s="1" t="n">
        <v>10227</v>
      </c>
      <c r="K27" s="1" t="n">
        <v>81819</v>
      </c>
      <c r="L27" s="1">
        <f>L26+J27</f>
        <v/>
      </c>
      <c r="M27" s="1">
        <f>K27-L27</f>
        <v/>
      </c>
      <c r="N27" s="1" t="n">
        <v>0</v>
      </c>
      <c r="O27" s="1" t="inlineStr">
        <is>
          <t>Vested</t>
        </is>
      </c>
    </row>
    <row r="28">
      <c r="A28" s="1" t="inlineStr">
        <is>
          <t>GR-2022-1004</t>
        </is>
      </c>
      <c r="B28" s="1" t="inlineStr">
        <is>
          <t>Marcus Oyelaran</t>
        </is>
      </c>
      <c r="C28" s="1" t="inlineStr">
        <is>
          <t>Performance stock unit</t>
        </is>
      </c>
      <c r="D28" s="2" t="n">
        <v>44729</v>
      </c>
      <c r="E28" s="2" t="n">
        <v>44659</v>
      </c>
      <c r="F28" s="1" t="n">
        <v>12</v>
      </c>
      <c r="G28" s="1" t="inlineStr">
        <is>
          <t>48 months monthly after a 12-month cliff</t>
        </is>
      </c>
      <c r="H28" s="1" t="n">
        <v>6</v>
      </c>
      <c r="I28" s="2" t="n">
        <v>45481</v>
      </c>
      <c r="J28" s="1" t="n">
        <v>10227</v>
      </c>
      <c r="K28" s="1" t="n">
        <v>81819</v>
      </c>
      <c r="L28" s="1">
        <f>L27+J28</f>
        <v/>
      </c>
      <c r="M28" s="1">
        <f>K28-L28</f>
        <v/>
      </c>
      <c r="N28" s="1" t="n">
        <v>0</v>
      </c>
      <c r="O28" s="1" t="inlineStr">
        <is>
          <t>Vested</t>
        </is>
      </c>
    </row>
    <row r="29">
      <c r="A29" s="1" t="inlineStr">
        <is>
          <t>GR-2022-1004</t>
        </is>
      </c>
      <c r="B29" s="1" t="inlineStr">
        <is>
          <t>Marcus Oyelaran</t>
        </is>
      </c>
      <c r="C29" s="1" t="inlineStr">
        <is>
          <t>Performance stock unit</t>
        </is>
      </c>
      <c r="D29" s="2" t="n">
        <v>44729</v>
      </c>
      <c r="E29" s="2" t="n">
        <v>44659</v>
      </c>
      <c r="F29" s="1" t="n">
        <v>12</v>
      </c>
      <c r="G29" s="1" t="inlineStr">
        <is>
          <t>48 months monthly after a 12-month cliff</t>
        </is>
      </c>
      <c r="H29" s="1" t="n">
        <v>7</v>
      </c>
      <c r="I29" s="2" t="n">
        <v>45573</v>
      </c>
      <c r="J29" s="1" t="n">
        <v>10227</v>
      </c>
      <c r="K29" s="1" t="n">
        <v>81819</v>
      </c>
      <c r="L29" s="1">
        <f>L28+J29</f>
        <v/>
      </c>
      <c r="M29" s="1">
        <f>K29-L29</f>
        <v/>
      </c>
      <c r="N29" s="1" t="n">
        <v>0</v>
      </c>
      <c r="O29" s="1" t="inlineStr">
        <is>
          <t>Vested</t>
        </is>
      </c>
    </row>
    <row r="30">
      <c r="A30" s="1" t="inlineStr">
        <is>
          <t>GR-2022-1004</t>
        </is>
      </c>
      <c r="B30" s="1" t="inlineStr">
        <is>
          <t>Marcus Oyelaran</t>
        </is>
      </c>
      <c r="C30" s="1" t="inlineStr">
        <is>
          <t>Performance stock unit</t>
        </is>
      </c>
      <c r="D30" s="2" t="n">
        <v>44729</v>
      </c>
      <c r="E30" s="2" t="n">
        <v>44659</v>
      </c>
      <c r="F30" s="1" t="n">
        <v>12</v>
      </c>
      <c r="G30" s="1" t="inlineStr">
        <is>
          <t>48 months monthly after a 12-month cliff</t>
        </is>
      </c>
      <c r="H30" s="1" t="n">
        <v>8</v>
      </c>
      <c r="I30" s="2" t="n">
        <v>45665</v>
      </c>
      <c r="J30" s="1" t="n">
        <v>10230</v>
      </c>
      <c r="K30" s="1" t="n">
        <v>81819</v>
      </c>
      <c r="L30" s="1">
        <f>L29+J30</f>
        <v/>
      </c>
      <c r="M30" s="1">
        <f>K30-L30</f>
        <v/>
      </c>
      <c r="N30" s="1" t="n">
        <v>0</v>
      </c>
      <c r="O30" s="1" t="inlineStr">
        <is>
          <t>Vested</t>
        </is>
      </c>
    </row>
    <row r="31">
      <c r="A31" s="1" t="inlineStr">
        <is>
          <t>GR-2023-1005</t>
        </is>
      </c>
      <c r="B31" s="1" t="inlineStr">
        <is>
          <t>Elias Moreno</t>
        </is>
      </c>
      <c r="C31" s="1" t="inlineStr">
        <is>
          <t>Performance stock unit</t>
        </is>
      </c>
      <c r="D31" s="2" t="n">
        <v>45100</v>
      </c>
      <c r="E31" s="2" t="n">
        <v>45037</v>
      </c>
      <c r="F31" s="1" t="n">
        <v>0</v>
      </c>
      <c r="G31" s="1" t="inlineStr">
        <is>
          <t>16 quarterly tranches</t>
        </is>
      </c>
      <c r="H31" s="1" t="n">
        <v>1</v>
      </c>
      <c r="I31" s="2" t="n">
        <v>45037</v>
      </c>
      <c r="J31" s="1" t="n">
        <v>2959</v>
      </c>
      <c r="K31" s="1" t="n">
        <v>17754</v>
      </c>
      <c r="L31" s="1">
        <f>J31</f>
        <v/>
      </c>
      <c r="M31" s="1">
        <f>K31-L31</f>
        <v/>
      </c>
      <c r="N31" s="1" t="n">
        <v>0</v>
      </c>
      <c r="O31" s="1" t="inlineStr">
        <is>
          <t>Vested</t>
        </is>
      </c>
    </row>
    <row r="32">
      <c r="A32" s="1" t="inlineStr">
        <is>
          <t>GR-2023-1005</t>
        </is>
      </c>
      <c r="B32" s="1" t="inlineStr">
        <is>
          <t>Elias Moreno</t>
        </is>
      </c>
      <c r="C32" s="1" t="inlineStr">
        <is>
          <t>Performance stock unit</t>
        </is>
      </c>
      <c r="D32" s="2" t="n">
        <v>45100</v>
      </c>
      <c r="E32" s="2" t="n">
        <v>45037</v>
      </c>
      <c r="F32" s="1" t="n">
        <v>0</v>
      </c>
      <c r="G32" s="1" t="inlineStr">
        <is>
          <t>16 quarterly tranches</t>
        </is>
      </c>
      <c r="H32" s="1" t="n">
        <v>2</v>
      </c>
      <c r="I32" s="2" t="n">
        <v>45128</v>
      </c>
      <c r="J32" s="1" t="n">
        <v>2959</v>
      </c>
      <c r="K32" s="1" t="n">
        <v>17754</v>
      </c>
      <c r="L32" s="1">
        <f>L31+J32</f>
        <v/>
      </c>
      <c r="M32" s="1">
        <f>K32-L32</f>
        <v/>
      </c>
      <c r="N32" s="1" t="n">
        <v>0</v>
      </c>
      <c r="O32" s="1" t="inlineStr">
        <is>
          <t>Vested</t>
        </is>
      </c>
    </row>
    <row r="33">
      <c r="A33" s="1" t="inlineStr">
        <is>
          <t>GR-2023-1005</t>
        </is>
      </c>
      <c r="B33" s="1" t="inlineStr">
        <is>
          <t>Elias Moreno</t>
        </is>
      </c>
      <c r="C33" s="1" t="inlineStr">
        <is>
          <t>Performance stock unit</t>
        </is>
      </c>
      <c r="D33" s="2" t="n">
        <v>45100</v>
      </c>
      <c r="E33" s="2" t="n">
        <v>45037</v>
      </c>
      <c r="F33" s="1" t="n">
        <v>0</v>
      </c>
      <c r="G33" s="1" t="inlineStr">
        <is>
          <t>16 quarterly tranches</t>
        </is>
      </c>
      <c r="H33" s="1" t="n">
        <v>3</v>
      </c>
      <c r="I33" s="2" t="n">
        <v>45220</v>
      </c>
      <c r="J33" s="1" t="n">
        <v>2959</v>
      </c>
      <c r="K33" s="1" t="n">
        <v>17754</v>
      </c>
      <c r="L33" s="1">
        <f>L32+J33</f>
        <v/>
      </c>
      <c r="M33" s="1">
        <f>K33-L33</f>
        <v/>
      </c>
      <c r="N33" s="1" t="n">
        <v>0</v>
      </c>
      <c r="O33" s="1" t="inlineStr">
        <is>
          <t>Vested</t>
        </is>
      </c>
    </row>
    <row r="34">
      <c r="A34" s="1" t="inlineStr">
        <is>
          <t>GR-2023-1005</t>
        </is>
      </c>
      <c r="B34" s="1" t="inlineStr">
        <is>
          <t>Elias Moreno</t>
        </is>
      </c>
      <c r="C34" s="1" t="inlineStr">
        <is>
          <t>Performance stock unit</t>
        </is>
      </c>
      <c r="D34" s="2" t="n">
        <v>45100</v>
      </c>
      <c r="E34" s="2" t="n">
        <v>45037</v>
      </c>
      <c r="F34" s="1" t="n">
        <v>0</v>
      </c>
      <c r="G34" s="1" t="inlineStr">
        <is>
          <t>16 quarterly tranches</t>
        </is>
      </c>
      <c r="H34" s="1" t="n">
        <v>4</v>
      </c>
      <c r="I34" s="2" t="n">
        <v>45312</v>
      </c>
      <c r="J34" s="1" t="n">
        <v>2959</v>
      </c>
      <c r="K34" s="1" t="n">
        <v>17754</v>
      </c>
      <c r="L34" s="1">
        <f>L33+J34</f>
        <v/>
      </c>
      <c r="M34" s="1">
        <f>K34-L34</f>
        <v/>
      </c>
      <c r="N34" s="1" t="n">
        <v>0</v>
      </c>
      <c r="O34" s="1" t="inlineStr">
        <is>
          <t>Vested</t>
        </is>
      </c>
    </row>
    <row r="35">
      <c r="A35" s="1" t="inlineStr">
        <is>
          <t>GR-2023-1005</t>
        </is>
      </c>
      <c r="B35" s="1" t="inlineStr">
        <is>
          <t>Elias Moreno</t>
        </is>
      </c>
      <c r="C35" s="1" t="inlineStr">
        <is>
          <t>Performance stock unit</t>
        </is>
      </c>
      <c r="D35" s="2" t="n">
        <v>45100</v>
      </c>
      <c r="E35" s="2" t="n">
        <v>45037</v>
      </c>
      <c r="F35" s="1" t="n">
        <v>0</v>
      </c>
      <c r="G35" s="1" t="inlineStr">
        <is>
          <t>16 quarterly tranches</t>
        </is>
      </c>
      <c r="H35" s="1" t="n">
        <v>5</v>
      </c>
      <c r="I35" s="2" t="n">
        <v>45403</v>
      </c>
      <c r="J35" s="1" t="n">
        <v>2959</v>
      </c>
      <c r="K35" s="1" t="n">
        <v>17754</v>
      </c>
      <c r="L35" s="1">
        <f>L34+J35</f>
        <v/>
      </c>
      <c r="M35" s="1">
        <f>K35-L35</f>
        <v/>
      </c>
      <c r="N35" s="1" t="n">
        <v>0</v>
      </c>
      <c r="O35" s="1" t="inlineStr">
        <is>
          <t>Vested</t>
        </is>
      </c>
    </row>
    <row r="36">
      <c r="A36" s="1" t="inlineStr">
        <is>
          <t>GR-2023-1005</t>
        </is>
      </c>
      <c r="B36" s="1" t="inlineStr">
        <is>
          <t>Elias Moreno</t>
        </is>
      </c>
      <c r="C36" s="1" t="inlineStr">
        <is>
          <t>Performance stock unit</t>
        </is>
      </c>
      <c r="D36" s="2" t="n">
        <v>45100</v>
      </c>
      <c r="E36" s="2" t="n">
        <v>45037</v>
      </c>
      <c r="F36" s="1" t="n">
        <v>0</v>
      </c>
      <c r="G36" s="1" t="inlineStr">
        <is>
          <t>16 quarterly tranches</t>
        </is>
      </c>
      <c r="H36" s="1" t="n">
        <v>6</v>
      </c>
      <c r="I36" s="2" t="n">
        <v>45494</v>
      </c>
      <c r="J36" s="1" t="n">
        <v>2959</v>
      </c>
      <c r="K36" s="1" t="n">
        <v>17754</v>
      </c>
      <c r="L36" s="1">
        <f>L35+J36</f>
        <v/>
      </c>
      <c r="M36" s="1">
        <f>K36-L36</f>
        <v/>
      </c>
      <c r="N36" s="1" t="n">
        <v>0</v>
      </c>
      <c r="O36" s="1" t="inlineStr">
        <is>
          <t>Vested</t>
        </is>
      </c>
    </row>
    <row r="37">
      <c r="A37" s="1" t="inlineStr">
        <is>
          <t>GR-2025-1006</t>
        </is>
      </c>
      <c r="B37" s="1" t="inlineStr">
        <is>
          <t>Sasha Lindqvist</t>
        </is>
      </c>
      <c r="C37" s="1" t="inlineStr">
        <is>
          <t>Restricted stock unit</t>
        </is>
      </c>
      <c r="D37" s="2" t="n">
        <v>45707</v>
      </c>
      <c r="E37" s="2" t="n">
        <v>45693</v>
      </c>
      <c r="F37" s="1" t="n">
        <v>6</v>
      </c>
      <c r="G37" s="1" t="inlineStr">
        <is>
          <t>36 months monthly, no cliff</t>
        </is>
      </c>
      <c r="H37" s="1" t="n">
        <v>1</v>
      </c>
      <c r="I37" s="2" t="n">
        <v>45874</v>
      </c>
      <c r="J37" s="1" t="n">
        <v>4920</v>
      </c>
      <c r="K37" s="1" t="n">
        <v>19683</v>
      </c>
      <c r="L37" s="1">
        <f>J37</f>
        <v/>
      </c>
      <c r="M37" s="1">
        <f>K37-L37</f>
        <v/>
      </c>
      <c r="N37" s="1" t="n">
        <v>0</v>
      </c>
      <c r="O37" s="1" t="inlineStr">
        <is>
          <t>Vested</t>
        </is>
      </c>
    </row>
    <row r="38">
      <c r="A38" s="1" t="inlineStr">
        <is>
          <t>GR-2025-1006</t>
        </is>
      </c>
      <c r="B38" s="1" t="inlineStr">
        <is>
          <t>Sasha Lindqvist</t>
        </is>
      </c>
      <c r="C38" s="1" t="inlineStr">
        <is>
          <t>Restricted stock unit</t>
        </is>
      </c>
      <c r="D38" s="2" t="n">
        <v>45707</v>
      </c>
      <c r="E38" s="2" t="n">
        <v>45693</v>
      </c>
      <c r="F38" s="1" t="n">
        <v>6</v>
      </c>
      <c r="G38" s="1" t="inlineStr">
        <is>
          <t>36 months monthly, no cliff</t>
        </is>
      </c>
      <c r="H38" s="1" t="n">
        <v>2</v>
      </c>
      <c r="I38" s="2" t="n">
        <v>45966</v>
      </c>
      <c r="J38" s="1" t="n">
        <v>4920</v>
      </c>
      <c r="K38" s="1" t="n">
        <v>19683</v>
      </c>
      <c r="L38" s="1">
        <f>L37+J38</f>
        <v/>
      </c>
      <c r="M38" s="1">
        <f>K38-L38</f>
        <v/>
      </c>
      <c r="N38" s="1" t="n">
        <v>0</v>
      </c>
      <c r="O38" s="1" t="inlineStr">
        <is>
          <t>Vested</t>
        </is>
      </c>
    </row>
    <row r="39">
      <c r="A39" s="1" t="inlineStr">
        <is>
          <t>GR-2025-1006</t>
        </is>
      </c>
      <c r="B39" s="1" t="inlineStr">
        <is>
          <t>Sasha Lindqvist</t>
        </is>
      </c>
      <c r="C39" s="1" t="inlineStr">
        <is>
          <t>Restricted stock unit</t>
        </is>
      </c>
      <c r="D39" s="2" t="n">
        <v>45707</v>
      </c>
      <c r="E39" s="2" t="n">
        <v>45693</v>
      </c>
      <c r="F39" s="1" t="n">
        <v>6</v>
      </c>
      <c r="G39" s="1" t="inlineStr">
        <is>
          <t>36 months monthly, no cliff</t>
        </is>
      </c>
      <c r="H39" s="1" t="n">
        <v>3</v>
      </c>
      <c r="I39" s="2" t="n">
        <v>46058</v>
      </c>
      <c r="J39" s="1" t="n">
        <v>4920</v>
      </c>
      <c r="K39" s="1" t="n">
        <v>19683</v>
      </c>
      <c r="L39" s="1">
        <f>L38+J39</f>
        <v/>
      </c>
      <c r="M39" s="1">
        <f>K39-L39</f>
        <v/>
      </c>
      <c r="N39" s="1" t="n">
        <v>0</v>
      </c>
      <c r="O39" s="1" t="inlineStr">
        <is>
          <t>Vested</t>
        </is>
      </c>
    </row>
    <row r="40">
      <c r="A40" s="1" t="inlineStr">
        <is>
          <t>GR-2025-1006</t>
        </is>
      </c>
      <c r="B40" s="1" t="inlineStr">
        <is>
          <t>Sasha Lindqvist</t>
        </is>
      </c>
      <c r="C40" s="1" t="inlineStr">
        <is>
          <t>Restricted stock unit</t>
        </is>
      </c>
      <c r="D40" s="2" t="n">
        <v>45707</v>
      </c>
      <c r="E40" s="2" t="n">
        <v>45693</v>
      </c>
      <c r="F40" s="1" t="n">
        <v>6</v>
      </c>
      <c r="G40" s="1" t="inlineStr">
        <is>
          <t>36 months monthly, no cliff</t>
        </is>
      </c>
      <c r="H40" s="1" t="n">
        <v>4</v>
      </c>
      <c r="I40" s="2" t="n">
        <v>46147</v>
      </c>
      <c r="J40" s="1" t="n">
        <v>4923</v>
      </c>
      <c r="K40" s="1" t="n">
        <v>19683</v>
      </c>
      <c r="L40" s="1">
        <f>L39+J40</f>
        <v/>
      </c>
      <c r="M40" s="1">
        <f>K40-L40</f>
        <v/>
      </c>
      <c r="N40" s="1" t="n">
        <v>0</v>
      </c>
      <c r="O40" s="1" t="inlineStr">
        <is>
          <t>Vested</t>
        </is>
      </c>
    </row>
    <row r="41">
      <c r="A41" s="1" t="inlineStr">
        <is>
          <t>GR-2023-1007</t>
        </is>
      </c>
      <c r="B41" s="1" t="inlineStr">
        <is>
          <t>Marcus Oyelaran</t>
        </is>
      </c>
      <c r="C41" s="1" t="inlineStr">
        <is>
          <t>Performance stock unit</t>
        </is>
      </c>
      <c r="D41" s="2" t="n">
        <v>45142</v>
      </c>
      <c r="E41" s="2" t="n">
        <v>45068</v>
      </c>
      <c r="F41" s="1" t="n">
        <v>12</v>
      </c>
      <c r="G41" s="1" t="inlineStr">
        <is>
          <t>16 quarterly tranches</t>
        </is>
      </c>
      <c r="H41" s="1" t="n">
        <v>1</v>
      </c>
      <c r="I41" s="2" t="n">
        <v>45434</v>
      </c>
      <c r="J41" s="1" t="n">
        <v>6836</v>
      </c>
      <c r="K41" s="1" t="n">
        <v>41017</v>
      </c>
      <c r="L41" s="1">
        <f>J41</f>
        <v/>
      </c>
      <c r="M41" s="1">
        <f>K41-L41</f>
        <v/>
      </c>
      <c r="N41" s="1" t="n">
        <v>0</v>
      </c>
      <c r="O41" s="1" t="inlineStr">
        <is>
          <t>Vested</t>
        </is>
      </c>
    </row>
    <row r="42">
      <c r="A42" s="1" t="inlineStr">
        <is>
          <t>GR-2023-1007</t>
        </is>
      </c>
      <c r="B42" s="1" t="inlineStr">
        <is>
          <t>Marcus Oyelaran</t>
        </is>
      </c>
      <c r="C42" s="1" t="inlineStr">
        <is>
          <t>Performance stock unit</t>
        </is>
      </c>
      <c r="D42" s="2" t="n">
        <v>45142</v>
      </c>
      <c r="E42" s="2" t="n">
        <v>45068</v>
      </c>
      <c r="F42" s="1" t="n">
        <v>12</v>
      </c>
      <c r="G42" s="1" t="inlineStr">
        <is>
          <t>16 quarterly tranches</t>
        </is>
      </c>
      <c r="H42" s="1" t="n">
        <v>2</v>
      </c>
      <c r="I42" s="2" t="n">
        <v>45526</v>
      </c>
      <c r="J42" s="1" t="n">
        <v>6836</v>
      </c>
      <c r="K42" s="1" t="n">
        <v>41017</v>
      </c>
      <c r="L42" s="1">
        <f>L41+J42</f>
        <v/>
      </c>
      <c r="M42" s="1">
        <f>K42-L42</f>
        <v/>
      </c>
      <c r="N42" s="1" t="n">
        <v>0</v>
      </c>
      <c r="O42" s="1" t="inlineStr">
        <is>
          <t>Vested</t>
        </is>
      </c>
    </row>
    <row r="43">
      <c r="A43" s="1" t="inlineStr">
        <is>
          <t>GR-2023-1007</t>
        </is>
      </c>
      <c r="B43" s="1" t="inlineStr">
        <is>
          <t>Marcus Oyelaran</t>
        </is>
      </c>
      <c r="C43" s="1" t="inlineStr">
        <is>
          <t>Performance stock unit</t>
        </is>
      </c>
      <c r="D43" s="2" t="n">
        <v>45142</v>
      </c>
      <c r="E43" s="2" t="n">
        <v>45068</v>
      </c>
      <c r="F43" s="1" t="n">
        <v>12</v>
      </c>
      <c r="G43" s="1" t="inlineStr">
        <is>
          <t>16 quarterly tranches</t>
        </is>
      </c>
      <c r="H43" s="1" t="n">
        <v>3</v>
      </c>
      <c r="I43" s="2" t="n">
        <v>45618</v>
      </c>
      <c r="J43" s="1" t="n">
        <v>6836</v>
      </c>
      <c r="K43" s="1" t="n">
        <v>41017</v>
      </c>
      <c r="L43" s="1">
        <f>L42+J43</f>
        <v/>
      </c>
      <c r="M43" s="1">
        <f>K43-L43</f>
        <v/>
      </c>
      <c r="N43" s="1" t="n">
        <v>0</v>
      </c>
      <c r="O43" s="1" t="inlineStr">
        <is>
          <t>Vested</t>
        </is>
      </c>
    </row>
    <row r="44">
      <c r="A44" s="1" t="inlineStr">
        <is>
          <t>GR-2023-1007</t>
        </is>
      </c>
      <c r="B44" s="1" t="inlineStr">
        <is>
          <t>Marcus Oyelaran</t>
        </is>
      </c>
      <c r="C44" s="1" t="inlineStr">
        <is>
          <t>Performance stock unit</t>
        </is>
      </c>
      <c r="D44" s="2" t="n">
        <v>45142</v>
      </c>
      <c r="E44" s="2" t="n">
        <v>45068</v>
      </c>
      <c r="F44" s="1" t="n">
        <v>12</v>
      </c>
      <c r="G44" s="1" t="inlineStr">
        <is>
          <t>16 quarterly tranches</t>
        </is>
      </c>
      <c r="H44" s="1" t="n">
        <v>4</v>
      </c>
      <c r="I44" s="2" t="n">
        <v>45710</v>
      </c>
      <c r="J44" s="1" t="n">
        <v>6836</v>
      </c>
      <c r="K44" s="1" t="n">
        <v>41017</v>
      </c>
      <c r="L44" s="1">
        <f>L43+J44</f>
        <v/>
      </c>
      <c r="M44" s="1">
        <f>K44-L44</f>
        <v/>
      </c>
      <c r="N44" s="1" t="n">
        <v>0</v>
      </c>
      <c r="O44" s="1" t="inlineStr">
        <is>
          <t>Vested</t>
        </is>
      </c>
    </row>
    <row r="45">
      <c r="A45" s="1" t="inlineStr">
        <is>
          <t>GR-2023-1007</t>
        </is>
      </c>
      <c r="B45" s="1" t="inlineStr">
        <is>
          <t>Marcus Oyelaran</t>
        </is>
      </c>
      <c r="C45" s="1" t="inlineStr">
        <is>
          <t>Performance stock unit</t>
        </is>
      </c>
      <c r="D45" s="2" t="n">
        <v>45142</v>
      </c>
      <c r="E45" s="2" t="n">
        <v>45068</v>
      </c>
      <c r="F45" s="1" t="n">
        <v>12</v>
      </c>
      <c r="G45" s="1" t="inlineStr">
        <is>
          <t>16 quarterly tranches</t>
        </is>
      </c>
      <c r="H45" s="1" t="n">
        <v>5</v>
      </c>
      <c r="I45" s="2" t="n">
        <v>45799</v>
      </c>
      <c r="J45" s="1" t="n">
        <v>6836</v>
      </c>
      <c r="K45" s="1" t="n">
        <v>41017</v>
      </c>
      <c r="L45" s="1">
        <f>L44+J45</f>
        <v/>
      </c>
      <c r="M45" s="1">
        <f>K45-L45</f>
        <v/>
      </c>
      <c r="N45" s="1" t="n">
        <v>0</v>
      </c>
      <c r="O45" s="1" t="inlineStr">
        <is>
          <t>Vested</t>
        </is>
      </c>
    </row>
    <row r="46">
      <c r="A46" s="1" t="inlineStr">
        <is>
          <t>GR-2023-1007</t>
        </is>
      </c>
      <c r="B46" s="1" t="inlineStr">
        <is>
          <t>Marcus Oyelaran</t>
        </is>
      </c>
      <c r="C46" s="1" t="inlineStr">
        <is>
          <t>Performance stock unit</t>
        </is>
      </c>
      <c r="D46" s="2" t="n">
        <v>45142</v>
      </c>
      <c r="E46" s="2" t="n">
        <v>45068</v>
      </c>
      <c r="F46" s="1" t="n">
        <v>12</v>
      </c>
      <c r="G46" s="1" t="inlineStr">
        <is>
          <t>16 quarterly tranches</t>
        </is>
      </c>
      <c r="H46" s="1" t="n">
        <v>6</v>
      </c>
      <c r="I46" s="2" t="n">
        <v>45891</v>
      </c>
      <c r="J46" s="1" t="n">
        <v>6837</v>
      </c>
      <c r="K46" s="1" t="n">
        <v>41017</v>
      </c>
      <c r="L46" s="1">
        <f>L45+J46</f>
        <v/>
      </c>
      <c r="M46" s="1">
        <f>K46-L46</f>
        <v/>
      </c>
      <c r="N46" s="1" t="n">
        <v>0</v>
      </c>
      <c r="O46" s="1" t="inlineStr">
        <is>
          <t>Vested</t>
        </is>
      </c>
    </row>
    <row r="47">
      <c r="A47" s="1" t="inlineStr">
        <is>
          <t>GR-2025-1008</t>
        </is>
      </c>
      <c r="B47" s="1" t="inlineStr">
        <is>
          <t>Nadia Berkovich</t>
        </is>
      </c>
      <c r="C47" s="1" t="inlineStr">
        <is>
          <t>Performance stock unit</t>
        </is>
      </c>
      <c r="D47" s="2" t="n">
        <v>45958</v>
      </c>
      <c r="E47" s="2" t="n">
        <v>45877</v>
      </c>
      <c r="F47" s="1" t="n">
        <v>6</v>
      </c>
      <c r="G47" s="1" t="inlineStr">
        <is>
          <t>4 annual tranches</t>
        </is>
      </c>
      <c r="H47" s="1" t="n">
        <v>1</v>
      </c>
      <c r="I47" s="2" t="n">
        <v>46061</v>
      </c>
      <c r="J47" s="1" t="n">
        <v>20235</v>
      </c>
      <c r="K47" s="1" t="n">
        <v>80942</v>
      </c>
      <c r="L47" s="1">
        <f>J47</f>
        <v/>
      </c>
      <c r="M47" s="1">
        <f>K47-L47</f>
        <v/>
      </c>
      <c r="N47" s="1" t="n">
        <v>0</v>
      </c>
      <c r="O47" s="1" t="inlineStr">
        <is>
          <t>Vested</t>
        </is>
      </c>
    </row>
    <row r="48">
      <c r="A48" s="1" t="inlineStr">
        <is>
          <t>GR-2025-1008</t>
        </is>
      </c>
      <c r="B48" s="1" t="inlineStr">
        <is>
          <t>Nadia Berkovich</t>
        </is>
      </c>
      <c r="C48" s="1" t="inlineStr">
        <is>
          <t>Performance stock unit</t>
        </is>
      </c>
      <c r="D48" s="2" t="n">
        <v>45958</v>
      </c>
      <c r="E48" s="2" t="n">
        <v>45877</v>
      </c>
      <c r="F48" s="1" t="n">
        <v>6</v>
      </c>
      <c r="G48" s="1" t="inlineStr">
        <is>
          <t>4 annual tranches</t>
        </is>
      </c>
      <c r="H48" s="1" t="n">
        <v>2</v>
      </c>
      <c r="I48" s="2" t="n">
        <v>46150</v>
      </c>
      <c r="J48" s="1" t="n">
        <v>20235</v>
      </c>
      <c r="K48" s="1" t="n">
        <v>80942</v>
      </c>
      <c r="L48" s="1">
        <f>L47+J48</f>
        <v/>
      </c>
      <c r="M48" s="1">
        <f>K48-L48</f>
        <v/>
      </c>
      <c r="N48" s="1" t="n">
        <v>0</v>
      </c>
      <c r="O48" s="1" t="inlineStr">
        <is>
          <t>Vested</t>
        </is>
      </c>
    </row>
    <row r="49">
      <c r="A49" s="1" t="inlineStr">
        <is>
          <t>GR-2025-1008</t>
        </is>
      </c>
      <c r="B49" s="1" t="inlineStr">
        <is>
          <t>Nadia Berkovich</t>
        </is>
      </c>
      <c r="C49" s="1" t="inlineStr">
        <is>
          <t>Performance stock unit</t>
        </is>
      </c>
      <c r="D49" s="2" t="n">
        <v>45958</v>
      </c>
      <c r="E49" s="2" t="n">
        <v>45877</v>
      </c>
      <c r="F49" s="1" t="n">
        <v>6</v>
      </c>
      <c r="G49" s="1" t="inlineStr">
        <is>
          <t>4 annual tranches</t>
        </is>
      </c>
      <c r="H49" s="1" t="n">
        <v>3</v>
      </c>
      <c r="I49" s="2" t="n">
        <v>46242</v>
      </c>
      <c r="J49" s="1" t="n">
        <v>20235</v>
      </c>
      <c r="K49" s="1" t="n">
        <v>80942</v>
      </c>
      <c r="L49" s="1">
        <f>L48+J49</f>
        <v/>
      </c>
      <c r="M49" s="1">
        <f>K49-L49</f>
        <v/>
      </c>
      <c r="N49" s="1" t="n">
        <v>0</v>
      </c>
      <c r="O49" s="1" t="inlineStr">
        <is>
          <t>Unvested</t>
        </is>
      </c>
    </row>
    <row r="50">
      <c r="A50" s="1" t="inlineStr">
        <is>
          <t>GR-2025-1008</t>
        </is>
      </c>
      <c r="B50" s="1" t="inlineStr">
        <is>
          <t>Nadia Berkovich</t>
        </is>
      </c>
      <c r="C50" s="1" t="inlineStr">
        <is>
          <t>Performance stock unit</t>
        </is>
      </c>
      <c r="D50" s="2" t="n">
        <v>45958</v>
      </c>
      <c r="E50" s="2" t="n">
        <v>45877</v>
      </c>
      <c r="F50" s="1" t="n">
        <v>6</v>
      </c>
      <c r="G50" s="1" t="inlineStr">
        <is>
          <t>4 annual tranches</t>
        </is>
      </c>
      <c r="H50" s="1" t="n">
        <v>4</v>
      </c>
      <c r="I50" s="2" t="n">
        <v>46334</v>
      </c>
      <c r="J50" s="1" t="n">
        <v>20237</v>
      </c>
      <c r="K50" s="1" t="n">
        <v>80942</v>
      </c>
      <c r="L50" s="1">
        <f>L49+J50</f>
        <v/>
      </c>
      <c r="M50" s="1">
        <f>K50-L50</f>
        <v/>
      </c>
      <c r="N50" s="1" t="n">
        <v>0</v>
      </c>
      <c r="O50" s="1" t="inlineStr">
        <is>
          <t>Unvested</t>
        </is>
      </c>
    </row>
    <row r="51">
      <c r="A51" s="1" t="inlineStr">
        <is>
          <t>GR-2024-1009</t>
        </is>
      </c>
      <c r="B51" s="1" t="inlineStr">
        <is>
          <t>Owen Brackenbury</t>
        </is>
      </c>
      <c r="C51" s="1" t="inlineStr">
        <is>
          <t>Restricted stock unit</t>
        </is>
      </c>
      <c r="D51" s="2" t="n">
        <v>45338</v>
      </c>
      <c r="E51" s="2" t="n">
        <v>45330</v>
      </c>
      <c r="F51" s="1" t="n">
        <v>12</v>
      </c>
      <c r="G51" s="1" t="inlineStr">
        <is>
          <t>16 quarterly tranches</t>
        </is>
      </c>
      <c r="H51" s="1" t="n">
        <v>1</v>
      </c>
      <c r="I51" s="2" t="n">
        <v>45696</v>
      </c>
      <c r="J51" s="1" t="n">
        <v>6328</v>
      </c>
      <c r="K51" s="1" t="n">
        <v>44296</v>
      </c>
      <c r="L51" s="1">
        <f>J51</f>
        <v/>
      </c>
      <c r="M51" s="1">
        <f>K51-L51</f>
        <v/>
      </c>
      <c r="N51" s="1" t="n">
        <v>0</v>
      </c>
      <c r="O51" s="1" t="inlineStr">
        <is>
          <t>Vested</t>
        </is>
      </c>
    </row>
    <row r="52">
      <c r="A52" s="1" t="inlineStr">
        <is>
          <t>GR-2024-1009</t>
        </is>
      </c>
      <c r="B52" s="1" t="inlineStr">
        <is>
          <t>Owen Brackenbury</t>
        </is>
      </c>
      <c r="C52" s="1" t="inlineStr">
        <is>
          <t>Restricted stock unit</t>
        </is>
      </c>
      <c r="D52" s="2" t="n">
        <v>45338</v>
      </c>
      <c r="E52" s="2" t="n">
        <v>45330</v>
      </c>
      <c r="F52" s="1" t="n">
        <v>12</v>
      </c>
      <c r="G52" s="1" t="inlineStr">
        <is>
          <t>16 quarterly tranches</t>
        </is>
      </c>
      <c r="H52" s="1" t="n">
        <v>2</v>
      </c>
      <c r="I52" s="2" t="n">
        <v>45785</v>
      </c>
      <c r="J52" s="1" t="n">
        <v>6328</v>
      </c>
      <c r="K52" s="1" t="n">
        <v>44296</v>
      </c>
      <c r="L52" s="1">
        <f>L51+J52</f>
        <v/>
      </c>
      <c r="M52" s="1">
        <f>K52-L52</f>
        <v/>
      </c>
      <c r="N52" s="1" t="n">
        <v>0</v>
      </c>
      <c r="O52" s="1" t="inlineStr">
        <is>
          <t>Vested</t>
        </is>
      </c>
    </row>
    <row r="53">
      <c r="A53" s="1" t="inlineStr">
        <is>
          <t>GR-2024-1009</t>
        </is>
      </c>
      <c r="B53" s="1" t="inlineStr">
        <is>
          <t>Owen Brackenbury</t>
        </is>
      </c>
      <c r="C53" s="1" t="inlineStr">
        <is>
          <t>Restricted stock unit</t>
        </is>
      </c>
      <c r="D53" s="2" t="n">
        <v>45338</v>
      </c>
      <c r="E53" s="2" t="n">
        <v>45330</v>
      </c>
      <c r="F53" s="1" t="n">
        <v>12</v>
      </c>
      <c r="G53" s="1" t="inlineStr">
        <is>
          <t>16 quarterly tranches</t>
        </is>
      </c>
      <c r="H53" s="1" t="n">
        <v>3</v>
      </c>
      <c r="I53" s="2" t="n">
        <v>45877</v>
      </c>
      <c r="J53" s="1" t="n">
        <v>6328</v>
      </c>
      <c r="K53" s="1" t="n">
        <v>44296</v>
      </c>
      <c r="L53" s="1">
        <f>L52+J53</f>
        <v/>
      </c>
      <c r="M53" s="1">
        <f>K53-L53</f>
        <v/>
      </c>
      <c r="N53" s="1" t="n">
        <v>0</v>
      </c>
      <c r="O53" s="1" t="inlineStr">
        <is>
          <t>Vested</t>
        </is>
      </c>
    </row>
    <row r="54">
      <c r="A54" s="1" t="inlineStr">
        <is>
          <t>GR-2024-1009</t>
        </is>
      </c>
      <c r="B54" s="1" t="inlineStr">
        <is>
          <t>Owen Brackenbury</t>
        </is>
      </c>
      <c r="C54" s="1" t="inlineStr">
        <is>
          <t>Restricted stock unit</t>
        </is>
      </c>
      <c r="D54" s="2" t="n">
        <v>45338</v>
      </c>
      <c r="E54" s="2" t="n">
        <v>45330</v>
      </c>
      <c r="F54" s="1" t="n">
        <v>12</v>
      </c>
      <c r="G54" s="1" t="inlineStr">
        <is>
          <t>16 quarterly tranches</t>
        </is>
      </c>
      <c r="H54" s="1" t="n">
        <v>4</v>
      </c>
      <c r="I54" s="2" t="n">
        <v>45969</v>
      </c>
      <c r="J54" s="1" t="n">
        <v>6328</v>
      </c>
      <c r="K54" s="1" t="n">
        <v>44296</v>
      </c>
      <c r="L54" s="1">
        <f>L53+J54</f>
        <v/>
      </c>
      <c r="M54" s="1">
        <f>K54-L54</f>
        <v/>
      </c>
      <c r="N54" s="1" t="n">
        <v>0</v>
      </c>
      <c r="O54" s="1" t="inlineStr">
        <is>
          <t>Vested</t>
        </is>
      </c>
    </row>
    <row r="55">
      <c r="A55" s="1" t="inlineStr">
        <is>
          <t>GR-2024-1009</t>
        </is>
      </c>
      <c r="B55" s="1" t="inlineStr">
        <is>
          <t>Owen Brackenbury</t>
        </is>
      </c>
      <c r="C55" s="1" t="inlineStr">
        <is>
          <t>Restricted stock unit</t>
        </is>
      </c>
      <c r="D55" s="2" t="n">
        <v>45338</v>
      </c>
      <c r="E55" s="2" t="n">
        <v>45330</v>
      </c>
      <c r="F55" s="1" t="n">
        <v>12</v>
      </c>
      <c r="G55" s="1" t="inlineStr">
        <is>
          <t>16 quarterly tranches</t>
        </is>
      </c>
      <c r="H55" s="1" t="n">
        <v>5</v>
      </c>
      <c r="I55" s="2" t="n">
        <v>46061</v>
      </c>
      <c r="J55" s="1" t="n">
        <v>6328</v>
      </c>
      <c r="K55" s="1" t="n">
        <v>44296</v>
      </c>
      <c r="L55" s="1">
        <f>L54+J55</f>
        <v/>
      </c>
      <c r="M55" s="1">
        <f>K55-L55</f>
        <v/>
      </c>
      <c r="N55" s="1" t="n">
        <v>0</v>
      </c>
      <c r="O55" s="1" t="inlineStr">
        <is>
          <t>Vested</t>
        </is>
      </c>
    </row>
    <row r="56">
      <c r="A56" s="1" t="inlineStr">
        <is>
          <t>GR-2024-1009</t>
        </is>
      </c>
      <c r="B56" s="1" t="inlineStr">
        <is>
          <t>Owen Brackenbury</t>
        </is>
      </c>
      <c r="C56" s="1" t="inlineStr">
        <is>
          <t>Restricted stock unit</t>
        </is>
      </c>
      <c r="D56" s="2" t="n">
        <v>45338</v>
      </c>
      <c r="E56" s="2" t="n">
        <v>45330</v>
      </c>
      <c r="F56" s="1" t="n">
        <v>12</v>
      </c>
      <c r="G56" s="1" t="inlineStr">
        <is>
          <t>16 quarterly tranches</t>
        </is>
      </c>
      <c r="H56" s="1" t="n">
        <v>6</v>
      </c>
      <c r="I56" s="2" t="n">
        <v>46150</v>
      </c>
      <c r="J56" s="1" t="n">
        <v>6328</v>
      </c>
      <c r="K56" s="1" t="n">
        <v>44296</v>
      </c>
      <c r="L56" s="1">
        <f>L55+J56</f>
        <v/>
      </c>
      <c r="M56" s="1">
        <f>K56-L56</f>
        <v/>
      </c>
      <c r="N56" s="1" t="n">
        <v>0</v>
      </c>
      <c r="O56" s="1" t="inlineStr">
        <is>
          <t>Vested</t>
        </is>
      </c>
    </row>
    <row r="57">
      <c r="A57" s="1" t="inlineStr">
        <is>
          <t>GR-2024-1009</t>
        </is>
      </c>
      <c r="B57" s="1" t="inlineStr">
        <is>
          <t>Owen Brackenbury</t>
        </is>
      </c>
      <c r="C57" s="1" t="inlineStr">
        <is>
          <t>Restricted stock unit</t>
        </is>
      </c>
      <c r="D57" s="2" t="n">
        <v>45338</v>
      </c>
      <c r="E57" s="2" t="n">
        <v>45330</v>
      </c>
      <c r="F57" s="1" t="n">
        <v>12</v>
      </c>
      <c r="G57" s="1" t="inlineStr">
        <is>
          <t>16 quarterly tranches</t>
        </is>
      </c>
      <c r="H57" s="1" t="n">
        <v>7</v>
      </c>
      <c r="I57" s="2" t="n">
        <v>46242</v>
      </c>
      <c r="J57" s="1" t="n">
        <v>6328</v>
      </c>
      <c r="K57" s="1" t="n">
        <v>44296</v>
      </c>
      <c r="L57" s="1">
        <f>L56+J57</f>
        <v/>
      </c>
      <c r="M57" s="1">
        <f>K57-L57</f>
        <v/>
      </c>
      <c r="N57" s="1" t="n">
        <v>0</v>
      </c>
      <c r="O57" s="1" t="inlineStr">
        <is>
          <t>Unvested</t>
        </is>
      </c>
    </row>
    <row r="58">
      <c r="A58" s="1" t="inlineStr">
        <is>
          <t>GR-2024-1010</t>
        </is>
      </c>
      <c r="B58" s="1" t="inlineStr">
        <is>
          <t>Owen Brackenbury</t>
        </is>
      </c>
      <c r="C58" s="1" t="inlineStr">
        <is>
          <t>Performance stock unit</t>
        </is>
      </c>
      <c r="D58" s="2" t="n">
        <v>45562</v>
      </c>
      <c r="E58" s="2" t="n">
        <v>45478</v>
      </c>
      <c r="F58" s="1" t="n">
        <v>6</v>
      </c>
      <c r="G58" s="1" t="inlineStr">
        <is>
          <t>16 quarterly tranches</t>
        </is>
      </c>
      <c r="H58" s="1" t="n">
        <v>1</v>
      </c>
      <c r="I58" s="2" t="n">
        <v>45662</v>
      </c>
      <c r="J58" s="1" t="n">
        <v>3032</v>
      </c>
      <c r="K58" s="1" t="n">
        <v>15160</v>
      </c>
      <c r="L58" s="1">
        <f>J58</f>
        <v/>
      </c>
      <c r="M58" s="1">
        <f>K58-L58</f>
        <v/>
      </c>
      <c r="N58" s="1" t="n">
        <v>0</v>
      </c>
      <c r="O58" s="1" t="inlineStr">
        <is>
          <t>Vested</t>
        </is>
      </c>
    </row>
    <row r="59">
      <c r="A59" s="1" t="inlineStr">
        <is>
          <t>GR-2024-1010</t>
        </is>
      </c>
      <c r="B59" s="1" t="inlineStr">
        <is>
          <t>Owen Brackenbury</t>
        </is>
      </c>
      <c r="C59" s="1" t="inlineStr">
        <is>
          <t>Performance stock unit</t>
        </is>
      </c>
      <c r="D59" s="2" t="n">
        <v>45562</v>
      </c>
      <c r="E59" s="2" t="n">
        <v>45478</v>
      </c>
      <c r="F59" s="1" t="n">
        <v>6</v>
      </c>
      <c r="G59" s="1" t="inlineStr">
        <is>
          <t>16 quarterly tranches</t>
        </is>
      </c>
      <c r="H59" s="1" t="n">
        <v>2</v>
      </c>
      <c r="I59" s="2" t="n">
        <v>45752</v>
      </c>
      <c r="J59" s="1" t="n">
        <v>3032</v>
      </c>
      <c r="K59" s="1" t="n">
        <v>15160</v>
      </c>
      <c r="L59" s="1">
        <f>L58+J59</f>
        <v/>
      </c>
      <c r="M59" s="1">
        <f>K59-L59</f>
        <v/>
      </c>
      <c r="N59" s="1" t="n">
        <v>0</v>
      </c>
      <c r="O59" s="1" t="inlineStr">
        <is>
          <t>Vested</t>
        </is>
      </c>
    </row>
    <row r="60">
      <c r="A60" s="1" t="inlineStr">
        <is>
          <t>GR-2024-1010</t>
        </is>
      </c>
      <c r="B60" s="1" t="inlineStr">
        <is>
          <t>Owen Brackenbury</t>
        </is>
      </c>
      <c r="C60" s="1" t="inlineStr">
        <is>
          <t>Performance stock unit</t>
        </is>
      </c>
      <c r="D60" s="2" t="n">
        <v>45562</v>
      </c>
      <c r="E60" s="2" t="n">
        <v>45478</v>
      </c>
      <c r="F60" s="1" t="n">
        <v>6</v>
      </c>
      <c r="G60" s="1" t="inlineStr">
        <is>
          <t>16 quarterly tranches</t>
        </is>
      </c>
      <c r="H60" s="1" t="n">
        <v>3</v>
      </c>
      <c r="I60" s="2" t="n">
        <v>45843</v>
      </c>
      <c r="J60" s="1" t="n">
        <v>3032</v>
      </c>
      <c r="K60" s="1" t="n">
        <v>15160</v>
      </c>
      <c r="L60" s="1">
        <f>L59+J60</f>
        <v/>
      </c>
      <c r="M60" s="1">
        <f>K60-L60</f>
        <v/>
      </c>
      <c r="N60" s="1" t="n">
        <v>0</v>
      </c>
      <c r="O60" s="1" t="inlineStr">
        <is>
          <t>Vested</t>
        </is>
      </c>
    </row>
    <row r="61">
      <c r="A61" s="1" t="inlineStr">
        <is>
          <t>GR-2024-1010</t>
        </is>
      </c>
      <c r="B61" s="1" t="inlineStr">
        <is>
          <t>Owen Brackenbury</t>
        </is>
      </c>
      <c r="C61" s="1" t="inlineStr">
        <is>
          <t>Performance stock unit</t>
        </is>
      </c>
      <c r="D61" s="2" t="n">
        <v>45562</v>
      </c>
      <c r="E61" s="2" t="n">
        <v>45478</v>
      </c>
      <c r="F61" s="1" t="n">
        <v>6</v>
      </c>
      <c r="G61" s="1" t="inlineStr">
        <is>
          <t>16 quarterly tranches</t>
        </is>
      </c>
      <c r="H61" s="1" t="n">
        <v>4</v>
      </c>
      <c r="I61" s="2" t="n">
        <v>45935</v>
      </c>
      <c r="J61" s="1" t="n">
        <v>3032</v>
      </c>
      <c r="K61" s="1" t="n">
        <v>15160</v>
      </c>
      <c r="L61" s="1">
        <f>L60+J61</f>
        <v/>
      </c>
      <c r="M61" s="1">
        <f>K61-L61</f>
        <v/>
      </c>
      <c r="N61" s="1" t="n">
        <v>0</v>
      </c>
      <c r="O61" s="1" t="inlineStr">
        <is>
          <t>Vested</t>
        </is>
      </c>
    </row>
    <row r="62">
      <c r="A62" s="1" t="inlineStr">
        <is>
          <t>GR-2024-1010</t>
        </is>
      </c>
      <c r="B62" s="1" t="inlineStr">
        <is>
          <t>Owen Brackenbury</t>
        </is>
      </c>
      <c r="C62" s="1" t="inlineStr">
        <is>
          <t>Performance stock unit</t>
        </is>
      </c>
      <c r="D62" s="2" t="n">
        <v>45562</v>
      </c>
      <c r="E62" s="2" t="n">
        <v>45478</v>
      </c>
      <c r="F62" s="1" t="n">
        <v>6</v>
      </c>
      <c r="G62" s="1" t="inlineStr">
        <is>
          <t>16 quarterly tranches</t>
        </is>
      </c>
      <c r="H62" s="1" t="n">
        <v>5</v>
      </c>
      <c r="I62" s="2" t="n">
        <v>46027</v>
      </c>
      <c r="J62" s="1" t="n">
        <v>3032</v>
      </c>
      <c r="K62" s="1" t="n">
        <v>15160</v>
      </c>
      <c r="L62" s="1">
        <f>L61+J62</f>
        <v/>
      </c>
      <c r="M62" s="1">
        <f>K62-L62</f>
        <v/>
      </c>
      <c r="N62" s="1" t="n">
        <v>0</v>
      </c>
      <c r="O62" s="1" t="inlineStr">
        <is>
          <t>Vested</t>
        </is>
      </c>
    </row>
    <row r="63">
      <c r="A63" s="1" t="inlineStr">
        <is>
          <t>GR-2025-1011</t>
        </is>
      </c>
      <c r="B63" s="1" t="inlineStr">
        <is>
          <t>Winifred Achebe</t>
        </is>
      </c>
      <c r="C63" s="1" t="inlineStr">
        <is>
          <t>Restricted stock unit</t>
        </is>
      </c>
      <c r="D63" s="2" t="n">
        <v>45951</v>
      </c>
      <c r="E63" s="2" t="n">
        <v>45910</v>
      </c>
      <c r="F63" s="1" t="n">
        <v>12</v>
      </c>
      <c r="G63" s="1" t="inlineStr">
        <is>
          <t>36 months monthly, no cliff</t>
        </is>
      </c>
      <c r="H63" s="1" t="n">
        <v>1</v>
      </c>
      <c r="I63" s="2" t="n">
        <v>46275</v>
      </c>
      <c r="J63" s="1" t="n">
        <v>2694</v>
      </c>
      <c r="K63" s="1" t="n">
        <v>18858</v>
      </c>
      <c r="L63" s="1">
        <f>J63</f>
        <v/>
      </c>
      <c r="M63" s="1">
        <f>K63-L63</f>
        <v/>
      </c>
      <c r="N63" s="1" t="n">
        <v>0</v>
      </c>
      <c r="O63" s="1" t="inlineStr">
        <is>
          <t>Unvested</t>
        </is>
      </c>
    </row>
    <row r="64">
      <c r="A64" s="1" t="inlineStr">
        <is>
          <t>GR-2025-1011</t>
        </is>
      </c>
      <c r="B64" s="1" t="inlineStr">
        <is>
          <t>Winifred Achebe</t>
        </is>
      </c>
      <c r="C64" s="1" t="inlineStr">
        <is>
          <t>Restricted stock unit</t>
        </is>
      </c>
      <c r="D64" s="2" t="n">
        <v>45951</v>
      </c>
      <c r="E64" s="2" t="n">
        <v>45910</v>
      </c>
      <c r="F64" s="1" t="n">
        <v>12</v>
      </c>
      <c r="G64" s="1" t="inlineStr">
        <is>
          <t>36 months monthly, no cliff</t>
        </is>
      </c>
      <c r="H64" s="1" t="n">
        <v>2</v>
      </c>
      <c r="I64" s="2" t="n">
        <v>46366</v>
      </c>
      <c r="J64" s="1" t="n">
        <v>2694</v>
      </c>
      <c r="K64" s="1" t="n">
        <v>18858</v>
      </c>
      <c r="L64" s="1">
        <f>L63+J64</f>
        <v/>
      </c>
      <c r="M64" s="1">
        <f>K64-L64</f>
        <v/>
      </c>
      <c r="N64" s="1" t="n">
        <v>0</v>
      </c>
      <c r="O64" s="1" t="inlineStr">
        <is>
          <t>Unvested</t>
        </is>
      </c>
    </row>
    <row r="65">
      <c r="A65" s="1" t="inlineStr">
        <is>
          <t>GR-2025-1011</t>
        </is>
      </c>
      <c r="B65" s="1" t="inlineStr">
        <is>
          <t>Winifred Achebe</t>
        </is>
      </c>
      <c r="C65" s="1" t="inlineStr">
        <is>
          <t>Restricted stock unit</t>
        </is>
      </c>
      <c r="D65" s="2" t="n">
        <v>45951</v>
      </c>
      <c r="E65" s="2" t="n">
        <v>45910</v>
      </c>
      <c r="F65" s="1" t="n">
        <v>12</v>
      </c>
      <c r="G65" s="1" t="inlineStr">
        <is>
          <t>36 months monthly, no cliff</t>
        </is>
      </c>
      <c r="H65" s="1" t="n">
        <v>3</v>
      </c>
      <c r="I65" s="2" t="n">
        <v>46456</v>
      </c>
      <c r="J65" s="1" t="n">
        <v>2694</v>
      </c>
      <c r="K65" s="1" t="n">
        <v>18858</v>
      </c>
      <c r="L65" s="1">
        <f>L64+J65</f>
        <v/>
      </c>
      <c r="M65" s="1">
        <f>K65-L65</f>
        <v/>
      </c>
      <c r="N65" s="1" t="n">
        <v>0</v>
      </c>
      <c r="O65" s="1" t="inlineStr">
        <is>
          <t>Unvested</t>
        </is>
      </c>
    </row>
    <row r="66">
      <c r="A66" s="1" t="inlineStr">
        <is>
          <t>GR-2025-1011</t>
        </is>
      </c>
      <c r="B66" s="1" t="inlineStr">
        <is>
          <t>Winifred Achebe</t>
        </is>
      </c>
      <c r="C66" s="1" t="inlineStr">
        <is>
          <t>Restricted stock unit</t>
        </is>
      </c>
      <c r="D66" s="2" t="n">
        <v>45951</v>
      </c>
      <c r="E66" s="2" t="n">
        <v>45910</v>
      </c>
      <c r="F66" s="1" t="n">
        <v>12</v>
      </c>
      <c r="G66" s="1" t="inlineStr">
        <is>
          <t>36 months monthly, no cliff</t>
        </is>
      </c>
      <c r="H66" s="1" t="n">
        <v>4</v>
      </c>
      <c r="I66" s="2" t="n">
        <v>46548</v>
      </c>
      <c r="J66" s="1" t="n">
        <v>2694</v>
      </c>
      <c r="K66" s="1" t="n">
        <v>18858</v>
      </c>
      <c r="L66" s="1">
        <f>L65+J66</f>
        <v/>
      </c>
      <c r="M66" s="1">
        <f>K66-L66</f>
        <v/>
      </c>
      <c r="N66" s="1" t="n">
        <v>0</v>
      </c>
      <c r="O66" s="1" t="inlineStr">
        <is>
          <t>Unvested</t>
        </is>
      </c>
    </row>
    <row r="67">
      <c r="A67" s="1" t="inlineStr">
        <is>
          <t>GR-2025-1011</t>
        </is>
      </c>
      <c r="B67" s="1" t="inlineStr">
        <is>
          <t>Winifred Achebe</t>
        </is>
      </c>
      <c r="C67" s="1" t="inlineStr">
        <is>
          <t>Restricted stock unit</t>
        </is>
      </c>
      <c r="D67" s="2" t="n">
        <v>45951</v>
      </c>
      <c r="E67" s="2" t="n">
        <v>45910</v>
      </c>
      <c r="F67" s="1" t="n">
        <v>12</v>
      </c>
      <c r="G67" s="1" t="inlineStr">
        <is>
          <t>36 months monthly, no cliff</t>
        </is>
      </c>
      <c r="H67" s="1" t="n">
        <v>5</v>
      </c>
      <c r="I67" s="2" t="n">
        <v>46640</v>
      </c>
      <c r="J67" s="1" t="n">
        <v>2694</v>
      </c>
      <c r="K67" s="1" t="n">
        <v>18858</v>
      </c>
      <c r="L67" s="1">
        <f>L66+J67</f>
        <v/>
      </c>
      <c r="M67" s="1">
        <f>K67-L67</f>
        <v/>
      </c>
      <c r="N67" s="1" t="n">
        <v>0</v>
      </c>
      <c r="O67" s="1" t="inlineStr">
        <is>
          <t>Unvested</t>
        </is>
      </c>
    </row>
    <row r="68">
      <c r="A68" s="1" t="inlineStr">
        <is>
          <t>GR-2025-1011</t>
        </is>
      </c>
      <c r="B68" s="1" t="inlineStr">
        <is>
          <t>Winifred Achebe</t>
        </is>
      </c>
      <c r="C68" s="1" t="inlineStr">
        <is>
          <t>Restricted stock unit</t>
        </is>
      </c>
      <c r="D68" s="2" t="n">
        <v>45951</v>
      </c>
      <c r="E68" s="2" t="n">
        <v>45910</v>
      </c>
      <c r="F68" s="1" t="n">
        <v>12</v>
      </c>
      <c r="G68" s="1" t="inlineStr">
        <is>
          <t>36 months monthly, no cliff</t>
        </is>
      </c>
      <c r="H68" s="1" t="n">
        <v>6</v>
      </c>
      <c r="I68" s="2" t="n">
        <v>46731</v>
      </c>
      <c r="J68" s="1" t="n">
        <v>2694</v>
      </c>
      <c r="K68" s="1" t="n">
        <v>18858</v>
      </c>
      <c r="L68" s="1">
        <f>L67+J68</f>
        <v/>
      </c>
      <c r="M68" s="1">
        <f>K68-L68</f>
        <v/>
      </c>
      <c r="N68" s="1" t="n">
        <v>0</v>
      </c>
      <c r="O68" s="1" t="inlineStr">
        <is>
          <t>Unvested</t>
        </is>
      </c>
    </row>
    <row r="69">
      <c r="A69" s="1" t="inlineStr">
        <is>
          <t>GR-2025-1011</t>
        </is>
      </c>
      <c r="B69" s="1" t="inlineStr">
        <is>
          <t>Winifred Achebe</t>
        </is>
      </c>
      <c r="C69" s="1" t="inlineStr">
        <is>
          <t>Restricted stock unit</t>
        </is>
      </c>
      <c r="D69" s="2" t="n">
        <v>45951</v>
      </c>
      <c r="E69" s="2" t="n">
        <v>45910</v>
      </c>
      <c r="F69" s="1" t="n">
        <v>12</v>
      </c>
      <c r="G69" s="1" t="inlineStr">
        <is>
          <t>36 months monthly, no cliff</t>
        </is>
      </c>
      <c r="H69" s="1" t="n">
        <v>7</v>
      </c>
      <c r="I69" s="2" t="n">
        <v>46822</v>
      </c>
      <c r="J69" s="1" t="n">
        <v>2694</v>
      </c>
      <c r="K69" s="1" t="n">
        <v>18858</v>
      </c>
      <c r="L69" s="1">
        <f>L68+J69</f>
        <v/>
      </c>
      <c r="M69" s="1">
        <f>K69-L69</f>
        <v/>
      </c>
      <c r="N69" s="1" t="n">
        <v>0</v>
      </c>
      <c r="O69" s="1" t="inlineStr">
        <is>
          <t>Unvested</t>
        </is>
      </c>
    </row>
    <row r="70">
      <c r="A70" s="1" t="inlineStr">
        <is>
          <t>GR-2025-1012</t>
        </is>
      </c>
      <c r="B70" s="1" t="inlineStr">
        <is>
          <t>Gideon Marsh</t>
        </is>
      </c>
      <c r="C70" s="1" t="inlineStr">
        <is>
          <t>Incentive stock option</t>
        </is>
      </c>
      <c r="D70" s="2" t="n">
        <v>45839</v>
      </c>
      <c r="E70" s="2" t="n">
        <v>45759</v>
      </c>
      <c r="F70" s="1" t="n">
        <v>12</v>
      </c>
      <c r="G70" s="1" t="inlineStr">
        <is>
          <t>Performance tranches on board certification</t>
        </is>
      </c>
      <c r="H70" s="1" t="n">
        <v>1</v>
      </c>
      <c r="I70" s="2" t="n">
        <v>46124</v>
      </c>
      <c r="J70" s="1" t="n">
        <v>3813</v>
      </c>
      <c r="K70" s="1" t="n">
        <v>22878</v>
      </c>
      <c r="L70" s="1">
        <f>J70</f>
        <v/>
      </c>
      <c r="M70" s="1">
        <f>K70-L70</f>
        <v/>
      </c>
      <c r="N70" s="1" t="n">
        <v>0</v>
      </c>
      <c r="O70" s="1" t="inlineStr">
        <is>
          <t>Vested</t>
        </is>
      </c>
    </row>
    <row r="71">
      <c r="A71" s="1" t="inlineStr">
        <is>
          <t>GR-2025-1012</t>
        </is>
      </c>
      <c r="B71" s="1" t="inlineStr">
        <is>
          <t>Gideon Marsh</t>
        </is>
      </c>
      <c r="C71" s="1" t="inlineStr">
        <is>
          <t>Incentive stock option</t>
        </is>
      </c>
      <c r="D71" s="2" t="n">
        <v>45839</v>
      </c>
      <c r="E71" s="2" t="n">
        <v>45759</v>
      </c>
      <c r="F71" s="1" t="n">
        <v>12</v>
      </c>
      <c r="G71" s="1" t="inlineStr">
        <is>
          <t>Performance tranches on board certification</t>
        </is>
      </c>
      <c r="H71" s="1" t="n">
        <v>2</v>
      </c>
      <c r="I71" s="2" t="n">
        <v>46215</v>
      </c>
      <c r="J71" s="1" t="n">
        <v>3813</v>
      </c>
      <c r="K71" s="1" t="n">
        <v>22878</v>
      </c>
      <c r="L71" s="1">
        <f>L70+J71</f>
        <v/>
      </c>
      <c r="M71" s="1">
        <f>K71-L71</f>
        <v/>
      </c>
      <c r="N71" s="1" t="n">
        <v>0</v>
      </c>
      <c r="O71" s="1" t="inlineStr">
        <is>
          <t>Vested</t>
        </is>
      </c>
    </row>
    <row r="72">
      <c r="A72" s="1" t="inlineStr">
        <is>
          <t>GR-2025-1012</t>
        </is>
      </c>
      <c r="B72" s="1" t="inlineStr">
        <is>
          <t>Gideon Marsh</t>
        </is>
      </c>
      <c r="C72" s="1" t="inlineStr">
        <is>
          <t>Incentive stock option</t>
        </is>
      </c>
      <c r="D72" s="2" t="n">
        <v>45839</v>
      </c>
      <c r="E72" s="2" t="n">
        <v>45759</v>
      </c>
      <c r="F72" s="1" t="n">
        <v>12</v>
      </c>
      <c r="G72" s="1" t="inlineStr">
        <is>
          <t>Performance tranches on board certification</t>
        </is>
      </c>
      <c r="H72" s="1" t="n">
        <v>3</v>
      </c>
      <c r="I72" s="2" t="n">
        <v>46307</v>
      </c>
      <c r="J72" s="1" t="n">
        <v>3813</v>
      </c>
      <c r="K72" s="1" t="n">
        <v>22878</v>
      </c>
      <c r="L72" s="1">
        <f>L71+J72</f>
        <v/>
      </c>
      <c r="M72" s="1">
        <f>K72-L72</f>
        <v/>
      </c>
      <c r="N72" s="1" t="n">
        <v>0</v>
      </c>
      <c r="O72" s="1" t="inlineStr">
        <is>
          <t>Unvested</t>
        </is>
      </c>
    </row>
    <row r="73">
      <c r="A73" s="1" t="inlineStr">
        <is>
          <t>GR-2025-1012</t>
        </is>
      </c>
      <c r="B73" s="1" t="inlineStr">
        <is>
          <t>Gideon Marsh</t>
        </is>
      </c>
      <c r="C73" s="1" t="inlineStr">
        <is>
          <t>Incentive stock option</t>
        </is>
      </c>
      <c r="D73" s="2" t="n">
        <v>45839</v>
      </c>
      <c r="E73" s="2" t="n">
        <v>45759</v>
      </c>
      <c r="F73" s="1" t="n">
        <v>12</v>
      </c>
      <c r="G73" s="1" t="inlineStr">
        <is>
          <t>Performance tranches on board certification</t>
        </is>
      </c>
      <c r="H73" s="1" t="n">
        <v>4</v>
      </c>
      <c r="I73" s="2" t="n">
        <v>46399</v>
      </c>
      <c r="J73" s="1" t="n">
        <v>3813</v>
      </c>
      <c r="K73" s="1" t="n">
        <v>22878</v>
      </c>
      <c r="L73" s="1">
        <f>L72+J73</f>
        <v/>
      </c>
      <c r="M73" s="1">
        <f>K73-L73</f>
        <v/>
      </c>
      <c r="N73" s="1" t="n">
        <v>0</v>
      </c>
      <c r="O73" s="1" t="inlineStr">
        <is>
          <t>Unvested</t>
        </is>
      </c>
    </row>
    <row r="74">
      <c r="A74" s="1" t="inlineStr">
        <is>
          <t>GR-2025-1012</t>
        </is>
      </c>
      <c r="B74" s="1" t="inlineStr">
        <is>
          <t>Gideon Marsh</t>
        </is>
      </c>
      <c r="C74" s="1" t="inlineStr">
        <is>
          <t>Incentive stock option</t>
        </is>
      </c>
      <c r="D74" s="2" t="n">
        <v>45839</v>
      </c>
      <c r="E74" s="2" t="n">
        <v>45759</v>
      </c>
      <c r="F74" s="1" t="n">
        <v>12</v>
      </c>
      <c r="G74" s="1" t="inlineStr">
        <is>
          <t>Performance tranches on board certification</t>
        </is>
      </c>
      <c r="H74" s="1" t="n">
        <v>5</v>
      </c>
      <c r="I74" s="2" t="n">
        <v>46489</v>
      </c>
      <c r="J74" s="1" t="n">
        <v>3813</v>
      </c>
      <c r="K74" s="1" t="n">
        <v>22878</v>
      </c>
      <c r="L74" s="1">
        <f>L73+J74</f>
        <v/>
      </c>
      <c r="M74" s="1">
        <f>K74-L74</f>
        <v/>
      </c>
      <c r="N74" s="1" t="n">
        <v>0</v>
      </c>
      <c r="O74" s="1" t="inlineStr">
        <is>
          <t>Unvested</t>
        </is>
      </c>
    </row>
    <row r="75">
      <c r="A75" s="1" t="inlineStr">
        <is>
          <t>GR-2025-1012</t>
        </is>
      </c>
      <c r="B75" s="1" t="inlineStr">
        <is>
          <t>Gideon Marsh</t>
        </is>
      </c>
      <c r="C75" s="1" t="inlineStr">
        <is>
          <t>Incentive stock option</t>
        </is>
      </c>
      <c r="D75" s="2" t="n">
        <v>45839</v>
      </c>
      <c r="E75" s="2" t="n">
        <v>45759</v>
      </c>
      <c r="F75" s="1" t="n">
        <v>12</v>
      </c>
      <c r="G75" s="1" t="inlineStr">
        <is>
          <t>Performance tranches on board certification</t>
        </is>
      </c>
      <c r="H75" s="1" t="n">
        <v>6</v>
      </c>
      <c r="I75" s="2" t="n">
        <v>46580</v>
      </c>
      <c r="J75" s="1" t="n">
        <v>3813</v>
      </c>
      <c r="K75" s="1" t="n">
        <v>22878</v>
      </c>
      <c r="L75" s="1">
        <f>L74+J75</f>
        <v/>
      </c>
      <c r="M75" s="1">
        <f>K75-L75</f>
        <v/>
      </c>
      <c r="N75" s="1" t="n">
        <v>0</v>
      </c>
      <c r="O75" s="1" t="inlineStr">
        <is>
          <t>Unvested</t>
        </is>
      </c>
    </row>
    <row r="76">
      <c r="A76" s="1" t="inlineStr">
        <is>
          <t>GR-2023-1013</t>
        </is>
      </c>
      <c r="B76" s="1" t="inlineStr">
        <is>
          <t>Junia Alvarez</t>
        </is>
      </c>
      <c r="C76" s="1" t="inlineStr">
        <is>
          <t>Restricted stock unit</t>
        </is>
      </c>
      <c r="D76" s="2" t="n">
        <v>45275</v>
      </c>
      <c r="E76" s="2" t="n">
        <v>45251</v>
      </c>
      <c r="F76" s="1" t="n">
        <v>12</v>
      </c>
      <c r="G76" s="1" t="inlineStr">
        <is>
          <t>Performance tranches on board certification</t>
        </is>
      </c>
      <c r="H76" s="1" t="n">
        <v>1</v>
      </c>
      <c r="I76" s="2" t="n">
        <v>45617</v>
      </c>
      <c r="J76" s="1" t="n">
        <v>14011</v>
      </c>
      <c r="K76" s="1" t="n">
        <v>84068</v>
      </c>
      <c r="L76" s="1">
        <f>J76</f>
        <v/>
      </c>
      <c r="M76" s="1">
        <f>K76-L76</f>
        <v/>
      </c>
      <c r="N76" s="1" t="n">
        <v>0</v>
      </c>
      <c r="O76" s="1" t="inlineStr">
        <is>
          <t>Vested</t>
        </is>
      </c>
    </row>
    <row r="77">
      <c r="A77" s="1" t="inlineStr">
        <is>
          <t>GR-2023-1013</t>
        </is>
      </c>
      <c r="B77" s="1" t="inlineStr">
        <is>
          <t>Junia Alvarez</t>
        </is>
      </c>
      <c r="C77" s="1" t="inlineStr">
        <is>
          <t>Restricted stock unit</t>
        </is>
      </c>
      <c r="D77" s="2" t="n">
        <v>45275</v>
      </c>
      <c r="E77" s="2" t="n">
        <v>45251</v>
      </c>
      <c r="F77" s="1" t="n">
        <v>12</v>
      </c>
      <c r="G77" s="1" t="inlineStr">
        <is>
          <t>Performance tranches on board certification</t>
        </is>
      </c>
      <c r="H77" s="1" t="n">
        <v>2</v>
      </c>
      <c r="I77" s="2" t="n">
        <v>45709</v>
      </c>
      <c r="J77" s="1" t="n">
        <v>14011</v>
      </c>
      <c r="K77" s="1" t="n">
        <v>84068</v>
      </c>
      <c r="L77" s="1">
        <f>L76+J77</f>
        <v/>
      </c>
      <c r="M77" s="1">
        <f>K77-L77</f>
        <v/>
      </c>
      <c r="N77" s="1" t="n">
        <v>0</v>
      </c>
      <c r="O77" s="1" t="inlineStr">
        <is>
          <t>Vested</t>
        </is>
      </c>
    </row>
    <row r="78">
      <c r="A78" s="1" t="inlineStr">
        <is>
          <t>GR-2023-1013</t>
        </is>
      </c>
      <c r="B78" s="1" t="inlineStr">
        <is>
          <t>Junia Alvarez</t>
        </is>
      </c>
      <c r="C78" s="1" t="inlineStr">
        <is>
          <t>Restricted stock unit</t>
        </is>
      </c>
      <c r="D78" s="2" t="n">
        <v>45275</v>
      </c>
      <c r="E78" s="2" t="n">
        <v>45251</v>
      </c>
      <c r="F78" s="1" t="n">
        <v>12</v>
      </c>
      <c r="G78" s="1" t="inlineStr">
        <is>
          <t>Performance tranches on board certification</t>
        </is>
      </c>
      <c r="H78" s="1" t="n">
        <v>3</v>
      </c>
      <c r="I78" s="2" t="n">
        <v>45798</v>
      </c>
      <c r="J78" s="1" t="n">
        <v>14011</v>
      </c>
      <c r="K78" s="1" t="n">
        <v>84068</v>
      </c>
      <c r="L78" s="1">
        <f>L77+J78</f>
        <v/>
      </c>
      <c r="M78" s="1">
        <f>K78-L78</f>
        <v/>
      </c>
      <c r="N78" s="1" t="n">
        <v>0</v>
      </c>
      <c r="O78" s="1" t="inlineStr">
        <is>
          <t>Vested</t>
        </is>
      </c>
    </row>
    <row r="79">
      <c r="A79" s="1" t="inlineStr">
        <is>
          <t>GR-2023-1013</t>
        </is>
      </c>
      <c r="B79" s="1" t="inlineStr">
        <is>
          <t>Junia Alvarez</t>
        </is>
      </c>
      <c r="C79" s="1" t="inlineStr">
        <is>
          <t>Restricted stock unit</t>
        </is>
      </c>
      <c r="D79" s="2" t="n">
        <v>45275</v>
      </c>
      <c r="E79" s="2" t="n">
        <v>45251</v>
      </c>
      <c r="F79" s="1" t="n">
        <v>12</v>
      </c>
      <c r="G79" s="1" t="inlineStr">
        <is>
          <t>Performance tranches on board certification</t>
        </is>
      </c>
      <c r="H79" s="1" t="n">
        <v>4</v>
      </c>
      <c r="I79" s="2" t="n">
        <v>45890</v>
      </c>
      <c r="J79" s="1" t="n">
        <v>14011</v>
      </c>
      <c r="K79" s="1" t="n">
        <v>84068</v>
      </c>
      <c r="L79" s="1">
        <f>L78+J79</f>
        <v/>
      </c>
      <c r="M79" s="1">
        <f>K79-L79</f>
        <v/>
      </c>
      <c r="N79" s="1" t="n">
        <v>0</v>
      </c>
      <c r="O79" s="1" t="inlineStr">
        <is>
          <t>Vested</t>
        </is>
      </c>
    </row>
    <row r="80">
      <c r="A80" s="1" t="inlineStr">
        <is>
          <t>GR-2023-1013</t>
        </is>
      </c>
      <c r="B80" s="1" t="inlineStr">
        <is>
          <t>Junia Alvarez</t>
        </is>
      </c>
      <c r="C80" s="1" t="inlineStr">
        <is>
          <t>Restricted stock unit</t>
        </is>
      </c>
      <c r="D80" s="2" t="n">
        <v>45275</v>
      </c>
      <c r="E80" s="2" t="n">
        <v>45251</v>
      </c>
      <c r="F80" s="1" t="n">
        <v>12</v>
      </c>
      <c r="G80" s="1" t="inlineStr">
        <is>
          <t>Performance tranches on board certification</t>
        </is>
      </c>
      <c r="H80" s="1" t="n">
        <v>5</v>
      </c>
      <c r="I80" s="2" t="n">
        <v>45982</v>
      </c>
      <c r="J80" s="1" t="n">
        <v>14011</v>
      </c>
      <c r="K80" s="1" t="n">
        <v>84068</v>
      </c>
      <c r="L80" s="1">
        <f>L79+J80</f>
        <v/>
      </c>
      <c r="M80" s="1">
        <f>K80-L80</f>
        <v/>
      </c>
      <c r="N80" s="1" t="n">
        <v>0</v>
      </c>
      <c r="O80" s="1" t="inlineStr">
        <is>
          <t>Vested</t>
        </is>
      </c>
    </row>
    <row r="81">
      <c r="A81" s="1" t="inlineStr">
        <is>
          <t>GR-2023-1013</t>
        </is>
      </c>
      <c r="B81" s="1" t="inlineStr">
        <is>
          <t>Junia Alvarez</t>
        </is>
      </c>
      <c r="C81" s="1" t="inlineStr">
        <is>
          <t>Restricted stock unit</t>
        </is>
      </c>
      <c r="D81" s="2" t="n">
        <v>45275</v>
      </c>
      <c r="E81" s="2" t="n">
        <v>45251</v>
      </c>
      <c r="F81" s="1" t="n">
        <v>12</v>
      </c>
      <c r="G81" s="1" t="inlineStr">
        <is>
          <t>Performance tranches on board certification</t>
        </is>
      </c>
      <c r="H81" s="1" t="n">
        <v>6</v>
      </c>
      <c r="I81" s="2" t="n">
        <v>46074</v>
      </c>
      <c r="J81" s="1" t="n">
        <v>14013</v>
      </c>
      <c r="K81" s="1" t="n">
        <v>84068</v>
      </c>
      <c r="L81" s="1">
        <f>L80+J81</f>
        <v/>
      </c>
      <c r="M81" s="1">
        <f>K81-L81</f>
        <v/>
      </c>
      <c r="N81" s="1" t="n">
        <v>0</v>
      </c>
      <c r="O81" s="1" t="inlineStr">
        <is>
          <t>Vested</t>
        </is>
      </c>
    </row>
    <row r="82">
      <c r="A82" s="1" t="inlineStr">
        <is>
          <t>GR-2026-1014</t>
        </is>
      </c>
      <c r="B82" s="1" t="inlineStr">
        <is>
          <t>Junia Alvarez</t>
        </is>
      </c>
      <c r="C82" s="1" t="inlineStr">
        <is>
          <t>Performance stock unit</t>
        </is>
      </c>
      <c r="D82" s="2" t="n">
        <v>46099</v>
      </c>
      <c r="E82" s="2" t="n">
        <v>46083</v>
      </c>
      <c r="F82" s="1" t="n">
        <v>12</v>
      </c>
      <c r="G82" s="1" t="inlineStr">
        <is>
          <t>Performance tranches on board certification</t>
        </is>
      </c>
      <c r="H82" s="1" t="n">
        <v>1</v>
      </c>
      <c r="I82" s="2" t="n">
        <v>46448</v>
      </c>
      <c r="J82" s="1" t="n">
        <v>5374</v>
      </c>
      <c r="K82" s="1" t="n">
        <v>42993</v>
      </c>
      <c r="L82" s="1">
        <f>J82</f>
        <v/>
      </c>
      <c r="M82" s="1">
        <f>K82-L82</f>
        <v/>
      </c>
      <c r="N82" s="1" t="n">
        <v>0</v>
      </c>
      <c r="O82" s="1" t="inlineStr">
        <is>
          <t>Unvested</t>
        </is>
      </c>
    </row>
    <row r="83">
      <c r="A83" s="1" t="inlineStr">
        <is>
          <t>GR-2026-1014</t>
        </is>
      </c>
      <c r="B83" s="1" t="inlineStr">
        <is>
          <t>Junia Alvarez</t>
        </is>
      </c>
      <c r="C83" s="1" t="inlineStr">
        <is>
          <t>Performance stock unit</t>
        </is>
      </c>
      <c r="D83" s="2" t="n">
        <v>46099</v>
      </c>
      <c r="E83" s="2" t="n">
        <v>46083</v>
      </c>
      <c r="F83" s="1" t="n">
        <v>12</v>
      </c>
      <c r="G83" s="1" t="inlineStr">
        <is>
          <t>Performance tranches on board certification</t>
        </is>
      </c>
      <c r="H83" s="1" t="n">
        <v>2</v>
      </c>
      <c r="I83" s="2" t="n">
        <v>46540</v>
      </c>
      <c r="J83" s="1" t="n">
        <v>5374</v>
      </c>
      <c r="K83" s="1" t="n">
        <v>42993</v>
      </c>
      <c r="L83" s="1">
        <f>L82+J83</f>
        <v/>
      </c>
      <c r="M83" s="1">
        <f>K83-L83</f>
        <v/>
      </c>
      <c r="N83" s="1" t="n">
        <v>0</v>
      </c>
      <c r="O83" s="1" t="inlineStr">
        <is>
          <t>Unvested</t>
        </is>
      </c>
    </row>
    <row r="84">
      <c r="A84" s="1" t="inlineStr">
        <is>
          <t>GR-2026-1014</t>
        </is>
      </c>
      <c r="B84" s="1" t="inlineStr">
        <is>
          <t>Junia Alvarez</t>
        </is>
      </c>
      <c r="C84" s="1" t="inlineStr">
        <is>
          <t>Performance stock unit</t>
        </is>
      </c>
      <c r="D84" s="2" t="n">
        <v>46099</v>
      </c>
      <c r="E84" s="2" t="n">
        <v>46083</v>
      </c>
      <c r="F84" s="1" t="n">
        <v>12</v>
      </c>
      <c r="G84" s="1" t="inlineStr">
        <is>
          <t>Performance tranches on board certification</t>
        </is>
      </c>
      <c r="H84" s="1" t="n">
        <v>3</v>
      </c>
      <c r="I84" s="2" t="n">
        <v>46632</v>
      </c>
      <c r="J84" s="1" t="n">
        <v>5374</v>
      </c>
      <c r="K84" s="1" t="n">
        <v>42993</v>
      </c>
      <c r="L84" s="1">
        <f>L83+J84</f>
        <v/>
      </c>
      <c r="M84" s="1">
        <f>K84-L84</f>
        <v/>
      </c>
      <c r="N84" s="1" t="n">
        <v>0</v>
      </c>
      <c r="O84" s="1" t="inlineStr">
        <is>
          <t>Unvested</t>
        </is>
      </c>
    </row>
    <row r="85">
      <c r="A85" s="1" t="inlineStr">
        <is>
          <t>GR-2026-1014</t>
        </is>
      </c>
      <c r="B85" s="1" t="inlineStr">
        <is>
          <t>Junia Alvarez</t>
        </is>
      </c>
      <c r="C85" s="1" t="inlineStr">
        <is>
          <t>Performance stock unit</t>
        </is>
      </c>
      <c r="D85" s="2" t="n">
        <v>46099</v>
      </c>
      <c r="E85" s="2" t="n">
        <v>46083</v>
      </c>
      <c r="F85" s="1" t="n">
        <v>12</v>
      </c>
      <c r="G85" s="1" t="inlineStr">
        <is>
          <t>Performance tranches on board certification</t>
        </is>
      </c>
      <c r="H85" s="1" t="n">
        <v>4</v>
      </c>
      <c r="I85" s="2" t="n">
        <v>46723</v>
      </c>
      <c r="J85" s="1" t="n">
        <v>5374</v>
      </c>
      <c r="K85" s="1" t="n">
        <v>42993</v>
      </c>
      <c r="L85" s="1">
        <f>L84+J85</f>
        <v/>
      </c>
      <c r="M85" s="1">
        <f>K85-L85</f>
        <v/>
      </c>
      <c r="N85" s="1" t="n">
        <v>0</v>
      </c>
      <c r="O85" s="1" t="inlineStr">
        <is>
          <t>Unvested</t>
        </is>
      </c>
    </row>
    <row r="86">
      <c r="A86" s="1" t="inlineStr">
        <is>
          <t>GR-2026-1014</t>
        </is>
      </c>
      <c r="B86" s="1" t="inlineStr">
        <is>
          <t>Junia Alvarez</t>
        </is>
      </c>
      <c r="C86" s="1" t="inlineStr">
        <is>
          <t>Performance stock unit</t>
        </is>
      </c>
      <c r="D86" s="2" t="n">
        <v>46099</v>
      </c>
      <c r="E86" s="2" t="n">
        <v>46083</v>
      </c>
      <c r="F86" s="1" t="n">
        <v>12</v>
      </c>
      <c r="G86" s="1" t="inlineStr">
        <is>
          <t>Performance tranches on board certification</t>
        </is>
      </c>
      <c r="H86" s="1" t="n">
        <v>5</v>
      </c>
      <c r="I86" s="2" t="n">
        <v>46814</v>
      </c>
      <c r="J86" s="1" t="n">
        <v>5374</v>
      </c>
      <c r="K86" s="1" t="n">
        <v>42993</v>
      </c>
      <c r="L86" s="1">
        <f>L85+J86</f>
        <v/>
      </c>
      <c r="M86" s="1">
        <f>K86-L86</f>
        <v/>
      </c>
      <c r="N86" s="1" t="n">
        <v>0</v>
      </c>
      <c r="O86" s="1" t="inlineStr">
        <is>
          <t>Unvested</t>
        </is>
      </c>
    </row>
    <row r="87">
      <c r="A87" s="1" t="inlineStr">
        <is>
          <t>GR-2026-1014</t>
        </is>
      </c>
      <c r="B87" s="1" t="inlineStr">
        <is>
          <t>Junia Alvarez</t>
        </is>
      </c>
      <c r="C87" s="1" t="inlineStr">
        <is>
          <t>Performance stock unit</t>
        </is>
      </c>
      <c r="D87" s="2" t="n">
        <v>46099</v>
      </c>
      <c r="E87" s="2" t="n">
        <v>46083</v>
      </c>
      <c r="F87" s="1" t="n">
        <v>12</v>
      </c>
      <c r="G87" s="1" t="inlineStr">
        <is>
          <t>Performance tranches on board certification</t>
        </is>
      </c>
      <c r="H87" s="1" t="n">
        <v>6</v>
      </c>
      <c r="I87" s="2" t="n">
        <v>46906</v>
      </c>
      <c r="J87" s="1" t="n">
        <v>5374</v>
      </c>
      <c r="K87" s="1" t="n">
        <v>42993</v>
      </c>
      <c r="L87" s="1">
        <f>L86+J87</f>
        <v/>
      </c>
      <c r="M87" s="1">
        <f>K87-L87</f>
        <v/>
      </c>
      <c r="N87" s="1" t="n">
        <v>0</v>
      </c>
      <c r="O87" s="1" t="inlineStr">
        <is>
          <t>Unvested</t>
        </is>
      </c>
    </row>
    <row r="88">
      <c r="A88" s="1" t="inlineStr">
        <is>
          <t>GR-2026-1014</t>
        </is>
      </c>
      <c r="B88" s="1" t="inlineStr">
        <is>
          <t>Junia Alvarez</t>
        </is>
      </c>
      <c r="C88" s="1" t="inlineStr">
        <is>
          <t>Performance stock unit</t>
        </is>
      </c>
      <c r="D88" s="2" t="n">
        <v>46099</v>
      </c>
      <c r="E88" s="2" t="n">
        <v>46083</v>
      </c>
      <c r="F88" s="1" t="n">
        <v>12</v>
      </c>
      <c r="G88" s="1" t="inlineStr">
        <is>
          <t>Performance tranches on board certification</t>
        </is>
      </c>
      <c r="H88" s="1" t="n">
        <v>7</v>
      </c>
      <c r="I88" s="2" t="n">
        <v>46998</v>
      </c>
      <c r="J88" s="1" t="n">
        <v>5374</v>
      </c>
      <c r="K88" s="1" t="n">
        <v>42993</v>
      </c>
      <c r="L88" s="1">
        <f>L87+J88</f>
        <v/>
      </c>
      <c r="M88" s="1">
        <f>K88-L88</f>
        <v/>
      </c>
      <c r="N88" s="1" t="n">
        <v>0</v>
      </c>
      <c r="O88" s="1" t="inlineStr">
        <is>
          <t>Unvested</t>
        </is>
      </c>
    </row>
    <row r="89">
      <c r="A89" s="1" t="inlineStr">
        <is>
          <t>GR-2026-1014</t>
        </is>
      </c>
      <c r="B89" s="1" t="inlineStr">
        <is>
          <t>Junia Alvarez</t>
        </is>
      </c>
      <c r="C89" s="1" t="inlineStr">
        <is>
          <t>Performance stock unit</t>
        </is>
      </c>
      <c r="D89" s="2" t="n">
        <v>46099</v>
      </c>
      <c r="E89" s="2" t="n">
        <v>46083</v>
      </c>
      <c r="F89" s="1" t="n">
        <v>12</v>
      </c>
      <c r="G89" s="1" t="inlineStr">
        <is>
          <t>Performance tranches on board certification</t>
        </is>
      </c>
      <c r="H89" s="1" t="n">
        <v>8</v>
      </c>
      <c r="I89" s="2" t="n">
        <v>47089</v>
      </c>
      <c r="J89" s="1" t="n">
        <v>5375</v>
      </c>
      <c r="K89" s="1" t="n">
        <v>42993</v>
      </c>
      <c r="L89" s="1">
        <f>L88+J89</f>
        <v/>
      </c>
      <c r="M89" s="1">
        <f>K89-L89</f>
        <v/>
      </c>
      <c r="N89" s="1" t="n">
        <v>0</v>
      </c>
      <c r="O89" s="1" t="inlineStr">
        <is>
          <t>Unvested</t>
        </is>
      </c>
    </row>
    <row r="90">
      <c r="A90" s="1" t="inlineStr">
        <is>
          <t>GR-2025-1015</t>
        </is>
      </c>
      <c r="B90" s="1" t="inlineStr">
        <is>
          <t>Hollis Ferrand</t>
        </is>
      </c>
      <c r="C90" s="1" t="inlineStr">
        <is>
          <t>Incentive stock option</t>
        </is>
      </c>
      <c r="D90" s="2" t="n">
        <v>45870</v>
      </c>
      <c r="E90" s="2" t="n">
        <v>45848</v>
      </c>
      <c r="F90" s="1" t="n">
        <v>0</v>
      </c>
      <c r="G90" s="1" t="inlineStr">
        <is>
          <t>4 annual tranches</t>
        </is>
      </c>
      <c r="H90" s="1" t="n">
        <v>1</v>
      </c>
      <c r="I90" s="2" t="n">
        <v>45848</v>
      </c>
      <c r="J90" s="1" t="n">
        <v>29401</v>
      </c>
      <c r="K90" s="1" t="n">
        <v>88204</v>
      </c>
      <c r="L90" s="1">
        <f>J90</f>
        <v/>
      </c>
      <c r="M90" s="1">
        <f>K90-L90</f>
        <v/>
      </c>
      <c r="N90" s="1" t="n">
        <v>0</v>
      </c>
      <c r="O90" s="1" t="inlineStr">
        <is>
          <t>Vested</t>
        </is>
      </c>
    </row>
    <row r="91">
      <c r="A91" s="1" t="inlineStr">
        <is>
          <t>GR-2025-1015</t>
        </is>
      </c>
      <c r="B91" s="1" t="inlineStr">
        <is>
          <t>Hollis Ferrand</t>
        </is>
      </c>
      <c r="C91" s="1" t="inlineStr">
        <is>
          <t>Incentive stock option</t>
        </is>
      </c>
      <c r="D91" s="2" t="n">
        <v>45870</v>
      </c>
      <c r="E91" s="2" t="n">
        <v>45848</v>
      </c>
      <c r="F91" s="1" t="n">
        <v>0</v>
      </c>
      <c r="G91" s="1" t="inlineStr">
        <is>
          <t>4 annual tranches</t>
        </is>
      </c>
      <c r="H91" s="1" t="n">
        <v>2</v>
      </c>
      <c r="I91" s="2" t="n">
        <v>45940</v>
      </c>
      <c r="J91" s="1" t="n">
        <v>29401</v>
      </c>
      <c r="K91" s="1" t="n">
        <v>88204</v>
      </c>
      <c r="L91" s="1">
        <f>L90+J91</f>
        <v/>
      </c>
      <c r="M91" s="1">
        <f>K91-L91</f>
        <v/>
      </c>
      <c r="N91" s="1" t="n">
        <v>0</v>
      </c>
      <c r="O91" s="1" t="inlineStr">
        <is>
          <t>Vested</t>
        </is>
      </c>
    </row>
    <row r="92">
      <c r="A92" s="1" t="inlineStr">
        <is>
          <t>GR-2025-1015</t>
        </is>
      </c>
      <c r="B92" s="1" t="inlineStr">
        <is>
          <t>Hollis Ferrand</t>
        </is>
      </c>
      <c r="C92" s="1" t="inlineStr">
        <is>
          <t>Incentive stock option</t>
        </is>
      </c>
      <c r="D92" s="2" t="n">
        <v>45870</v>
      </c>
      <c r="E92" s="2" t="n">
        <v>45848</v>
      </c>
      <c r="F92" s="1" t="n">
        <v>0</v>
      </c>
      <c r="G92" s="1" t="inlineStr">
        <is>
          <t>4 annual tranches</t>
        </is>
      </c>
      <c r="H92" s="1" t="n">
        <v>3</v>
      </c>
      <c r="I92" s="2" t="n">
        <v>46032</v>
      </c>
      <c r="J92" s="1" t="n">
        <v>29402</v>
      </c>
      <c r="K92" s="1" t="n">
        <v>88204</v>
      </c>
      <c r="L92" s="1">
        <f>L91+J92</f>
        <v/>
      </c>
      <c r="M92" s="1">
        <f>K92-L92</f>
        <v/>
      </c>
      <c r="N92" s="1" t="n">
        <v>0</v>
      </c>
      <c r="O92" s="1" t="inlineStr">
        <is>
          <t>Vested</t>
        </is>
      </c>
    </row>
    <row r="93">
      <c r="A93" s="1" t="inlineStr">
        <is>
          <t>GR-2023-1016</t>
        </is>
      </c>
      <c r="B93" s="1" t="inlineStr">
        <is>
          <t>Marta Kubiak</t>
        </is>
      </c>
      <c r="C93" s="1" t="inlineStr">
        <is>
          <t>Incentive stock option</t>
        </is>
      </c>
      <c r="D93" s="2" t="n">
        <v>45261</v>
      </c>
      <c r="E93" s="2" t="n">
        <v>45190</v>
      </c>
      <c r="F93" s="1" t="n">
        <v>12</v>
      </c>
      <c r="G93" s="1" t="inlineStr">
        <is>
          <t>4 annual tranches</t>
        </is>
      </c>
      <c r="H93" s="1" t="n">
        <v>1</v>
      </c>
      <c r="I93" s="2" t="n">
        <v>45556</v>
      </c>
      <c r="J93" s="1" t="n">
        <v>6744</v>
      </c>
      <c r="K93" s="1" t="n">
        <v>33724</v>
      </c>
      <c r="L93" s="1">
        <f>J93</f>
        <v/>
      </c>
      <c r="M93" s="1">
        <f>K93-L93</f>
        <v/>
      </c>
      <c r="N93" s="1" t="n">
        <v>0</v>
      </c>
      <c r="O93" s="1" t="inlineStr">
        <is>
          <t>Vested</t>
        </is>
      </c>
    </row>
    <row r="94">
      <c r="A94" s="1" t="inlineStr">
        <is>
          <t>GR-2023-1016</t>
        </is>
      </c>
      <c r="B94" s="1" t="inlineStr">
        <is>
          <t>Marta Kubiak</t>
        </is>
      </c>
      <c r="C94" s="1" t="inlineStr">
        <is>
          <t>Incentive stock option</t>
        </is>
      </c>
      <c r="D94" s="2" t="n">
        <v>45261</v>
      </c>
      <c r="E94" s="2" t="n">
        <v>45190</v>
      </c>
      <c r="F94" s="1" t="n">
        <v>12</v>
      </c>
      <c r="G94" s="1" t="inlineStr">
        <is>
          <t>4 annual tranches</t>
        </is>
      </c>
      <c r="H94" s="1" t="n">
        <v>2</v>
      </c>
      <c r="I94" s="2" t="n">
        <v>45647</v>
      </c>
      <c r="J94" s="1" t="n">
        <v>6744</v>
      </c>
      <c r="K94" s="1" t="n">
        <v>33724</v>
      </c>
      <c r="L94" s="1">
        <f>L93+J94</f>
        <v/>
      </c>
      <c r="M94" s="1">
        <f>K94-L94</f>
        <v/>
      </c>
      <c r="N94" s="1" t="n">
        <v>0</v>
      </c>
      <c r="O94" s="1" t="inlineStr">
        <is>
          <t>Vested</t>
        </is>
      </c>
    </row>
    <row r="95">
      <c r="A95" s="1" t="inlineStr">
        <is>
          <t>GR-2023-1016</t>
        </is>
      </c>
      <c r="B95" s="1" t="inlineStr">
        <is>
          <t>Marta Kubiak</t>
        </is>
      </c>
      <c r="C95" s="1" t="inlineStr">
        <is>
          <t>Incentive stock option</t>
        </is>
      </c>
      <c r="D95" s="2" t="n">
        <v>45261</v>
      </c>
      <c r="E95" s="2" t="n">
        <v>45190</v>
      </c>
      <c r="F95" s="1" t="n">
        <v>12</v>
      </c>
      <c r="G95" s="1" t="inlineStr">
        <is>
          <t>4 annual tranches</t>
        </is>
      </c>
      <c r="H95" s="1" t="n">
        <v>3</v>
      </c>
      <c r="I95" s="2" t="n">
        <v>45737</v>
      </c>
      <c r="J95" s="1" t="n">
        <v>6744</v>
      </c>
      <c r="K95" s="1" t="n">
        <v>33724</v>
      </c>
      <c r="L95" s="1">
        <f>L94+J95</f>
        <v/>
      </c>
      <c r="M95" s="1">
        <f>K95-L95</f>
        <v/>
      </c>
      <c r="N95" s="1" t="n">
        <v>0</v>
      </c>
      <c r="O95" s="1" t="inlineStr">
        <is>
          <t>Vested</t>
        </is>
      </c>
    </row>
    <row r="96">
      <c r="A96" s="1" t="inlineStr">
        <is>
          <t>GR-2023-1016</t>
        </is>
      </c>
      <c r="B96" s="1" t="inlineStr">
        <is>
          <t>Marta Kubiak</t>
        </is>
      </c>
      <c r="C96" s="1" t="inlineStr">
        <is>
          <t>Incentive stock option</t>
        </is>
      </c>
      <c r="D96" s="2" t="n">
        <v>45261</v>
      </c>
      <c r="E96" s="2" t="n">
        <v>45190</v>
      </c>
      <c r="F96" s="1" t="n">
        <v>12</v>
      </c>
      <c r="G96" s="1" t="inlineStr">
        <is>
          <t>4 annual tranches</t>
        </is>
      </c>
      <c r="H96" s="1" t="n">
        <v>4</v>
      </c>
      <c r="I96" s="2" t="n">
        <v>45829</v>
      </c>
      <c r="J96" s="1" t="n">
        <v>6744</v>
      </c>
      <c r="K96" s="1" t="n">
        <v>33724</v>
      </c>
      <c r="L96" s="1">
        <f>L95+J96</f>
        <v/>
      </c>
      <c r="M96" s="1">
        <f>K96-L96</f>
        <v/>
      </c>
      <c r="N96" s="1" t="n">
        <v>0</v>
      </c>
      <c r="O96" s="1" t="inlineStr">
        <is>
          <t>Vested</t>
        </is>
      </c>
    </row>
    <row r="97">
      <c r="A97" s="1" t="inlineStr">
        <is>
          <t>GR-2023-1016</t>
        </is>
      </c>
      <c r="B97" s="1" t="inlineStr">
        <is>
          <t>Marta Kubiak</t>
        </is>
      </c>
      <c r="C97" s="1" t="inlineStr">
        <is>
          <t>Incentive stock option</t>
        </is>
      </c>
      <c r="D97" s="2" t="n">
        <v>45261</v>
      </c>
      <c r="E97" s="2" t="n">
        <v>45190</v>
      </c>
      <c r="F97" s="1" t="n">
        <v>12</v>
      </c>
      <c r="G97" s="1" t="inlineStr">
        <is>
          <t>4 annual tranches</t>
        </is>
      </c>
      <c r="H97" s="1" t="n">
        <v>5</v>
      </c>
      <c r="I97" s="2" t="n">
        <v>45921</v>
      </c>
      <c r="J97" s="1" t="n">
        <v>6748</v>
      </c>
      <c r="K97" s="1" t="n">
        <v>33724</v>
      </c>
      <c r="L97" s="1">
        <f>L96+J97</f>
        <v/>
      </c>
      <c r="M97" s="1">
        <f>K97-L97</f>
        <v/>
      </c>
      <c r="N97" s="1" t="n">
        <v>0</v>
      </c>
      <c r="O97" s="1" t="inlineStr">
        <is>
          <t>Vested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grant_id</t>
        </is>
      </c>
      <c r="B1" s="1" t="inlineStr">
        <is>
          <t>holder</t>
        </is>
      </c>
      <c r="C1" s="1" t="inlineStr">
        <is>
          <t>award_type</t>
        </is>
      </c>
      <c r="D1" s="1" t="inlineStr">
        <is>
          <t>grant_date</t>
        </is>
      </c>
      <c r="E1" s="1" t="inlineStr">
        <is>
          <t>vest_start</t>
        </is>
      </c>
      <c r="F1" s="1" t="inlineStr">
        <is>
          <t>cliff_months</t>
        </is>
      </c>
      <c r="G1" s="1" t="inlineStr">
        <is>
          <t>schedule</t>
        </is>
      </c>
      <c r="H1" s="1" t="inlineStr">
        <is>
          <t>tranche_no</t>
        </is>
      </c>
      <c r="I1" s="1" t="inlineStr">
        <is>
          <t>tranche_date</t>
        </is>
      </c>
      <c r="J1" s="1" t="inlineStr">
        <is>
          <t>tranche_quantity</t>
        </is>
      </c>
      <c r="K1" s="1" t="inlineStr">
        <is>
          <t>grant_quantity</t>
        </is>
      </c>
      <c r="L1" s="1" t="inlineStr">
        <is>
          <t>cumulative_vested</t>
        </is>
      </c>
      <c r="M1" s="1" t="inlineStr">
        <is>
          <t>unvested</t>
        </is>
      </c>
      <c r="N1" s="1" t="inlineStr">
        <is>
          <t>forfeited</t>
        </is>
      </c>
      <c r="O1" s="1" t="inlineStr">
        <is>
          <t>status</t>
        </is>
      </c>
    </row>
    <row r="2">
      <c r="A2" s="1" t="inlineStr">
        <is>
          <t>GR-2023-2001</t>
        </is>
      </c>
      <c r="B2" s="1" t="inlineStr">
        <is>
          <t>Marta Kubiak</t>
        </is>
      </c>
      <c r="C2" s="1" t="inlineStr">
        <is>
          <t>Incentive stock option</t>
        </is>
      </c>
      <c r="D2" s="2" t="n">
        <v>44932</v>
      </c>
      <c r="E2" s="2" t="n">
        <v>44855</v>
      </c>
      <c r="F2" s="1" t="n">
        <v>6</v>
      </c>
      <c r="G2" s="1" t="inlineStr">
        <is>
          <t>36 months monthly, no cliff</t>
        </is>
      </c>
      <c r="H2" s="1" t="n">
        <v>1</v>
      </c>
      <c r="I2" s="2" t="n">
        <v>45037</v>
      </c>
      <c r="J2" s="1" t="n">
        <v>7978</v>
      </c>
      <c r="K2" s="1" t="n">
        <v>63830</v>
      </c>
      <c r="L2" s="1">
        <f>J2</f>
        <v/>
      </c>
      <c r="M2" s="1">
        <f>K2-L2</f>
        <v/>
      </c>
      <c r="N2" s="1" t="n">
        <v>0</v>
      </c>
      <c r="O2" s="1" t="inlineStr">
        <is>
          <t>Vested</t>
        </is>
      </c>
    </row>
    <row r="3">
      <c r="A3" s="1" t="inlineStr">
        <is>
          <t>GR-2023-2001</t>
        </is>
      </c>
      <c r="B3" s="1" t="inlineStr">
        <is>
          <t>Marta Kubiak</t>
        </is>
      </c>
      <c r="C3" s="1" t="inlineStr">
        <is>
          <t>Incentive stock option</t>
        </is>
      </c>
      <c r="D3" s="2" t="n">
        <v>44932</v>
      </c>
      <c r="E3" s="2" t="n">
        <v>44855</v>
      </c>
      <c r="F3" s="1" t="n">
        <v>6</v>
      </c>
      <c r="G3" s="1" t="inlineStr">
        <is>
          <t>36 months monthly, no cliff</t>
        </is>
      </c>
      <c r="H3" s="1" t="n">
        <v>2</v>
      </c>
      <c r="I3" s="2" t="n">
        <v>45128</v>
      </c>
      <c r="J3" s="1" t="n">
        <v>7978</v>
      </c>
      <c r="K3" s="1" t="n">
        <v>63830</v>
      </c>
      <c r="L3" s="1">
        <f>L2+J3</f>
        <v/>
      </c>
      <c r="M3" s="1">
        <f>K3-L3</f>
        <v/>
      </c>
      <c r="N3" s="1" t="n">
        <v>0</v>
      </c>
      <c r="O3" s="1" t="inlineStr">
        <is>
          <t>Vested</t>
        </is>
      </c>
    </row>
    <row r="4">
      <c r="A4" s="1" t="inlineStr">
        <is>
          <t>GR-2023-2001</t>
        </is>
      </c>
      <c r="B4" s="1" t="inlineStr">
        <is>
          <t>Marta Kubiak</t>
        </is>
      </c>
      <c r="C4" s="1" t="inlineStr">
        <is>
          <t>Incentive stock option</t>
        </is>
      </c>
      <c r="D4" s="2" t="n">
        <v>44932</v>
      </c>
      <c r="E4" s="2" t="n">
        <v>44855</v>
      </c>
      <c r="F4" s="1" t="n">
        <v>6</v>
      </c>
      <c r="G4" s="1" t="inlineStr">
        <is>
          <t>36 months monthly, no cliff</t>
        </is>
      </c>
      <c r="H4" s="1" t="n">
        <v>3</v>
      </c>
      <c r="I4" s="2" t="n">
        <v>45220</v>
      </c>
      <c r="J4" s="1" t="n">
        <v>7978</v>
      </c>
      <c r="K4" s="1" t="n">
        <v>63830</v>
      </c>
      <c r="L4" s="1">
        <f>L3+J4</f>
        <v/>
      </c>
      <c r="M4" s="1">
        <f>K4-L4</f>
        <v/>
      </c>
      <c r="N4" s="1" t="n">
        <v>0</v>
      </c>
      <c r="O4" s="1" t="inlineStr">
        <is>
          <t>Vested</t>
        </is>
      </c>
    </row>
    <row r="5">
      <c r="A5" s="1" t="inlineStr">
        <is>
          <t>GR-2023-2001</t>
        </is>
      </c>
      <c r="B5" s="1" t="inlineStr">
        <is>
          <t>Marta Kubiak</t>
        </is>
      </c>
      <c r="C5" s="1" t="inlineStr">
        <is>
          <t>Incentive stock option</t>
        </is>
      </c>
      <c r="D5" s="2" t="n">
        <v>44932</v>
      </c>
      <c r="E5" s="2" t="n">
        <v>44855</v>
      </c>
      <c r="F5" s="1" t="n">
        <v>6</v>
      </c>
      <c r="G5" s="1" t="inlineStr">
        <is>
          <t>36 months monthly, no cliff</t>
        </is>
      </c>
      <c r="H5" s="1" t="n">
        <v>4</v>
      </c>
      <c r="I5" s="2" t="n">
        <v>45312</v>
      </c>
      <c r="J5" s="1" t="n">
        <v>7978</v>
      </c>
      <c r="K5" s="1" t="n">
        <v>63830</v>
      </c>
      <c r="L5" s="1">
        <f>L4+J5</f>
        <v/>
      </c>
      <c r="M5" s="1">
        <f>K5-L5</f>
        <v/>
      </c>
      <c r="N5" s="1" t="n">
        <v>0</v>
      </c>
      <c r="O5" s="1" t="inlineStr">
        <is>
          <t>Vested</t>
        </is>
      </c>
    </row>
    <row r="6">
      <c r="A6" s="1" t="inlineStr">
        <is>
          <t>GR-2023-2001</t>
        </is>
      </c>
      <c r="B6" s="1" t="inlineStr">
        <is>
          <t>Marta Kubiak</t>
        </is>
      </c>
      <c r="C6" s="1" t="inlineStr">
        <is>
          <t>Incentive stock option</t>
        </is>
      </c>
      <c r="D6" s="2" t="n">
        <v>44932</v>
      </c>
      <c r="E6" s="2" t="n">
        <v>44855</v>
      </c>
      <c r="F6" s="1" t="n">
        <v>6</v>
      </c>
      <c r="G6" s="1" t="inlineStr">
        <is>
          <t>36 months monthly, no cliff</t>
        </is>
      </c>
      <c r="H6" s="1" t="n">
        <v>5</v>
      </c>
      <c r="I6" s="2" t="n">
        <v>45403</v>
      </c>
      <c r="J6" s="1" t="n">
        <v>7978</v>
      </c>
      <c r="K6" s="1" t="n">
        <v>63830</v>
      </c>
      <c r="L6" s="1">
        <f>L5+J6</f>
        <v/>
      </c>
      <c r="M6" s="1">
        <f>K6-L6</f>
        <v/>
      </c>
      <c r="N6" s="1" t="n">
        <v>0</v>
      </c>
      <c r="O6" s="1" t="inlineStr">
        <is>
          <t>Vested</t>
        </is>
      </c>
    </row>
    <row r="7">
      <c r="A7" s="1" t="inlineStr">
        <is>
          <t>GR-2023-2001</t>
        </is>
      </c>
      <c r="B7" s="1" t="inlineStr">
        <is>
          <t>Marta Kubiak</t>
        </is>
      </c>
      <c r="C7" s="1" t="inlineStr">
        <is>
          <t>Incentive stock option</t>
        </is>
      </c>
      <c r="D7" s="2" t="n">
        <v>44932</v>
      </c>
      <c r="E7" s="2" t="n">
        <v>44855</v>
      </c>
      <c r="F7" s="1" t="n">
        <v>6</v>
      </c>
      <c r="G7" s="1" t="inlineStr">
        <is>
          <t>36 months monthly, no cliff</t>
        </is>
      </c>
      <c r="H7" s="1" t="n">
        <v>6</v>
      </c>
      <c r="I7" s="2" t="n">
        <v>45494</v>
      </c>
      <c r="J7" s="1" t="n">
        <v>7978</v>
      </c>
      <c r="K7" s="1" t="n">
        <v>63830</v>
      </c>
      <c r="L7" s="1">
        <f>L6+J7</f>
        <v/>
      </c>
      <c r="M7" s="1">
        <f>K7-L7</f>
        <v/>
      </c>
      <c r="N7" s="1" t="n">
        <v>0</v>
      </c>
      <c r="O7" s="1" t="inlineStr">
        <is>
          <t>Vested</t>
        </is>
      </c>
    </row>
    <row r="8">
      <c r="A8" s="1" t="inlineStr">
        <is>
          <t>GR-2023-2001</t>
        </is>
      </c>
      <c r="B8" s="1" t="inlineStr">
        <is>
          <t>Marta Kubiak</t>
        </is>
      </c>
      <c r="C8" s="1" t="inlineStr">
        <is>
          <t>Incentive stock option</t>
        </is>
      </c>
      <c r="D8" s="2" t="n">
        <v>44932</v>
      </c>
      <c r="E8" s="2" t="n">
        <v>44855</v>
      </c>
      <c r="F8" s="1" t="n">
        <v>6</v>
      </c>
      <c r="G8" s="1" t="inlineStr">
        <is>
          <t>36 months monthly, no cliff</t>
        </is>
      </c>
      <c r="H8" s="1" t="n">
        <v>7</v>
      </c>
      <c r="I8" s="2" t="n">
        <v>45586</v>
      </c>
      <c r="J8" s="1" t="n">
        <v>7978</v>
      </c>
      <c r="K8" s="1" t="n">
        <v>63830</v>
      </c>
      <c r="L8" s="1">
        <f>L7+J8</f>
        <v/>
      </c>
      <c r="M8" s="1">
        <f>K8-L8</f>
        <v/>
      </c>
      <c r="N8" s="1" t="n">
        <v>0</v>
      </c>
      <c r="O8" s="1" t="inlineStr">
        <is>
          <t>Vested</t>
        </is>
      </c>
    </row>
    <row r="9">
      <c r="A9" s="1" t="inlineStr">
        <is>
          <t>GR-2023-2001</t>
        </is>
      </c>
      <c r="B9" s="1" t="inlineStr">
        <is>
          <t>Marta Kubiak</t>
        </is>
      </c>
      <c r="C9" s="1" t="inlineStr">
        <is>
          <t>Incentive stock option</t>
        </is>
      </c>
      <c r="D9" s="2" t="n">
        <v>44932</v>
      </c>
      <c r="E9" s="2" t="n">
        <v>44855</v>
      </c>
      <c r="F9" s="1" t="n">
        <v>6</v>
      </c>
      <c r="G9" s="1" t="inlineStr">
        <is>
          <t>36 months monthly, no cliff</t>
        </is>
      </c>
      <c r="H9" s="1" t="n">
        <v>8</v>
      </c>
      <c r="I9" s="2" t="n">
        <v>45678</v>
      </c>
      <c r="J9" s="1" t="n">
        <v>7984</v>
      </c>
      <c r="K9" s="1" t="n">
        <v>63830</v>
      </c>
      <c r="L9" s="1">
        <f>L8+J9</f>
        <v/>
      </c>
      <c r="M9" s="1">
        <f>K9-L9</f>
        <v/>
      </c>
      <c r="N9" s="1" t="n">
        <v>0</v>
      </c>
      <c r="O9" s="1" t="inlineStr">
        <is>
          <t>Vested</t>
        </is>
      </c>
    </row>
    <row r="10">
      <c r="A10" s="1" t="inlineStr">
        <is>
          <t>GR-2022-2002</t>
        </is>
      </c>
      <c r="B10" s="1" t="inlineStr">
        <is>
          <t>Simona Vitale</t>
        </is>
      </c>
      <c r="C10" s="1" t="inlineStr">
        <is>
          <t>Restricted stock unit</t>
        </is>
      </c>
      <c r="D10" s="2" t="n">
        <v>44879</v>
      </c>
      <c r="E10" s="2" t="n">
        <v>44798</v>
      </c>
      <c r="F10" s="1" t="n">
        <v>6</v>
      </c>
      <c r="G10" s="1" t="inlineStr">
        <is>
          <t>Performance tranches on board certification</t>
        </is>
      </c>
      <c r="H10" s="1" t="n">
        <v>1</v>
      </c>
      <c r="I10" s="2" t="n">
        <v>44982</v>
      </c>
      <c r="J10" s="1" t="n">
        <v>2767</v>
      </c>
      <c r="K10" s="1" t="n">
        <v>19370</v>
      </c>
      <c r="L10" s="1">
        <f>J10</f>
        <v/>
      </c>
      <c r="M10" s="1">
        <f>K10-L10</f>
        <v/>
      </c>
      <c r="N10" s="1" t="n">
        <v>0</v>
      </c>
      <c r="O10" s="1" t="inlineStr">
        <is>
          <t>Vested</t>
        </is>
      </c>
    </row>
    <row r="11">
      <c r="A11" s="1" t="inlineStr">
        <is>
          <t>GR-2022-2002</t>
        </is>
      </c>
      <c r="B11" s="1" t="inlineStr">
        <is>
          <t>Simona Vitale</t>
        </is>
      </c>
      <c r="C11" s="1" t="inlineStr">
        <is>
          <t>Restricted stock unit</t>
        </is>
      </c>
      <c r="D11" s="2" t="n">
        <v>44879</v>
      </c>
      <c r="E11" s="2" t="n">
        <v>44798</v>
      </c>
      <c r="F11" s="1" t="n">
        <v>6</v>
      </c>
      <c r="G11" s="1" t="inlineStr">
        <is>
          <t>Performance tranches on board certification</t>
        </is>
      </c>
      <c r="H11" s="1" t="n">
        <v>2</v>
      </c>
      <c r="I11" s="2" t="n">
        <v>45071</v>
      </c>
      <c r="J11" s="1" t="n">
        <v>2767</v>
      </c>
      <c r="K11" s="1" t="n">
        <v>19370</v>
      </c>
      <c r="L11" s="1">
        <f>L10+J11</f>
        <v/>
      </c>
      <c r="M11" s="1">
        <f>K11-L11</f>
        <v/>
      </c>
      <c r="N11" s="1" t="n">
        <v>0</v>
      </c>
      <c r="O11" s="1" t="inlineStr">
        <is>
          <t>Vested</t>
        </is>
      </c>
    </row>
    <row r="12">
      <c r="A12" s="1" t="inlineStr">
        <is>
          <t>GR-2022-2002</t>
        </is>
      </c>
      <c r="B12" s="1" t="inlineStr">
        <is>
          <t>Simona Vitale</t>
        </is>
      </c>
      <c r="C12" s="1" t="inlineStr">
        <is>
          <t>Restricted stock unit</t>
        </is>
      </c>
      <c r="D12" s="2" t="n">
        <v>44879</v>
      </c>
      <c r="E12" s="2" t="n">
        <v>44798</v>
      </c>
      <c r="F12" s="1" t="n">
        <v>6</v>
      </c>
      <c r="G12" s="1" t="inlineStr">
        <is>
          <t>Performance tranches on board certification</t>
        </is>
      </c>
      <c r="H12" s="1" t="n">
        <v>3</v>
      </c>
      <c r="I12" s="2" t="n">
        <v>45163</v>
      </c>
      <c r="J12" s="1" t="n">
        <v>2767</v>
      </c>
      <c r="K12" s="1" t="n">
        <v>19370</v>
      </c>
      <c r="L12" s="1">
        <f>L11+J12</f>
        <v/>
      </c>
      <c r="M12" s="1">
        <f>K12-L12</f>
        <v/>
      </c>
      <c r="N12" s="1" t="n">
        <v>0</v>
      </c>
      <c r="O12" s="1" t="inlineStr">
        <is>
          <t>Vested</t>
        </is>
      </c>
    </row>
    <row r="13">
      <c r="A13" s="1" t="inlineStr">
        <is>
          <t>GR-2022-2002</t>
        </is>
      </c>
      <c r="B13" s="1" t="inlineStr">
        <is>
          <t>Simona Vitale</t>
        </is>
      </c>
      <c r="C13" s="1" t="inlineStr">
        <is>
          <t>Restricted stock unit</t>
        </is>
      </c>
      <c r="D13" s="2" t="n">
        <v>44879</v>
      </c>
      <c r="E13" s="2" t="n">
        <v>44798</v>
      </c>
      <c r="F13" s="1" t="n">
        <v>6</v>
      </c>
      <c r="G13" s="1" t="inlineStr">
        <is>
          <t>Performance tranches on board certification</t>
        </is>
      </c>
      <c r="H13" s="1" t="n">
        <v>4</v>
      </c>
      <c r="I13" s="2" t="n">
        <v>45255</v>
      </c>
      <c r="J13" s="1" t="n">
        <v>2767</v>
      </c>
      <c r="K13" s="1" t="n">
        <v>19370</v>
      </c>
      <c r="L13" s="1">
        <f>L12+J13</f>
        <v/>
      </c>
      <c r="M13" s="1">
        <f>K13-L13</f>
        <v/>
      </c>
      <c r="N13" s="1" t="n">
        <v>0</v>
      </c>
      <c r="O13" s="1" t="inlineStr">
        <is>
          <t>Vested</t>
        </is>
      </c>
    </row>
    <row r="14">
      <c r="A14" s="1" t="inlineStr">
        <is>
          <t>GR-2022-2002</t>
        </is>
      </c>
      <c r="B14" s="1" t="inlineStr">
        <is>
          <t>Simona Vitale</t>
        </is>
      </c>
      <c r="C14" s="1" t="inlineStr">
        <is>
          <t>Restricted stock unit</t>
        </is>
      </c>
      <c r="D14" s="2" t="n">
        <v>44879</v>
      </c>
      <c r="E14" s="2" t="n">
        <v>44798</v>
      </c>
      <c r="F14" s="1" t="n">
        <v>6</v>
      </c>
      <c r="G14" s="1" t="inlineStr">
        <is>
          <t>Performance tranches on board certification</t>
        </is>
      </c>
      <c r="H14" s="1" t="n">
        <v>5</v>
      </c>
      <c r="I14" s="2" t="n">
        <v>45347</v>
      </c>
      <c r="J14" s="1" t="n">
        <v>2767</v>
      </c>
      <c r="K14" s="1" t="n">
        <v>19370</v>
      </c>
      <c r="L14" s="1">
        <f>L13+J14</f>
        <v/>
      </c>
      <c r="M14" s="1">
        <f>K14-L14</f>
        <v/>
      </c>
      <c r="N14" s="1" t="n">
        <v>0</v>
      </c>
      <c r="O14" s="1" t="inlineStr">
        <is>
          <t>Vested</t>
        </is>
      </c>
    </row>
    <row r="15">
      <c r="A15" s="1" t="inlineStr">
        <is>
          <t>GR-2022-2002</t>
        </is>
      </c>
      <c r="B15" s="1" t="inlineStr">
        <is>
          <t>Simona Vitale</t>
        </is>
      </c>
      <c r="C15" s="1" t="inlineStr">
        <is>
          <t>Restricted stock unit</t>
        </is>
      </c>
      <c r="D15" s="2" t="n">
        <v>44879</v>
      </c>
      <c r="E15" s="2" t="n">
        <v>44798</v>
      </c>
      <c r="F15" s="1" t="n">
        <v>6</v>
      </c>
      <c r="G15" s="1" t="inlineStr">
        <is>
          <t>Performance tranches on board certification</t>
        </is>
      </c>
      <c r="H15" s="1" t="n">
        <v>6</v>
      </c>
      <c r="I15" s="2" t="n">
        <v>45437</v>
      </c>
      <c r="J15" s="1" t="n">
        <v>2767</v>
      </c>
      <c r="K15" s="1" t="n">
        <v>19370</v>
      </c>
      <c r="L15" s="1">
        <f>L14+J15</f>
        <v/>
      </c>
      <c r="M15" s="1">
        <f>K15-L15</f>
        <v/>
      </c>
      <c r="N15" s="1" t="n">
        <v>0</v>
      </c>
      <c r="O15" s="1" t="inlineStr">
        <is>
          <t>Vested</t>
        </is>
      </c>
    </row>
    <row r="16">
      <c r="A16" s="1" t="inlineStr">
        <is>
          <t>GR-2022-2002</t>
        </is>
      </c>
      <c r="B16" s="1" t="inlineStr">
        <is>
          <t>Simona Vitale</t>
        </is>
      </c>
      <c r="C16" s="1" t="inlineStr">
        <is>
          <t>Restricted stock unit</t>
        </is>
      </c>
      <c r="D16" s="2" t="n">
        <v>44879</v>
      </c>
      <c r="E16" s="2" t="n">
        <v>44798</v>
      </c>
      <c r="F16" s="1" t="n">
        <v>6</v>
      </c>
      <c r="G16" s="1" t="inlineStr">
        <is>
          <t>Performance tranches on board certification</t>
        </is>
      </c>
      <c r="H16" s="1" t="n">
        <v>7</v>
      </c>
      <c r="I16" s="2" t="n">
        <v>45529</v>
      </c>
      <c r="J16" s="1" t="n">
        <v>2768</v>
      </c>
      <c r="K16" s="1" t="n">
        <v>19370</v>
      </c>
      <c r="L16" s="1">
        <f>L15+J16</f>
        <v/>
      </c>
      <c r="M16" s="1">
        <f>K16-L16</f>
        <v/>
      </c>
      <c r="N16" s="1" t="n">
        <v>0</v>
      </c>
      <c r="O16" s="1" t="inlineStr">
        <is>
          <t>Vested</t>
        </is>
      </c>
    </row>
    <row r="17">
      <c r="A17" s="1" t="inlineStr">
        <is>
          <t>GR-2025-2003</t>
        </is>
      </c>
      <c r="B17" s="1" t="inlineStr">
        <is>
          <t>Leandra Ossipova</t>
        </is>
      </c>
      <c r="C17" s="1" t="inlineStr">
        <is>
          <t>Performance stock unit</t>
        </is>
      </c>
      <c r="D17" s="2" t="n">
        <v>45975</v>
      </c>
      <c r="E17" s="2" t="n">
        <v>45901</v>
      </c>
      <c r="F17" s="1" t="n">
        <v>12</v>
      </c>
      <c r="G17" s="1" t="inlineStr">
        <is>
          <t>36 months monthly, no cliff</t>
        </is>
      </c>
      <c r="H17" s="1" t="n">
        <v>1</v>
      </c>
      <c r="I17" s="2" t="n">
        <v>46266</v>
      </c>
      <c r="J17" s="1" t="n">
        <v>9298</v>
      </c>
      <c r="K17" s="1" t="n">
        <v>37192</v>
      </c>
      <c r="L17" s="1">
        <f>J17</f>
        <v/>
      </c>
      <c r="M17" s="1">
        <f>K17-L17</f>
        <v/>
      </c>
      <c r="N17" s="1" t="n">
        <v>0</v>
      </c>
      <c r="O17" s="1" t="inlineStr">
        <is>
          <t>Unvested</t>
        </is>
      </c>
    </row>
    <row r="18">
      <c r="A18" s="1" t="inlineStr">
        <is>
          <t>GR-2025-2003</t>
        </is>
      </c>
      <c r="B18" s="1" t="inlineStr">
        <is>
          <t>Leandra Ossipova</t>
        </is>
      </c>
      <c r="C18" s="1" t="inlineStr">
        <is>
          <t>Performance stock unit</t>
        </is>
      </c>
      <c r="D18" s="2" t="n">
        <v>45975</v>
      </c>
      <c r="E18" s="2" t="n">
        <v>45901</v>
      </c>
      <c r="F18" s="1" t="n">
        <v>12</v>
      </c>
      <c r="G18" s="1" t="inlineStr">
        <is>
          <t>36 months monthly, no cliff</t>
        </is>
      </c>
      <c r="H18" s="1" t="n">
        <v>2</v>
      </c>
      <c r="I18" s="2" t="n">
        <v>46357</v>
      </c>
      <c r="J18" s="1" t="n">
        <v>9298</v>
      </c>
      <c r="K18" s="1" t="n">
        <v>37192</v>
      </c>
      <c r="L18" s="1">
        <f>L17+J18</f>
        <v/>
      </c>
      <c r="M18" s="1">
        <f>K18-L18</f>
        <v/>
      </c>
      <c r="N18" s="1" t="n">
        <v>0</v>
      </c>
      <c r="O18" s="1" t="inlineStr">
        <is>
          <t>Unvested</t>
        </is>
      </c>
    </row>
    <row r="19">
      <c r="A19" s="1" t="inlineStr">
        <is>
          <t>GR-2025-2003</t>
        </is>
      </c>
      <c r="B19" s="1" t="inlineStr">
        <is>
          <t>Leandra Ossipova</t>
        </is>
      </c>
      <c r="C19" s="1" t="inlineStr">
        <is>
          <t>Performance stock unit</t>
        </is>
      </c>
      <c r="D19" s="2" t="n">
        <v>45975</v>
      </c>
      <c r="E19" s="2" t="n">
        <v>45901</v>
      </c>
      <c r="F19" s="1" t="n">
        <v>12</v>
      </c>
      <c r="G19" s="1" t="inlineStr">
        <is>
          <t>36 months monthly, no cliff</t>
        </is>
      </c>
      <c r="H19" s="1" t="n">
        <v>3</v>
      </c>
      <c r="I19" s="2" t="n">
        <v>46447</v>
      </c>
      <c r="J19" s="1" t="n">
        <v>9298</v>
      </c>
      <c r="K19" s="1" t="n">
        <v>37192</v>
      </c>
      <c r="L19" s="1">
        <f>L18+J19</f>
        <v/>
      </c>
      <c r="M19" s="1">
        <f>K19-L19</f>
        <v/>
      </c>
      <c r="N19" s="1" t="n">
        <v>0</v>
      </c>
      <c r="O19" s="1" t="inlineStr">
        <is>
          <t>Unvested</t>
        </is>
      </c>
    </row>
    <row r="20">
      <c r="A20" s="1" t="inlineStr">
        <is>
          <t>GR-2025-2003</t>
        </is>
      </c>
      <c r="B20" s="1" t="inlineStr">
        <is>
          <t>Leandra Ossipova</t>
        </is>
      </c>
      <c r="C20" s="1" t="inlineStr">
        <is>
          <t>Performance stock unit</t>
        </is>
      </c>
      <c r="D20" s="2" t="n">
        <v>45975</v>
      </c>
      <c r="E20" s="2" t="n">
        <v>45901</v>
      </c>
      <c r="F20" s="1" t="n">
        <v>12</v>
      </c>
      <c r="G20" s="1" t="inlineStr">
        <is>
          <t>36 months monthly, no cliff</t>
        </is>
      </c>
      <c r="H20" s="1" t="n">
        <v>4</v>
      </c>
      <c r="I20" s="2" t="n">
        <v>46539</v>
      </c>
      <c r="J20" s="1" t="n">
        <v>9298</v>
      </c>
      <c r="K20" s="1" t="n">
        <v>37192</v>
      </c>
      <c r="L20" s="1">
        <f>L19+J20</f>
        <v/>
      </c>
      <c r="M20" s="1">
        <f>K20-L20</f>
        <v/>
      </c>
      <c r="N20" s="1" t="n">
        <v>0</v>
      </c>
      <c r="O20" s="1" t="inlineStr">
        <is>
          <t>Unvested</t>
        </is>
      </c>
    </row>
    <row r="21">
      <c r="A21" s="1" t="inlineStr">
        <is>
          <t>GR-2025-2004</t>
        </is>
      </c>
      <c r="B21" s="1" t="inlineStr">
        <is>
          <t>Anjali Krishnan</t>
        </is>
      </c>
      <c r="C21" s="1" t="inlineStr">
        <is>
          <t>Restricted stock unit</t>
        </is>
      </c>
      <c r="D21" s="2" t="n">
        <v>45658</v>
      </c>
      <c r="E21" s="2" t="n">
        <v>45630</v>
      </c>
      <c r="F21" s="1" t="n">
        <v>6</v>
      </c>
      <c r="G21" s="1" t="inlineStr">
        <is>
          <t>48 months monthly after a 12-month cliff</t>
        </is>
      </c>
      <c r="H21" s="1" t="n">
        <v>1</v>
      </c>
      <c r="I21" s="2" t="n">
        <v>45812</v>
      </c>
      <c r="J21" s="1" t="n">
        <v>5056</v>
      </c>
      <c r="K21" s="1" t="n">
        <v>30341</v>
      </c>
      <c r="L21" s="1">
        <f>J21</f>
        <v/>
      </c>
      <c r="M21" s="1">
        <f>K21-L21</f>
        <v/>
      </c>
      <c r="N21" s="1" t="n">
        <v>0</v>
      </c>
      <c r="O21" s="1" t="inlineStr">
        <is>
          <t>Vested</t>
        </is>
      </c>
    </row>
    <row r="22">
      <c r="A22" s="1" t="inlineStr">
        <is>
          <t>GR-2025-2004</t>
        </is>
      </c>
      <c r="B22" s="1" t="inlineStr">
        <is>
          <t>Anjali Krishnan</t>
        </is>
      </c>
      <c r="C22" s="1" t="inlineStr">
        <is>
          <t>Restricted stock unit</t>
        </is>
      </c>
      <c r="D22" s="2" t="n">
        <v>45658</v>
      </c>
      <c r="E22" s="2" t="n">
        <v>45630</v>
      </c>
      <c r="F22" s="1" t="n">
        <v>6</v>
      </c>
      <c r="G22" s="1" t="inlineStr">
        <is>
          <t>48 months monthly after a 12-month cliff</t>
        </is>
      </c>
      <c r="H22" s="1" t="n">
        <v>2</v>
      </c>
      <c r="I22" s="2" t="n">
        <v>45904</v>
      </c>
      <c r="J22" s="1" t="n">
        <v>5056</v>
      </c>
      <c r="K22" s="1" t="n">
        <v>30341</v>
      </c>
      <c r="L22" s="1">
        <f>L21+J22</f>
        <v/>
      </c>
      <c r="M22" s="1">
        <f>K22-L22</f>
        <v/>
      </c>
      <c r="N22" s="1" t="n">
        <v>0</v>
      </c>
      <c r="O22" s="1" t="inlineStr">
        <is>
          <t>Vested</t>
        </is>
      </c>
    </row>
    <row r="23">
      <c r="A23" s="1" t="inlineStr">
        <is>
          <t>GR-2025-2004</t>
        </is>
      </c>
      <c r="B23" s="1" t="inlineStr">
        <is>
          <t>Anjali Krishnan</t>
        </is>
      </c>
      <c r="C23" s="1" t="inlineStr">
        <is>
          <t>Restricted stock unit</t>
        </is>
      </c>
      <c r="D23" s="2" t="n">
        <v>45658</v>
      </c>
      <c r="E23" s="2" t="n">
        <v>45630</v>
      </c>
      <c r="F23" s="1" t="n">
        <v>6</v>
      </c>
      <c r="G23" s="1" t="inlineStr">
        <is>
          <t>48 months monthly after a 12-month cliff</t>
        </is>
      </c>
      <c r="H23" s="1" t="n">
        <v>3</v>
      </c>
      <c r="I23" s="2" t="n">
        <v>45995</v>
      </c>
      <c r="J23" s="1" t="n">
        <v>5056</v>
      </c>
      <c r="K23" s="1" t="n">
        <v>30341</v>
      </c>
      <c r="L23" s="1">
        <f>L22+J23</f>
        <v/>
      </c>
      <c r="M23" s="1">
        <f>K23-L23</f>
        <v/>
      </c>
      <c r="N23" s="1" t="n">
        <v>0</v>
      </c>
      <c r="O23" s="1" t="inlineStr">
        <is>
          <t>Vested</t>
        </is>
      </c>
    </row>
    <row r="24">
      <c r="A24" s="1" t="inlineStr">
        <is>
          <t>GR-2025-2004</t>
        </is>
      </c>
      <c r="B24" s="1" t="inlineStr">
        <is>
          <t>Anjali Krishnan</t>
        </is>
      </c>
      <c r="C24" s="1" t="inlineStr">
        <is>
          <t>Restricted stock unit</t>
        </is>
      </c>
      <c r="D24" s="2" t="n">
        <v>45658</v>
      </c>
      <c r="E24" s="2" t="n">
        <v>45630</v>
      </c>
      <c r="F24" s="1" t="n">
        <v>6</v>
      </c>
      <c r="G24" s="1" t="inlineStr">
        <is>
          <t>48 months monthly after a 12-month cliff</t>
        </is>
      </c>
      <c r="H24" s="1" t="n">
        <v>4</v>
      </c>
      <c r="I24" s="2" t="n">
        <v>46085</v>
      </c>
      <c r="J24" s="1" t="n">
        <v>5056</v>
      </c>
      <c r="K24" s="1" t="n">
        <v>30341</v>
      </c>
      <c r="L24" s="1">
        <f>L23+J24</f>
        <v/>
      </c>
      <c r="M24" s="1">
        <f>K24-L24</f>
        <v/>
      </c>
      <c r="N24" s="1" t="n">
        <v>0</v>
      </c>
      <c r="O24" s="1" t="inlineStr">
        <is>
          <t>Vested</t>
        </is>
      </c>
    </row>
    <row r="25">
      <c r="A25" s="1" t="inlineStr">
        <is>
          <t>GR-2025-2004</t>
        </is>
      </c>
      <c r="B25" s="1" t="inlineStr">
        <is>
          <t>Anjali Krishnan</t>
        </is>
      </c>
      <c r="C25" s="1" t="inlineStr">
        <is>
          <t>Restricted stock unit</t>
        </is>
      </c>
      <c r="D25" s="2" t="n">
        <v>45658</v>
      </c>
      <c r="E25" s="2" t="n">
        <v>45630</v>
      </c>
      <c r="F25" s="1" t="n">
        <v>6</v>
      </c>
      <c r="G25" s="1" t="inlineStr">
        <is>
          <t>48 months monthly after a 12-month cliff</t>
        </is>
      </c>
      <c r="H25" s="1" t="n">
        <v>5</v>
      </c>
      <c r="I25" s="2" t="n">
        <v>46177</v>
      </c>
      <c r="J25" s="1" t="n">
        <v>5056</v>
      </c>
      <c r="K25" s="1" t="n">
        <v>30341</v>
      </c>
      <c r="L25" s="1">
        <f>L24+J25</f>
        <v/>
      </c>
      <c r="M25" s="1">
        <f>K25-L25</f>
        <v/>
      </c>
      <c r="N25" s="1" t="n">
        <v>0</v>
      </c>
      <c r="O25" s="1" t="inlineStr">
        <is>
          <t>Vested</t>
        </is>
      </c>
    </row>
    <row r="26">
      <c r="A26" s="1" t="inlineStr">
        <is>
          <t>GR-2025-2004</t>
        </is>
      </c>
      <c r="B26" s="1" t="inlineStr">
        <is>
          <t>Anjali Krishnan</t>
        </is>
      </c>
      <c r="C26" s="1" t="inlineStr">
        <is>
          <t>Restricted stock unit</t>
        </is>
      </c>
      <c r="D26" s="2" t="n">
        <v>45658</v>
      </c>
      <c r="E26" s="2" t="n">
        <v>45630</v>
      </c>
      <c r="F26" s="1" t="n">
        <v>6</v>
      </c>
      <c r="G26" s="1" t="inlineStr">
        <is>
          <t>48 months monthly after a 12-month cliff</t>
        </is>
      </c>
      <c r="H26" s="1" t="n">
        <v>6</v>
      </c>
      <c r="I26" s="2" t="n">
        <v>46269</v>
      </c>
      <c r="J26" s="1" t="n">
        <v>5061</v>
      </c>
      <c r="K26" s="1" t="n">
        <v>30341</v>
      </c>
      <c r="L26" s="1">
        <f>L25+J26</f>
        <v/>
      </c>
      <c r="M26" s="1">
        <f>K26-L26</f>
        <v/>
      </c>
      <c r="N26" s="1" t="n">
        <v>0</v>
      </c>
      <c r="O26" s="1" t="inlineStr">
        <is>
          <t>Unvested</t>
        </is>
      </c>
    </row>
    <row r="27">
      <c r="A27" s="1" t="inlineStr">
        <is>
          <t>GR-2023-2005</t>
        </is>
      </c>
      <c r="B27" s="1" t="inlineStr">
        <is>
          <t>Maeve Donnelly</t>
        </is>
      </c>
      <c r="C27" s="1" t="inlineStr">
        <is>
          <t>Nonqualified stock option</t>
        </is>
      </c>
      <c r="D27" s="2" t="n">
        <v>45198</v>
      </c>
      <c r="E27" s="2" t="n">
        <v>45153</v>
      </c>
      <c r="F27" s="1" t="n">
        <v>12</v>
      </c>
      <c r="G27" s="1" t="inlineStr">
        <is>
          <t>16 quarterly tranches</t>
        </is>
      </c>
      <c r="H27" s="1" t="n">
        <v>1</v>
      </c>
      <c r="I27" s="2" t="n">
        <v>45519</v>
      </c>
      <c r="J27" s="1" t="n">
        <v>29867</v>
      </c>
      <c r="K27" s="1" t="n">
        <v>89603</v>
      </c>
      <c r="L27" s="1">
        <f>J27</f>
        <v/>
      </c>
      <c r="M27" s="1">
        <f>K27-L27</f>
        <v/>
      </c>
      <c r="N27" s="1" t="n">
        <v>0</v>
      </c>
      <c r="O27" s="1" t="inlineStr">
        <is>
          <t>Vested</t>
        </is>
      </c>
    </row>
    <row r="28">
      <c r="A28" s="1" t="inlineStr">
        <is>
          <t>GR-2023-2005</t>
        </is>
      </c>
      <c r="B28" s="1" t="inlineStr">
        <is>
          <t>Maeve Donnelly</t>
        </is>
      </c>
      <c r="C28" s="1" t="inlineStr">
        <is>
          <t>Nonqualified stock option</t>
        </is>
      </c>
      <c r="D28" s="2" t="n">
        <v>45198</v>
      </c>
      <c r="E28" s="2" t="n">
        <v>45153</v>
      </c>
      <c r="F28" s="1" t="n">
        <v>12</v>
      </c>
      <c r="G28" s="1" t="inlineStr">
        <is>
          <t>16 quarterly tranches</t>
        </is>
      </c>
      <c r="H28" s="1" t="n">
        <v>2</v>
      </c>
      <c r="I28" s="2" t="n">
        <v>45611</v>
      </c>
      <c r="J28" s="1" t="n">
        <v>29867</v>
      </c>
      <c r="K28" s="1" t="n">
        <v>89603</v>
      </c>
      <c r="L28" s="1">
        <f>L27+J28</f>
        <v/>
      </c>
      <c r="M28" s="1">
        <f>K28-L28</f>
        <v/>
      </c>
      <c r="N28" s="1" t="n">
        <v>0</v>
      </c>
      <c r="O28" s="1" t="inlineStr">
        <is>
          <t>Vested</t>
        </is>
      </c>
    </row>
    <row r="29">
      <c r="A29" s="1" t="inlineStr">
        <is>
          <t>GR-2023-2005</t>
        </is>
      </c>
      <c r="B29" s="1" t="inlineStr">
        <is>
          <t>Maeve Donnelly</t>
        </is>
      </c>
      <c r="C29" s="1" t="inlineStr">
        <is>
          <t>Nonqualified stock option</t>
        </is>
      </c>
      <c r="D29" s="2" t="n">
        <v>45198</v>
      </c>
      <c r="E29" s="2" t="n">
        <v>45153</v>
      </c>
      <c r="F29" s="1" t="n">
        <v>12</v>
      </c>
      <c r="G29" s="1" t="inlineStr">
        <is>
          <t>16 quarterly tranches</t>
        </is>
      </c>
      <c r="H29" s="1" t="n">
        <v>3</v>
      </c>
      <c r="I29" s="2" t="n">
        <v>45703</v>
      </c>
      <c r="J29" s="1" t="n">
        <v>29869</v>
      </c>
      <c r="K29" s="1" t="n">
        <v>89603</v>
      </c>
      <c r="L29" s="1">
        <f>L28+J29</f>
        <v/>
      </c>
      <c r="M29" s="1">
        <f>K29-L29</f>
        <v/>
      </c>
      <c r="N29" s="1" t="n">
        <v>0</v>
      </c>
      <c r="O29" s="1" t="inlineStr">
        <is>
          <t>Vested</t>
        </is>
      </c>
    </row>
    <row r="30">
      <c r="A30" s="1" t="inlineStr">
        <is>
          <t>GR-2024-2006</t>
        </is>
      </c>
      <c r="B30" s="1" t="inlineStr">
        <is>
          <t>Wesley Hartnell</t>
        </is>
      </c>
      <c r="C30" s="1" t="inlineStr">
        <is>
          <t>Incentive stock option</t>
        </is>
      </c>
      <c r="D30" s="2" t="n">
        <v>45583</v>
      </c>
      <c r="E30" s="2" t="n">
        <v>45577</v>
      </c>
      <c r="F30" s="1" t="n">
        <v>0</v>
      </c>
      <c r="G30" s="1" t="inlineStr">
        <is>
          <t>16 quarterly tranches</t>
        </is>
      </c>
      <c r="H30" s="1" t="n">
        <v>1</v>
      </c>
      <c r="I30" s="2" t="n">
        <v>45577</v>
      </c>
      <c r="J30" s="1" t="n">
        <v>24456</v>
      </c>
      <c r="K30" s="1" t="n">
        <v>73368</v>
      </c>
      <c r="L30" s="1">
        <f>J30</f>
        <v/>
      </c>
      <c r="M30" s="1">
        <f>K30-L30</f>
        <v/>
      </c>
      <c r="N30" s="1" t="n">
        <v>0</v>
      </c>
      <c r="O30" s="1" t="inlineStr">
        <is>
          <t>Vested</t>
        </is>
      </c>
    </row>
    <row r="31">
      <c r="A31" s="1" t="inlineStr">
        <is>
          <t>GR-2024-2006</t>
        </is>
      </c>
      <c r="B31" s="1" t="inlineStr">
        <is>
          <t>Wesley Hartnell</t>
        </is>
      </c>
      <c r="C31" s="1" t="inlineStr">
        <is>
          <t>Incentive stock option</t>
        </is>
      </c>
      <c r="D31" s="2" t="n">
        <v>45583</v>
      </c>
      <c r="E31" s="2" t="n">
        <v>45577</v>
      </c>
      <c r="F31" s="1" t="n">
        <v>0</v>
      </c>
      <c r="G31" s="1" t="inlineStr">
        <is>
          <t>16 quarterly tranches</t>
        </is>
      </c>
      <c r="H31" s="1" t="n">
        <v>2</v>
      </c>
      <c r="I31" s="2" t="n">
        <v>45669</v>
      </c>
      <c r="J31" s="1" t="n">
        <v>24456</v>
      </c>
      <c r="K31" s="1" t="n">
        <v>73368</v>
      </c>
      <c r="L31" s="1">
        <f>L30+J31</f>
        <v/>
      </c>
      <c r="M31" s="1">
        <f>K31-L31</f>
        <v/>
      </c>
      <c r="N31" s="1" t="n">
        <v>0</v>
      </c>
      <c r="O31" s="1" t="inlineStr">
        <is>
          <t>Vested</t>
        </is>
      </c>
    </row>
    <row r="32">
      <c r="A32" s="1" t="inlineStr">
        <is>
          <t>GR-2024-2006</t>
        </is>
      </c>
      <c r="B32" s="1" t="inlineStr">
        <is>
          <t>Wesley Hartnell</t>
        </is>
      </c>
      <c r="C32" s="1" t="inlineStr">
        <is>
          <t>Incentive stock option</t>
        </is>
      </c>
      <c r="D32" s="2" t="n">
        <v>45583</v>
      </c>
      <c r="E32" s="2" t="n">
        <v>45577</v>
      </c>
      <c r="F32" s="1" t="n">
        <v>0</v>
      </c>
      <c r="G32" s="1" t="inlineStr">
        <is>
          <t>16 quarterly tranches</t>
        </is>
      </c>
      <c r="H32" s="1" t="n">
        <v>3</v>
      </c>
      <c r="I32" s="2" t="n">
        <v>45759</v>
      </c>
      <c r="J32" s="1" t="n">
        <v>24456</v>
      </c>
      <c r="K32" s="1" t="n">
        <v>73368</v>
      </c>
      <c r="L32" s="1">
        <f>L31+J32</f>
        <v/>
      </c>
      <c r="M32" s="1">
        <f>K32-L32</f>
        <v/>
      </c>
      <c r="N32" s="1" t="n">
        <v>0</v>
      </c>
      <c r="O32" s="1" t="inlineStr">
        <is>
          <t>Vested</t>
        </is>
      </c>
    </row>
    <row r="33">
      <c r="A33" s="1" t="inlineStr">
        <is>
          <t>GR-2025-2007</t>
        </is>
      </c>
      <c r="B33" s="1" t="inlineStr">
        <is>
          <t>Delia Mwangi</t>
        </is>
      </c>
      <c r="C33" s="1" t="inlineStr">
        <is>
          <t>Performance stock unit</t>
        </is>
      </c>
      <c r="D33" s="2" t="n">
        <v>45800</v>
      </c>
      <c r="E33" s="2" t="n">
        <v>45720</v>
      </c>
      <c r="F33" s="1" t="n">
        <v>12</v>
      </c>
      <c r="G33" s="1" t="inlineStr">
        <is>
          <t>36 months monthly, no cliff</t>
        </is>
      </c>
      <c r="H33" s="1" t="n">
        <v>1</v>
      </c>
      <c r="I33" s="2" t="n">
        <v>46085</v>
      </c>
      <c r="J33" s="1" t="n">
        <v>22292</v>
      </c>
      <c r="K33" s="1" t="n">
        <v>89170</v>
      </c>
      <c r="L33" s="1">
        <f>J33</f>
        <v/>
      </c>
      <c r="M33" s="1">
        <f>K33-L33</f>
        <v/>
      </c>
      <c r="N33" s="1" t="n">
        <v>0</v>
      </c>
      <c r="O33" s="1" t="inlineStr">
        <is>
          <t>Vested</t>
        </is>
      </c>
    </row>
    <row r="34">
      <c r="A34" s="1" t="inlineStr">
        <is>
          <t>GR-2025-2007</t>
        </is>
      </c>
      <c r="B34" s="1" t="inlineStr">
        <is>
          <t>Delia Mwangi</t>
        </is>
      </c>
      <c r="C34" s="1" t="inlineStr">
        <is>
          <t>Performance stock unit</t>
        </is>
      </c>
      <c r="D34" s="2" t="n">
        <v>45800</v>
      </c>
      <c r="E34" s="2" t="n">
        <v>45720</v>
      </c>
      <c r="F34" s="1" t="n">
        <v>12</v>
      </c>
      <c r="G34" s="1" t="inlineStr">
        <is>
          <t>36 months monthly, no cliff</t>
        </is>
      </c>
      <c r="H34" s="1" t="n">
        <v>2</v>
      </c>
      <c r="I34" s="2" t="n">
        <v>46177</v>
      </c>
      <c r="J34" s="1" t="n">
        <v>22292</v>
      </c>
      <c r="K34" s="1" t="n">
        <v>89170</v>
      </c>
      <c r="L34" s="1">
        <f>L33+J34</f>
        <v/>
      </c>
      <c r="M34" s="1">
        <f>K34-L34</f>
        <v/>
      </c>
      <c r="N34" s="1" t="n">
        <v>0</v>
      </c>
      <c r="O34" s="1" t="inlineStr">
        <is>
          <t>Vested</t>
        </is>
      </c>
    </row>
    <row r="35">
      <c r="A35" s="1" t="inlineStr">
        <is>
          <t>GR-2025-2007</t>
        </is>
      </c>
      <c r="B35" s="1" t="inlineStr">
        <is>
          <t>Delia Mwangi</t>
        </is>
      </c>
      <c r="C35" s="1" t="inlineStr">
        <is>
          <t>Performance stock unit</t>
        </is>
      </c>
      <c r="D35" s="2" t="n">
        <v>45800</v>
      </c>
      <c r="E35" s="2" t="n">
        <v>45720</v>
      </c>
      <c r="F35" s="1" t="n">
        <v>12</v>
      </c>
      <c r="G35" s="1" t="inlineStr">
        <is>
          <t>36 months monthly, no cliff</t>
        </is>
      </c>
      <c r="H35" s="1" t="n">
        <v>3</v>
      </c>
      <c r="I35" s="2" t="n">
        <v>46269</v>
      </c>
      <c r="J35" s="1" t="n">
        <v>22292</v>
      </c>
      <c r="K35" s="1" t="n">
        <v>89170</v>
      </c>
      <c r="L35" s="1">
        <f>L34+J35</f>
        <v/>
      </c>
      <c r="M35" s="1">
        <f>K35-L35</f>
        <v/>
      </c>
      <c r="N35" s="1" t="n">
        <v>0</v>
      </c>
      <c r="O35" s="1" t="inlineStr">
        <is>
          <t>Unvested</t>
        </is>
      </c>
    </row>
    <row r="36">
      <c r="A36" s="1" t="inlineStr">
        <is>
          <t>GR-2025-2007</t>
        </is>
      </c>
      <c r="B36" s="1" t="inlineStr">
        <is>
          <t>Delia Mwangi</t>
        </is>
      </c>
      <c r="C36" s="1" t="inlineStr">
        <is>
          <t>Performance stock unit</t>
        </is>
      </c>
      <c r="D36" s="2" t="n">
        <v>45800</v>
      </c>
      <c r="E36" s="2" t="n">
        <v>45720</v>
      </c>
      <c r="F36" s="1" t="n">
        <v>12</v>
      </c>
      <c r="G36" s="1" t="inlineStr">
        <is>
          <t>36 months monthly, no cliff</t>
        </is>
      </c>
      <c r="H36" s="1" t="n">
        <v>4</v>
      </c>
      <c r="I36" s="2" t="n">
        <v>46360</v>
      </c>
      <c r="J36" s="1" t="n">
        <v>22294</v>
      </c>
      <c r="K36" s="1" t="n">
        <v>89170</v>
      </c>
      <c r="L36" s="1">
        <f>L35+J36</f>
        <v/>
      </c>
      <c r="M36" s="1">
        <f>K36-L36</f>
        <v/>
      </c>
      <c r="N36" s="1" t="n">
        <v>0</v>
      </c>
      <c r="O36" s="1" t="inlineStr">
        <is>
          <t>Unvested</t>
        </is>
      </c>
    </row>
    <row r="37">
      <c r="A37" s="1" t="inlineStr">
        <is>
          <t>GR-2025-2008</t>
        </is>
      </c>
      <c r="B37" s="1" t="inlineStr">
        <is>
          <t>Sunniva Aalto</t>
        </is>
      </c>
      <c r="C37" s="1" t="inlineStr">
        <is>
          <t>Performance stock unit</t>
        </is>
      </c>
      <c r="D37" s="2" t="n">
        <v>45999</v>
      </c>
      <c r="E37" s="2" t="n">
        <v>45994</v>
      </c>
      <c r="F37" s="1" t="n">
        <v>6</v>
      </c>
      <c r="G37" s="1" t="inlineStr">
        <is>
          <t>48 months monthly after a 12-month cliff</t>
        </is>
      </c>
      <c r="H37" s="1" t="n">
        <v>1</v>
      </c>
      <c r="I37" s="2" t="n">
        <v>46176</v>
      </c>
      <c r="J37" s="1" t="n">
        <v>20397</v>
      </c>
      <c r="K37" s="1" t="n">
        <v>61193</v>
      </c>
      <c r="L37" s="1">
        <f>J37</f>
        <v/>
      </c>
      <c r="M37" s="1">
        <f>K37-L37</f>
        <v/>
      </c>
      <c r="N37" s="1" t="n">
        <v>0</v>
      </c>
      <c r="O37" s="1" t="inlineStr">
        <is>
          <t>Vested</t>
        </is>
      </c>
    </row>
    <row r="38">
      <c r="A38" s="1" t="inlineStr">
        <is>
          <t>GR-2025-2008</t>
        </is>
      </c>
      <c r="B38" s="1" t="inlineStr">
        <is>
          <t>Sunniva Aalto</t>
        </is>
      </c>
      <c r="C38" s="1" t="inlineStr">
        <is>
          <t>Performance stock unit</t>
        </is>
      </c>
      <c r="D38" s="2" t="n">
        <v>45999</v>
      </c>
      <c r="E38" s="2" t="n">
        <v>45994</v>
      </c>
      <c r="F38" s="1" t="n">
        <v>6</v>
      </c>
      <c r="G38" s="1" t="inlineStr">
        <is>
          <t>48 months monthly after a 12-month cliff</t>
        </is>
      </c>
      <c r="H38" s="1" t="n">
        <v>2</v>
      </c>
      <c r="I38" s="2" t="n">
        <v>46268</v>
      </c>
      <c r="J38" s="1" t="n">
        <v>20397</v>
      </c>
      <c r="K38" s="1" t="n">
        <v>61193</v>
      </c>
      <c r="L38" s="1">
        <f>L37+J38</f>
        <v/>
      </c>
      <c r="M38" s="1">
        <f>K38-L38</f>
        <v/>
      </c>
      <c r="N38" s="1" t="n">
        <v>0</v>
      </c>
      <c r="O38" s="1" t="inlineStr">
        <is>
          <t>Unvested</t>
        </is>
      </c>
    </row>
    <row r="39">
      <c r="A39" s="1" t="inlineStr">
        <is>
          <t>GR-2025-2008</t>
        </is>
      </c>
      <c r="B39" s="1" t="inlineStr">
        <is>
          <t>Sunniva Aalto</t>
        </is>
      </c>
      <c r="C39" s="1" t="inlineStr">
        <is>
          <t>Performance stock unit</t>
        </is>
      </c>
      <c r="D39" s="2" t="n">
        <v>45999</v>
      </c>
      <c r="E39" s="2" t="n">
        <v>45994</v>
      </c>
      <c r="F39" s="1" t="n">
        <v>6</v>
      </c>
      <c r="G39" s="1" t="inlineStr">
        <is>
          <t>48 months monthly after a 12-month cliff</t>
        </is>
      </c>
      <c r="H39" s="1" t="n">
        <v>3</v>
      </c>
      <c r="I39" s="2" t="n">
        <v>46359</v>
      </c>
      <c r="J39" s="1" t="n">
        <v>20399</v>
      </c>
      <c r="K39" s="1" t="n">
        <v>61193</v>
      </c>
      <c r="L39" s="1">
        <f>L38+J39</f>
        <v/>
      </c>
      <c r="M39" s="1">
        <f>K39-L39</f>
        <v/>
      </c>
      <c r="N39" s="1" t="n">
        <v>0</v>
      </c>
      <c r="O39" s="1" t="inlineStr">
        <is>
          <t>Unvested</t>
        </is>
      </c>
    </row>
    <row r="40">
      <c r="A40" s="1" t="inlineStr">
        <is>
          <t>GR-2026-2009</t>
        </is>
      </c>
      <c r="B40" s="1" t="inlineStr">
        <is>
          <t>Maeve Donnelly</t>
        </is>
      </c>
      <c r="C40" s="1" t="inlineStr">
        <is>
          <t>Nonqualified stock option</t>
        </is>
      </c>
      <c r="D40" s="2" t="n">
        <v>46036</v>
      </c>
      <c r="E40" s="2" t="n">
        <v>46004</v>
      </c>
      <c r="F40" s="1" t="n">
        <v>12</v>
      </c>
      <c r="G40" s="1" t="inlineStr">
        <is>
          <t>48 months monthly after a 12-month cliff</t>
        </is>
      </c>
      <c r="H40" s="1" t="n">
        <v>1</v>
      </c>
      <c r="I40" s="2" t="n">
        <v>46369</v>
      </c>
      <c r="J40" s="1" t="n">
        <v>14931</v>
      </c>
      <c r="K40" s="1" t="n">
        <v>89591</v>
      </c>
      <c r="L40" s="1">
        <f>J40</f>
        <v/>
      </c>
      <c r="M40" s="1">
        <f>K40-L40</f>
        <v/>
      </c>
      <c r="N40" s="1" t="n">
        <v>0</v>
      </c>
      <c r="O40" s="1" t="inlineStr">
        <is>
          <t>Unvested</t>
        </is>
      </c>
    </row>
    <row r="41">
      <c r="A41" s="1" t="inlineStr">
        <is>
          <t>GR-2026-2009</t>
        </is>
      </c>
      <c r="B41" s="1" t="inlineStr">
        <is>
          <t>Maeve Donnelly</t>
        </is>
      </c>
      <c r="C41" s="1" t="inlineStr">
        <is>
          <t>Nonqualified stock option</t>
        </is>
      </c>
      <c r="D41" s="2" t="n">
        <v>46036</v>
      </c>
      <c r="E41" s="2" t="n">
        <v>46004</v>
      </c>
      <c r="F41" s="1" t="n">
        <v>12</v>
      </c>
      <c r="G41" s="1" t="inlineStr">
        <is>
          <t>48 months monthly after a 12-month cliff</t>
        </is>
      </c>
      <c r="H41" s="1" t="n">
        <v>2</v>
      </c>
      <c r="I41" s="2" t="n">
        <v>46459</v>
      </c>
      <c r="J41" s="1" t="n">
        <v>14931</v>
      </c>
      <c r="K41" s="1" t="n">
        <v>89591</v>
      </c>
      <c r="L41" s="1">
        <f>L40+J41</f>
        <v/>
      </c>
      <c r="M41" s="1">
        <f>K41-L41</f>
        <v/>
      </c>
      <c r="N41" s="1" t="n">
        <v>0</v>
      </c>
      <c r="O41" s="1" t="inlineStr">
        <is>
          <t>Unvested</t>
        </is>
      </c>
    </row>
    <row r="42">
      <c r="A42" s="1" t="inlineStr">
        <is>
          <t>GR-2026-2009</t>
        </is>
      </c>
      <c r="B42" s="1" t="inlineStr">
        <is>
          <t>Maeve Donnelly</t>
        </is>
      </c>
      <c r="C42" s="1" t="inlineStr">
        <is>
          <t>Nonqualified stock option</t>
        </is>
      </c>
      <c r="D42" s="2" t="n">
        <v>46036</v>
      </c>
      <c r="E42" s="2" t="n">
        <v>46004</v>
      </c>
      <c r="F42" s="1" t="n">
        <v>12</v>
      </c>
      <c r="G42" s="1" t="inlineStr">
        <is>
          <t>48 months monthly after a 12-month cliff</t>
        </is>
      </c>
      <c r="H42" s="1" t="n">
        <v>3</v>
      </c>
      <c r="I42" s="2" t="n">
        <v>46551</v>
      </c>
      <c r="J42" s="1" t="n">
        <v>14931</v>
      </c>
      <c r="K42" s="1" t="n">
        <v>89591</v>
      </c>
      <c r="L42" s="1">
        <f>L41+J42</f>
        <v/>
      </c>
      <c r="M42" s="1">
        <f>K42-L42</f>
        <v/>
      </c>
      <c r="N42" s="1" t="n">
        <v>0</v>
      </c>
      <c r="O42" s="1" t="inlineStr">
        <is>
          <t>Unvested</t>
        </is>
      </c>
    </row>
    <row r="43">
      <c r="A43" s="1" t="inlineStr">
        <is>
          <t>GR-2026-2009</t>
        </is>
      </c>
      <c r="B43" s="1" t="inlineStr">
        <is>
          <t>Maeve Donnelly</t>
        </is>
      </c>
      <c r="C43" s="1" t="inlineStr">
        <is>
          <t>Nonqualified stock option</t>
        </is>
      </c>
      <c r="D43" s="2" t="n">
        <v>46036</v>
      </c>
      <c r="E43" s="2" t="n">
        <v>46004</v>
      </c>
      <c r="F43" s="1" t="n">
        <v>12</v>
      </c>
      <c r="G43" s="1" t="inlineStr">
        <is>
          <t>48 months monthly after a 12-month cliff</t>
        </is>
      </c>
      <c r="H43" s="1" t="n">
        <v>4</v>
      </c>
      <c r="I43" s="2" t="n">
        <v>46643</v>
      </c>
      <c r="J43" s="1" t="n">
        <v>14931</v>
      </c>
      <c r="K43" s="1" t="n">
        <v>89591</v>
      </c>
      <c r="L43" s="1">
        <f>L42+J43</f>
        <v/>
      </c>
      <c r="M43" s="1">
        <f>K43-L43</f>
        <v/>
      </c>
      <c r="N43" s="1" t="n">
        <v>0</v>
      </c>
      <c r="O43" s="1" t="inlineStr">
        <is>
          <t>Unvested</t>
        </is>
      </c>
    </row>
    <row r="44">
      <c r="A44" s="1" t="inlineStr">
        <is>
          <t>GR-2026-2009</t>
        </is>
      </c>
      <c r="B44" s="1" t="inlineStr">
        <is>
          <t>Maeve Donnelly</t>
        </is>
      </c>
      <c r="C44" s="1" t="inlineStr">
        <is>
          <t>Nonqualified stock option</t>
        </is>
      </c>
      <c r="D44" s="2" t="n">
        <v>46036</v>
      </c>
      <c r="E44" s="2" t="n">
        <v>46004</v>
      </c>
      <c r="F44" s="1" t="n">
        <v>12</v>
      </c>
      <c r="G44" s="1" t="inlineStr">
        <is>
          <t>48 months monthly after a 12-month cliff</t>
        </is>
      </c>
      <c r="H44" s="1" t="n">
        <v>5</v>
      </c>
      <c r="I44" s="2" t="n">
        <v>46734</v>
      </c>
      <c r="J44" s="1" t="n">
        <v>14931</v>
      </c>
      <c r="K44" s="1" t="n">
        <v>89591</v>
      </c>
      <c r="L44" s="1">
        <f>L43+J44</f>
        <v/>
      </c>
      <c r="M44" s="1">
        <f>K44-L44</f>
        <v/>
      </c>
      <c r="N44" s="1" t="n">
        <v>0</v>
      </c>
      <c r="O44" s="1" t="inlineStr">
        <is>
          <t>Unvested</t>
        </is>
      </c>
    </row>
    <row r="45">
      <c r="A45" s="1" t="inlineStr">
        <is>
          <t>GR-2026-2009</t>
        </is>
      </c>
      <c r="B45" s="1" t="inlineStr">
        <is>
          <t>Maeve Donnelly</t>
        </is>
      </c>
      <c r="C45" s="1" t="inlineStr">
        <is>
          <t>Nonqualified stock option</t>
        </is>
      </c>
      <c r="D45" s="2" t="n">
        <v>46036</v>
      </c>
      <c r="E45" s="2" t="n">
        <v>46004</v>
      </c>
      <c r="F45" s="1" t="n">
        <v>12</v>
      </c>
      <c r="G45" s="1" t="inlineStr">
        <is>
          <t>48 months monthly after a 12-month cliff</t>
        </is>
      </c>
      <c r="H45" s="1" t="n">
        <v>6</v>
      </c>
      <c r="I45" s="2" t="n">
        <v>46825</v>
      </c>
      <c r="J45" s="1" t="n">
        <v>14936</v>
      </c>
      <c r="K45" s="1" t="n">
        <v>89591</v>
      </c>
      <c r="L45" s="1">
        <f>L44+J45</f>
        <v/>
      </c>
      <c r="M45" s="1">
        <f>K45-L45</f>
        <v/>
      </c>
      <c r="N45" s="1" t="n">
        <v>0</v>
      </c>
      <c r="O45" s="1" t="inlineStr">
        <is>
          <t>Unvested</t>
        </is>
      </c>
    </row>
    <row r="46">
      <c r="A46" s="1" t="inlineStr">
        <is>
          <t>GR-2023-2010</t>
        </is>
      </c>
      <c r="B46" s="1" t="inlineStr">
        <is>
          <t>Marcus Oyelaran</t>
        </is>
      </c>
      <c r="C46" s="1" t="inlineStr">
        <is>
          <t>Performance stock unit</t>
        </is>
      </c>
      <c r="D46" s="2" t="n">
        <v>45149</v>
      </c>
      <c r="E46" s="2" t="n">
        <v>45096</v>
      </c>
      <c r="F46" s="1" t="n">
        <v>12</v>
      </c>
      <c r="G46" s="1" t="inlineStr">
        <is>
          <t>36 months monthly, no cliff</t>
        </is>
      </c>
      <c r="H46" s="1" t="n">
        <v>1</v>
      </c>
      <c r="I46" s="2" t="n">
        <v>45462</v>
      </c>
      <c r="J46" s="1" t="n">
        <v>7777</v>
      </c>
      <c r="K46" s="1" t="n">
        <v>38887</v>
      </c>
      <c r="L46" s="1">
        <f>J46</f>
        <v/>
      </c>
      <c r="M46" s="1">
        <f>K46-L46</f>
        <v/>
      </c>
      <c r="N46" s="1" t="n">
        <v>0</v>
      </c>
      <c r="O46" s="1" t="inlineStr">
        <is>
          <t>Vested</t>
        </is>
      </c>
    </row>
    <row r="47">
      <c r="A47" s="1" t="inlineStr">
        <is>
          <t>GR-2023-2010</t>
        </is>
      </c>
      <c r="B47" s="1" t="inlineStr">
        <is>
          <t>Marcus Oyelaran</t>
        </is>
      </c>
      <c r="C47" s="1" t="inlineStr">
        <is>
          <t>Performance stock unit</t>
        </is>
      </c>
      <c r="D47" s="2" t="n">
        <v>45149</v>
      </c>
      <c r="E47" s="2" t="n">
        <v>45096</v>
      </c>
      <c r="F47" s="1" t="n">
        <v>12</v>
      </c>
      <c r="G47" s="1" t="inlineStr">
        <is>
          <t>36 months monthly, no cliff</t>
        </is>
      </c>
      <c r="H47" s="1" t="n">
        <v>2</v>
      </c>
      <c r="I47" s="2" t="n">
        <v>45554</v>
      </c>
      <c r="J47" s="1" t="n">
        <v>7777</v>
      </c>
      <c r="K47" s="1" t="n">
        <v>38887</v>
      </c>
      <c r="L47" s="1">
        <f>L46+J47</f>
        <v/>
      </c>
      <c r="M47" s="1">
        <f>K47-L47</f>
        <v/>
      </c>
      <c r="N47" s="1" t="n">
        <v>0</v>
      </c>
      <c r="O47" s="1" t="inlineStr">
        <is>
          <t>Vested</t>
        </is>
      </c>
    </row>
    <row r="48">
      <c r="A48" s="1" t="inlineStr">
        <is>
          <t>GR-2023-2010</t>
        </is>
      </c>
      <c r="B48" s="1" t="inlineStr">
        <is>
          <t>Marcus Oyelaran</t>
        </is>
      </c>
      <c r="C48" s="1" t="inlineStr">
        <is>
          <t>Performance stock unit</t>
        </is>
      </c>
      <c r="D48" s="2" t="n">
        <v>45149</v>
      </c>
      <c r="E48" s="2" t="n">
        <v>45096</v>
      </c>
      <c r="F48" s="1" t="n">
        <v>12</v>
      </c>
      <c r="G48" s="1" t="inlineStr">
        <is>
          <t>36 months monthly, no cliff</t>
        </is>
      </c>
      <c r="H48" s="1" t="n">
        <v>3</v>
      </c>
      <c r="I48" s="2" t="n">
        <v>45645</v>
      </c>
      <c r="J48" s="1" t="n">
        <v>7777</v>
      </c>
      <c r="K48" s="1" t="n">
        <v>38887</v>
      </c>
      <c r="L48" s="1">
        <f>L47+J48</f>
        <v/>
      </c>
      <c r="M48" s="1">
        <f>K48-L48</f>
        <v/>
      </c>
      <c r="N48" s="1" t="n">
        <v>0</v>
      </c>
      <c r="O48" s="1" t="inlineStr">
        <is>
          <t>Vested</t>
        </is>
      </c>
    </row>
    <row r="49">
      <c r="A49" s="1" t="inlineStr">
        <is>
          <t>GR-2023-2010</t>
        </is>
      </c>
      <c r="B49" s="1" t="inlineStr">
        <is>
          <t>Marcus Oyelaran</t>
        </is>
      </c>
      <c r="C49" s="1" t="inlineStr">
        <is>
          <t>Performance stock unit</t>
        </is>
      </c>
      <c r="D49" s="2" t="n">
        <v>45149</v>
      </c>
      <c r="E49" s="2" t="n">
        <v>45096</v>
      </c>
      <c r="F49" s="1" t="n">
        <v>12</v>
      </c>
      <c r="G49" s="1" t="inlineStr">
        <is>
          <t>36 months monthly, no cliff</t>
        </is>
      </c>
      <c r="H49" s="1" t="n">
        <v>4</v>
      </c>
      <c r="I49" s="2" t="n">
        <v>45735</v>
      </c>
      <c r="J49" s="1" t="n">
        <v>7777</v>
      </c>
      <c r="K49" s="1" t="n">
        <v>38887</v>
      </c>
      <c r="L49" s="1">
        <f>L48+J49</f>
        <v/>
      </c>
      <c r="M49" s="1">
        <f>K49-L49</f>
        <v/>
      </c>
      <c r="N49" s="1" t="n">
        <v>0</v>
      </c>
      <c r="O49" s="1" t="inlineStr">
        <is>
          <t>Vested</t>
        </is>
      </c>
    </row>
    <row r="50">
      <c r="A50" s="1" t="inlineStr">
        <is>
          <t>GR-2023-2010</t>
        </is>
      </c>
      <c r="B50" s="1" t="inlineStr">
        <is>
          <t>Marcus Oyelaran</t>
        </is>
      </c>
      <c r="C50" s="1" t="inlineStr">
        <is>
          <t>Performance stock unit</t>
        </is>
      </c>
      <c r="D50" s="2" t="n">
        <v>45149</v>
      </c>
      <c r="E50" s="2" t="n">
        <v>45096</v>
      </c>
      <c r="F50" s="1" t="n">
        <v>12</v>
      </c>
      <c r="G50" s="1" t="inlineStr">
        <is>
          <t>36 months monthly, no cliff</t>
        </is>
      </c>
      <c r="H50" s="1" t="n">
        <v>5</v>
      </c>
      <c r="I50" s="2" t="n">
        <v>45827</v>
      </c>
      <c r="J50" s="1" t="n">
        <v>7779</v>
      </c>
      <c r="K50" s="1" t="n">
        <v>38887</v>
      </c>
      <c r="L50" s="1">
        <f>L49+J50</f>
        <v/>
      </c>
      <c r="M50" s="1">
        <f>K50-L50</f>
        <v/>
      </c>
      <c r="N50" s="1" t="n">
        <v>0</v>
      </c>
      <c r="O50" s="1" t="inlineStr">
        <is>
          <t>Vested</t>
        </is>
      </c>
    </row>
    <row r="51">
      <c r="A51" s="1" t="inlineStr">
        <is>
          <t>GR-2025-2011</t>
        </is>
      </c>
      <c r="B51" s="1" t="inlineStr">
        <is>
          <t>Rune Halvorsen</t>
        </is>
      </c>
      <c r="C51" s="1" t="inlineStr">
        <is>
          <t>Performance stock unit</t>
        </is>
      </c>
      <c r="D51" s="2" t="n">
        <v>45796</v>
      </c>
      <c r="E51" s="2" t="n">
        <v>45775</v>
      </c>
      <c r="F51" s="1" t="n">
        <v>12</v>
      </c>
      <c r="G51" s="1" t="inlineStr">
        <is>
          <t>36 months monthly, no cliff</t>
        </is>
      </c>
      <c r="H51" s="1" t="n">
        <v>1</v>
      </c>
      <c r="I51" s="2" t="n">
        <v>46140</v>
      </c>
      <c r="J51" s="1" t="n">
        <v>31893</v>
      </c>
      <c r="K51" s="1" t="n">
        <v>95679</v>
      </c>
      <c r="L51" s="1">
        <f>J51</f>
        <v/>
      </c>
      <c r="M51" s="1">
        <f>K51-L51</f>
        <v/>
      </c>
      <c r="N51" s="1" t="n">
        <v>0</v>
      </c>
      <c r="O51" s="1" t="inlineStr">
        <is>
          <t>Vested</t>
        </is>
      </c>
    </row>
    <row r="52">
      <c r="A52" s="1" t="inlineStr">
        <is>
          <t>GR-2025-2011</t>
        </is>
      </c>
      <c r="B52" s="1" t="inlineStr">
        <is>
          <t>Rune Halvorsen</t>
        </is>
      </c>
      <c r="C52" s="1" t="inlineStr">
        <is>
          <t>Performance stock unit</t>
        </is>
      </c>
      <c r="D52" s="2" t="n">
        <v>45796</v>
      </c>
      <c r="E52" s="2" t="n">
        <v>45775</v>
      </c>
      <c r="F52" s="1" t="n">
        <v>12</v>
      </c>
      <c r="G52" s="1" t="inlineStr">
        <is>
          <t>36 months monthly, no cliff</t>
        </is>
      </c>
      <c r="H52" s="1" t="n">
        <v>2</v>
      </c>
      <c r="I52" s="2" t="n">
        <v>46231</v>
      </c>
      <c r="J52" s="1" t="n">
        <v>31893</v>
      </c>
      <c r="K52" s="1" t="n">
        <v>95679</v>
      </c>
      <c r="L52" s="1">
        <f>L51+J52</f>
        <v/>
      </c>
      <c r="M52" s="1">
        <f>K52-L52</f>
        <v/>
      </c>
      <c r="N52" s="1" t="n">
        <v>0</v>
      </c>
      <c r="O52" s="1" t="inlineStr">
        <is>
          <t>Vested</t>
        </is>
      </c>
    </row>
    <row r="53">
      <c r="A53" s="1" t="inlineStr">
        <is>
          <t>GR-2025-2011</t>
        </is>
      </c>
      <c r="B53" s="1" t="inlineStr">
        <is>
          <t>Rune Halvorsen</t>
        </is>
      </c>
      <c r="C53" s="1" t="inlineStr">
        <is>
          <t>Performance stock unit</t>
        </is>
      </c>
      <c r="D53" s="2" t="n">
        <v>45796</v>
      </c>
      <c r="E53" s="2" t="n">
        <v>45775</v>
      </c>
      <c r="F53" s="1" t="n">
        <v>12</v>
      </c>
      <c r="G53" s="1" t="inlineStr">
        <is>
          <t>36 months monthly, no cliff</t>
        </is>
      </c>
      <c r="H53" s="1" t="n">
        <v>3</v>
      </c>
      <c r="I53" s="2" t="n">
        <v>46323</v>
      </c>
      <c r="J53" s="1" t="n">
        <v>31893</v>
      </c>
      <c r="K53" s="1" t="n">
        <v>95679</v>
      </c>
      <c r="L53" s="1">
        <f>L52+J53</f>
        <v/>
      </c>
      <c r="M53" s="1">
        <f>K53-L53</f>
        <v/>
      </c>
      <c r="N53" s="1" t="n">
        <v>0</v>
      </c>
      <c r="O53" s="1" t="inlineStr">
        <is>
          <t>Unvested</t>
        </is>
      </c>
    </row>
    <row r="54">
      <c r="A54" s="1" t="inlineStr">
        <is>
          <t>GR-2025-2012</t>
        </is>
      </c>
      <c r="B54" s="1" t="inlineStr">
        <is>
          <t>Dara Whitfield</t>
        </is>
      </c>
      <c r="C54" s="1" t="inlineStr">
        <is>
          <t>Performance stock unit</t>
        </is>
      </c>
      <c r="D54" s="2" t="n">
        <v>45989</v>
      </c>
      <c r="E54" s="2" t="n">
        <v>45918</v>
      </c>
      <c r="F54" s="1" t="n">
        <v>0</v>
      </c>
      <c r="G54" s="1" t="inlineStr">
        <is>
          <t>4 annual tranches</t>
        </is>
      </c>
      <c r="H54" s="1" t="n">
        <v>1</v>
      </c>
      <c r="I54" s="2" t="n">
        <v>45918</v>
      </c>
      <c r="J54" s="1" t="n">
        <v>23413</v>
      </c>
      <c r="K54" s="1" t="n">
        <v>93653</v>
      </c>
      <c r="L54" s="1">
        <f>J54</f>
        <v/>
      </c>
      <c r="M54" s="1">
        <f>K54-L54</f>
        <v/>
      </c>
      <c r="N54" s="1" t="n">
        <v>0</v>
      </c>
      <c r="O54" s="1" t="inlineStr">
        <is>
          <t>Vested</t>
        </is>
      </c>
    </row>
    <row r="55">
      <c r="A55" s="1" t="inlineStr">
        <is>
          <t>GR-2025-2012</t>
        </is>
      </c>
      <c r="B55" s="1" t="inlineStr">
        <is>
          <t>Dara Whitfield</t>
        </is>
      </c>
      <c r="C55" s="1" t="inlineStr">
        <is>
          <t>Performance stock unit</t>
        </is>
      </c>
      <c r="D55" s="2" t="n">
        <v>45989</v>
      </c>
      <c r="E55" s="2" t="n">
        <v>45918</v>
      </c>
      <c r="F55" s="1" t="n">
        <v>0</v>
      </c>
      <c r="G55" s="1" t="inlineStr">
        <is>
          <t>4 annual tranches</t>
        </is>
      </c>
      <c r="H55" s="1" t="n">
        <v>2</v>
      </c>
      <c r="I55" s="2" t="n">
        <v>46009</v>
      </c>
      <c r="J55" s="1" t="n">
        <v>23413</v>
      </c>
      <c r="K55" s="1" t="n">
        <v>93653</v>
      </c>
      <c r="L55" s="1">
        <f>L54+J55</f>
        <v/>
      </c>
      <c r="M55" s="1">
        <f>K55-L55</f>
        <v/>
      </c>
      <c r="N55" s="1" t="n">
        <v>0</v>
      </c>
      <c r="O55" s="1" t="inlineStr">
        <is>
          <t>Vested</t>
        </is>
      </c>
    </row>
    <row r="56">
      <c r="A56" s="1" t="inlineStr">
        <is>
          <t>GR-2025-2012</t>
        </is>
      </c>
      <c r="B56" s="1" t="inlineStr">
        <is>
          <t>Dara Whitfield</t>
        </is>
      </c>
      <c r="C56" s="1" t="inlineStr">
        <is>
          <t>Performance stock unit</t>
        </is>
      </c>
      <c r="D56" s="2" t="n">
        <v>45989</v>
      </c>
      <c r="E56" s="2" t="n">
        <v>45918</v>
      </c>
      <c r="F56" s="1" t="n">
        <v>0</v>
      </c>
      <c r="G56" s="1" t="inlineStr">
        <is>
          <t>4 annual tranches</t>
        </is>
      </c>
      <c r="H56" s="1" t="n">
        <v>3</v>
      </c>
      <c r="I56" s="2" t="n">
        <v>46099</v>
      </c>
      <c r="J56" s="1" t="n">
        <v>23413</v>
      </c>
      <c r="K56" s="1" t="n">
        <v>93653</v>
      </c>
      <c r="L56" s="1">
        <f>L55+J56</f>
        <v/>
      </c>
      <c r="M56" s="1">
        <f>K56-L56</f>
        <v/>
      </c>
      <c r="N56" s="1" t="n">
        <v>0</v>
      </c>
      <c r="O56" s="1" t="inlineStr">
        <is>
          <t>Vested</t>
        </is>
      </c>
    </row>
    <row r="57">
      <c r="A57" s="1" t="inlineStr">
        <is>
          <t>GR-2025-2012</t>
        </is>
      </c>
      <c r="B57" s="1" t="inlineStr">
        <is>
          <t>Dara Whitfield</t>
        </is>
      </c>
      <c r="C57" s="1" t="inlineStr">
        <is>
          <t>Performance stock unit</t>
        </is>
      </c>
      <c r="D57" s="2" t="n">
        <v>45989</v>
      </c>
      <c r="E57" s="2" t="n">
        <v>45918</v>
      </c>
      <c r="F57" s="1" t="n">
        <v>0</v>
      </c>
      <c r="G57" s="1" t="inlineStr">
        <is>
          <t>4 annual tranches</t>
        </is>
      </c>
      <c r="H57" s="1" t="n">
        <v>4</v>
      </c>
      <c r="I57" s="2" t="n">
        <v>46191</v>
      </c>
      <c r="J57" s="1" t="n">
        <v>23414</v>
      </c>
      <c r="K57" s="1" t="n">
        <v>93653</v>
      </c>
      <c r="L57" s="1">
        <f>L56+J57</f>
        <v/>
      </c>
      <c r="M57" s="1">
        <f>K57-L57</f>
        <v/>
      </c>
      <c r="N57" s="1" t="n">
        <v>0</v>
      </c>
      <c r="O57" s="1" t="inlineStr">
        <is>
          <t>Vested</t>
        </is>
      </c>
    </row>
    <row r="58">
      <c r="A58" s="1" t="inlineStr">
        <is>
          <t>GR-2023-2013</t>
        </is>
      </c>
      <c r="B58" s="1" t="inlineStr">
        <is>
          <t>Fabien Roux</t>
        </is>
      </c>
      <c r="C58" s="1" t="inlineStr">
        <is>
          <t>Incentive stock option</t>
        </is>
      </c>
      <c r="D58" s="2" t="n">
        <v>44991</v>
      </c>
      <c r="E58" s="2" t="n">
        <v>44959</v>
      </c>
      <c r="F58" s="1" t="n">
        <v>12</v>
      </c>
      <c r="G58" s="1" t="inlineStr">
        <is>
          <t>16 quarterly tranches</t>
        </is>
      </c>
      <c r="H58" s="1" t="n">
        <v>1</v>
      </c>
      <c r="I58" s="2" t="n">
        <v>45324</v>
      </c>
      <c r="J58" s="1" t="n">
        <v>12221</v>
      </c>
      <c r="K58" s="1" t="n">
        <v>85552</v>
      </c>
      <c r="L58" s="1">
        <f>J58</f>
        <v/>
      </c>
      <c r="M58" s="1">
        <f>K58-L58</f>
        <v/>
      </c>
      <c r="N58" s="1" t="n">
        <v>0</v>
      </c>
      <c r="O58" s="1" t="inlineStr">
        <is>
          <t>Vested</t>
        </is>
      </c>
    </row>
    <row r="59">
      <c r="A59" s="1" t="inlineStr">
        <is>
          <t>GR-2023-2013</t>
        </is>
      </c>
      <c r="B59" s="1" t="inlineStr">
        <is>
          <t>Fabien Roux</t>
        </is>
      </c>
      <c r="C59" s="1" t="inlineStr">
        <is>
          <t>Incentive stock option</t>
        </is>
      </c>
      <c r="D59" s="2" t="n">
        <v>44991</v>
      </c>
      <c r="E59" s="2" t="n">
        <v>44959</v>
      </c>
      <c r="F59" s="1" t="n">
        <v>12</v>
      </c>
      <c r="G59" s="1" t="inlineStr">
        <is>
          <t>16 quarterly tranches</t>
        </is>
      </c>
      <c r="H59" s="1" t="n">
        <v>2</v>
      </c>
      <c r="I59" s="2" t="n">
        <v>45414</v>
      </c>
      <c r="J59" s="1" t="n">
        <v>12221</v>
      </c>
      <c r="K59" s="1" t="n">
        <v>85552</v>
      </c>
      <c r="L59" s="1">
        <f>L58+J59</f>
        <v/>
      </c>
      <c r="M59" s="1">
        <f>K59-L59</f>
        <v/>
      </c>
      <c r="N59" s="1" t="n">
        <v>0</v>
      </c>
      <c r="O59" s="1" t="inlineStr">
        <is>
          <t>Vested</t>
        </is>
      </c>
    </row>
    <row r="60">
      <c r="A60" s="1" t="inlineStr">
        <is>
          <t>GR-2023-2013</t>
        </is>
      </c>
      <c r="B60" s="1" t="inlineStr">
        <is>
          <t>Fabien Roux</t>
        </is>
      </c>
      <c r="C60" s="1" t="inlineStr">
        <is>
          <t>Incentive stock option</t>
        </is>
      </c>
      <c r="D60" s="2" t="n">
        <v>44991</v>
      </c>
      <c r="E60" s="2" t="n">
        <v>44959</v>
      </c>
      <c r="F60" s="1" t="n">
        <v>12</v>
      </c>
      <c r="G60" s="1" t="inlineStr">
        <is>
          <t>16 quarterly tranches</t>
        </is>
      </c>
      <c r="H60" s="1" t="n">
        <v>3</v>
      </c>
      <c r="I60" s="2" t="n">
        <v>45506</v>
      </c>
      <c r="J60" s="1" t="n">
        <v>12221</v>
      </c>
      <c r="K60" s="1" t="n">
        <v>85552</v>
      </c>
      <c r="L60" s="1">
        <f>L59+J60</f>
        <v/>
      </c>
      <c r="M60" s="1">
        <f>K60-L60</f>
        <v/>
      </c>
      <c r="N60" s="1" t="n">
        <v>0</v>
      </c>
      <c r="O60" s="1" t="inlineStr">
        <is>
          <t>Vested</t>
        </is>
      </c>
    </row>
    <row r="61">
      <c r="A61" s="1" t="inlineStr">
        <is>
          <t>GR-2023-2013</t>
        </is>
      </c>
      <c r="B61" s="1" t="inlineStr">
        <is>
          <t>Fabien Roux</t>
        </is>
      </c>
      <c r="C61" s="1" t="inlineStr">
        <is>
          <t>Incentive stock option</t>
        </is>
      </c>
      <c r="D61" s="2" t="n">
        <v>44991</v>
      </c>
      <c r="E61" s="2" t="n">
        <v>44959</v>
      </c>
      <c r="F61" s="1" t="n">
        <v>12</v>
      </c>
      <c r="G61" s="1" t="inlineStr">
        <is>
          <t>16 quarterly tranches</t>
        </is>
      </c>
      <c r="H61" s="1" t="n">
        <v>4</v>
      </c>
      <c r="I61" s="2" t="n">
        <v>45598</v>
      </c>
      <c r="J61" s="1" t="n">
        <v>12221</v>
      </c>
      <c r="K61" s="1" t="n">
        <v>85552</v>
      </c>
      <c r="L61" s="1">
        <f>L60+J61</f>
        <v/>
      </c>
      <c r="M61" s="1">
        <f>K61-L61</f>
        <v/>
      </c>
      <c r="N61" s="1" t="n">
        <v>0</v>
      </c>
      <c r="O61" s="1" t="inlineStr">
        <is>
          <t>Vested</t>
        </is>
      </c>
    </row>
    <row r="62">
      <c r="A62" s="1" t="inlineStr">
        <is>
          <t>GR-2023-2013</t>
        </is>
      </c>
      <c r="B62" s="1" t="inlineStr">
        <is>
          <t>Fabien Roux</t>
        </is>
      </c>
      <c r="C62" s="1" t="inlineStr">
        <is>
          <t>Incentive stock option</t>
        </is>
      </c>
      <c r="D62" s="2" t="n">
        <v>44991</v>
      </c>
      <c r="E62" s="2" t="n">
        <v>44959</v>
      </c>
      <c r="F62" s="1" t="n">
        <v>12</v>
      </c>
      <c r="G62" s="1" t="inlineStr">
        <is>
          <t>16 quarterly tranches</t>
        </is>
      </c>
      <c r="H62" s="1" t="n">
        <v>5</v>
      </c>
      <c r="I62" s="2" t="n">
        <v>45690</v>
      </c>
      <c r="J62" s="1" t="n">
        <v>12221</v>
      </c>
      <c r="K62" s="1" t="n">
        <v>85552</v>
      </c>
      <c r="L62" s="1">
        <f>L61+J62</f>
        <v/>
      </c>
      <c r="M62" s="1">
        <f>K62-L62</f>
        <v/>
      </c>
      <c r="N62" s="1" t="n">
        <v>0</v>
      </c>
      <c r="O62" s="1" t="inlineStr">
        <is>
          <t>Vested</t>
        </is>
      </c>
    </row>
    <row r="63">
      <c r="A63" s="1" t="inlineStr">
        <is>
          <t>GR-2023-2013</t>
        </is>
      </c>
      <c r="B63" s="1" t="inlineStr">
        <is>
          <t>Fabien Roux</t>
        </is>
      </c>
      <c r="C63" s="1" t="inlineStr">
        <is>
          <t>Incentive stock option</t>
        </is>
      </c>
      <c r="D63" s="2" t="n">
        <v>44991</v>
      </c>
      <c r="E63" s="2" t="n">
        <v>44959</v>
      </c>
      <c r="F63" s="1" t="n">
        <v>12</v>
      </c>
      <c r="G63" s="1" t="inlineStr">
        <is>
          <t>16 quarterly tranches</t>
        </is>
      </c>
      <c r="H63" s="1" t="n">
        <v>6</v>
      </c>
      <c r="I63" s="2" t="n">
        <v>45779</v>
      </c>
      <c r="J63" s="1" t="n">
        <v>12221</v>
      </c>
      <c r="K63" s="1" t="n">
        <v>85552</v>
      </c>
      <c r="L63" s="1">
        <f>L62+J63</f>
        <v/>
      </c>
      <c r="M63" s="1">
        <f>K63-L63</f>
        <v/>
      </c>
      <c r="N63" s="1" t="n">
        <v>0</v>
      </c>
      <c r="O63" s="1" t="inlineStr">
        <is>
          <t>Vested</t>
        </is>
      </c>
    </row>
    <row r="64">
      <c r="A64" s="1" t="inlineStr">
        <is>
          <t>GR-2023-2013</t>
        </is>
      </c>
      <c r="B64" s="1" t="inlineStr">
        <is>
          <t>Fabien Roux</t>
        </is>
      </c>
      <c r="C64" s="1" t="inlineStr">
        <is>
          <t>Incentive stock option</t>
        </is>
      </c>
      <c r="D64" s="2" t="n">
        <v>44991</v>
      </c>
      <c r="E64" s="2" t="n">
        <v>44959</v>
      </c>
      <c r="F64" s="1" t="n">
        <v>12</v>
      </c>
      <c r="G64" s="1" t="inlineStr">
        <is>
          <t>16 quarterly tranches</t>
        </is>
      </c>
      <c r="H64" s="1" t="n">
        <v>7</v>
      </c>
      <c r="I64" s="2" t="n">
        <v>45871</v>
      </c>
      <c r="J64" s="1" t="n">
        <v>12226</v>
      </c>
      <c r="K64" s="1" t="n">
        <v>85552</v>
      </c>
      <c r="L64" s="1">
        <f>L63+J64</f>
        <v/>
      </c>
      <c r="M64" s="1">
        <f>K64-L64</f>
        <v/>
      </c>
      <c r="N64" s="1" t="n">
        <v>0</v>
      </c>
      <c r="O64" s="1" t="inlineStr">
        <is>
          <t>Vested</t>
        </is>
      </c>
    </row>
    <row r="65">
      <c r="A65" s="1" t="inlineStr">
        <is>
          <t>GR-2023-2014</t>
        </is>
      </c>
      <c r="B65" s="1" t="inlineStr">
        <is>
          <t>Nadia Berkovich</t>
        </is>
      </c>
      <c r="C65" s="1" t="inlineStr">
        <is>
          <t>Performance stock unit</t>
        </is>
      </c>
      <c r="D65" s="2" t="n">
        <v>45184</v>
      </c>
      <c r="E65" s="2" t="n">
        <v>45133</v>
      </c>
      <c r="F65" s="1" t="n">
        <v>6</v>
      </c>
      <c r="G65" s="1" t="inlineStr">
        <is>
          <t>48 months monthly after a 12-month cliff</t>
        </is>
      </c>
      <c r="H65" s="1" t="n">
        <v>1</v>
      </c>
      <c r="I65" s="2" t="n">
        <v>45317</v>
      </c>
      <c r="J65" s="1" t="n">
        <v>3015</v>
      </c>
      <c r="K65" s="1" t="n">
        <v>15076</v>
      </c>
      <c r="L65" s="1">
        <f>J65</f>
        <v/>
      </c>
      <c r="M65" s="1">
        <f>K65-L65</f>
        <v/>
      </c>
      <c r="N65" s="1" t="n">
        <v>0</v>
      </c>
      <c r="O65" s="1" t="inlineStr">
        <is>
          <t>Vested</t>
        </is>
      </c>
    </row>
    <row r="66">
      <c r="A66" s="1" t="inlineStr">
        <is>
          <t>GR-2023-2014</t>
        </is>
      </c>
      <c r="B66" s="1" t="inlineStr">
        <is>
          <t>Nadia Berkovich</t>
        </is>
      </c>
      <c r="C66" s="1" t="inlineStr">
        <is>
          <t>Performance stock unit</t>
        </is>
      </c>
      <c r="D66" s="2" t="n">
        <v>45184</v>
      </c>
      <c r="E66" s="2" t="n">
        <v>45133</v>
      </c>
      <c r="F66" s="1" t="n">
        <v>6</v>
      </c>
      <c r="G66" s="1" t="inlineStr">
        <is>
          <t>48 months monthly after a 12-month cliff</t>
        </is>
      </c>
      <c r="H66" s="1" t="n">
        <v>2</v>
      </c>
      <c r="I66" s="2" t="n">
        <v>45408</v>
      </c>
      <c r="J66" s="1" t="n">
        <v>3015</v>
      </c>
      <c r="K66" s="1" t="n">
        <v>15076</v>
      </c>
      <c r="L66" s="1">
        <f>L65+J66</f>
        <v/>
      </c>
      <c r="M66" s="1">
        <f>K66-L66</f>
        <v/>
      </c>
      <c r="N66" s="1" t="n">
        <v>0</v>
      </c>
      <c r="O66" s="1" t="inlineStr">
        <is>
          <t>Vested</t>
        </is>
      </c>
    </row>
    <row r="67">
      <c r="A67" s="1" t="inlineStr">
        <is>
          <t>GR-2023-2014</t>
        </is>
      </c>
      <c r="B67" s="1" t="inlineStr">
        <is>
          <t>Nadia Berkovich</t>
        </is>
      </c>
      <c r="C67" s="1" t="inlineStr">
        <is>
          <t>Performance stock unit</t>
        </is>
      </c>
      <c r="D67" s="2" t="n">
        <v>45184</v>
      </c>
      <c r="E67" s="2" t="n">
        <v>45133</v>
      </c>
      <c r="F67" s="1" t="n">
        <v>6</v>
      </c>
      <c r="G67" s="1" t="inlineStr">
        <is>
          <t>48 months monthly after a 12-month cliff</t>
        </is>
      </c>
      <c r="H67" s="1" t="n">
        <v>3</v>
      </c>
      <c r="I67" s="2" t="n">
        <v>45499</v>
      </c>
      <c r="J67" s="1" t="n">
        <v>3015</v>
      </c>
      <c r="K67" s="1" t="n">
        <v>15076</v>
      </c>
      <c r="L67" s="1">
        <f>L66+J67</f>
        <v/>
      </c>
      <c r="M67" s="1">
        <f>K67-L67</f>
        <v/>
      </c>
      <c r="N67" s="1" t="n">
        <v>0</v>
      </c>
      <c r="O67" s="1" t="inlineStr">
        <is>
          <t>Vested</t>
        </is>
      </c>
    </row>
    <row r="68">
      <c r="A68" s="1" t="inlineStr">
        <is>
          <t>GR-2023-2014</t>
        </is>
      </c>
      <c r="B68" s="1" t="inlineStr">
        <is>
          <t>Nadia Berkovich</t>
        </is>
      </c>
      <c r="C68" s="1" t="inlineStr">
        <is>
          <t>Performance stock unit</t>
        </is>
      </c>
      <c r="D68" s="2" t="n">
        <v>45184</v>
      </c>
      <c r="E68" s="2" t="n">
        <v>45133</v>
      </c>
      <c r="F68" s="1" t="n">
        <v>6</v>
      </c>
      <c r="G68" s="1" t="inlineStr">
        <is>
          <t>48 months monthly after a 12-month cliff</t>
        </is>
      </c>
      <c r="H68" s="1" t="n">
        <v>4</v>
      </c>
      <c r="I68" s="2" t="n">
        <v>45591</v>
      </c>
      <c r="J68" s="1" t="n">
        <v>3015</v>
      </c>
      <c r="K68" s="1" t="n">
        <v>15076</v>
      </c>
      <c r="L68" s="1">
        <f>L67+J68</f>
        <v/>
      </c>
      <c r="M68" s="1">
        <f>K68-L68</f>
        <v/>
      </c>
      <c r="N68" s="1" t="n">
        <v>0</v>
      </c>
      <c r="O68" s="1" t="inlineStr">
        <is>
          <t>Vested</t>
        </is>
      </c>
    </row>
    <row r="69">
      <c r="A69" s="1" t="inlineStr">
        <is>
          <t>GR-2023-2014</t>
        </is>
      </c>
      <c r="B69" s="1" t="inlineStr">
        <is>
          <t>Nadia Berkovich</t>
        </is>
      </c>
      <c r="C69" s="1" t="inlineStr">
        <is>
          <t>Performance stock unit</t>
        </is>
      </c>
      <c r="D69" s="2" t="n">
        <v>45184</v>
      </c>
      <c r="E69" s="2" t="n">
        <v>45133</v>
      </c>
      <c r="F69" s="1" t="n">
        <v>6</v>
      </c>
      <c r="G69" s="1" t="inlineStr">
        <is>
          <t>48 months monthly after a 12-month cliff</t>
        </is>
      </c>
      <c r="H69" s="1" t="n">
        <v>5</v>
      </c>
      <c r="I69" s="2" t="n">
        <v>45683</v>
      </c>
      <c r="J69" s="1" t="n">
        <v>3016</v>
      </c>
      <c r="K69" s="1" t="n">
        <v>15076</v>
      </c>
      <c r="L69" s="1">
        <f>L68+J69</f>
        <v/>
      </c>
      <c r="M69" s="1">
        <f>K69-L69</f>
        <v/>
      </c>
      <c r="N69" s="1" t="n">
        <v>0</v>
      </c>
      <c r="O69" s="1" t="inlineStr">
        <is>
          <t>Vested</t>
        </is>
      </c>
    </row>
    <row r="70">
      <c r="A70" s="1" t="inlineStr">
        <is>
          <t>GR-2024-2015</t>
        </is>
      </c>
      <c r="B70" s="1" t="inlineStr">
        <is>
          <t>Gideon Marsh</t>
        </is>
      </c>
      <c r="C70" s="1" t="inlineStr">
        <is>
          <t>Performance stock unit</t>
        </is>
      </c>
      <c r="D70" s="2" t="n">
        <v>45527</v>
      </c>
      <c r="E70" s="2" t="n">
        <v>45470</v>
      </c>
      <c r="F70" s="1" t="n">
        <v>12</v>
      </c>
      <c r="G70" s="1" t="inlineStr">
        <is>
          <t>16 quarterly tranches</t>
        </is>
      </c>
      <c r="H70" s="1" t="n">
        <v>1</v>
      </c>
      <c r="I70" s="2" t="n">
        <v>45835</v>
      </c>
      <c r="J70" s="1" t="n">
        <v>11485</v>
      </c>
      <c r="K70" s="1" t="n">
        <v>91883</v>
      </c>
      <c r="L70" s="1">
        <f>J70</f>
        <v/>
      </c>
      <c r="M70" s="1">
        <f>K70-L70</f>
        <v/>
      </c>
      <c r="N70" s="1" t="n">
        <v>0</v>
      </c>
      <c r="O70" s="1" t="inlineStr">
        <is>
          <t>Vested</t>
        </is>
      </c>
    </row>
    <row r="71">
      <c r="A71" s="1" t="inlineStr">
        <is>
          <t>GR-2024-2015</t>
        </is>
      </c>
      <c r="B71" s="1" t="inlineStr">
        <is>
          <t>Gideon Marsh</t>
        </is>
      </c>
      <c r="C71" s="1" t="inlineStr">
        <is>
          <t>Performance stock unit</t>
        </is>
      </c>
      <c r="D71" s="2" t="n">
        <v>45527</v>
      </c>
      <c r="E71" s="2" t="n">
        <v>45470</v>
      </c>
      <c r="F71" s="1" t="n">
        <v>12</v>
      </c>
      <c r="G71" s="1" t="inlineStr">
        <is>
          <t>16 quarterly tranches</t>
        </is>
      </c>
      <c r="H71" s="1" t="n">
        <v>2</v>
      </c>
      <c r="I71" s="2" t="n">
        <v>45927</v>
      </c>
      <c r="J71" s="1" t="n">
        <v>11485</v>
      </c>
      <c r="K71" s="1" t="n">
        <v>91883</v>
      </c>
      <c r="L71" s="1">
        <f>L70+J71</f>
        <v/>
      </c>
      <c r="M71" s="1">
        <f>K71-L71</f>
        <v/>
      </c>
      <c r="N71" s="1" t="n">
        <v>0</v>
      </c>
      <c r="O71" s="1" t="inlineStr">
        <is>
          <t>Vested</t>
        </is>
      </c>
    </row>
    <row r="72">
      <c r="A72" s="1" t="inlineStr">
        <is>
          <t>GR-2024-2015</t>
        </is>
      </c>
      <c r="B72" s="1" t="inlineStr">
        <is>
          <t>Gideon Marsh</t>
        </is>
      </c>
      <c r="C72" s="1" t="inlineStr">
        <is>
          <t>Performance stock unit</t>
        </is>
      </c>
      <c r="D72" s="2" t="n">
        <v>45527</v>
      </c>
      <c r="E72" s="2" t="n">
        <v>45470</v>
      </c>
      <c r="F72" s="1" t="n">
        <v>12</v>
      </c>
      <c r="G72" s="1" t="inlineStr">
        <is>
          <t>16 quarterly tranches</t>
        </is>
      </c>
      <c r="H72" s="1" t="n">
        <v>3</v>
      </c>
      <c r="I72" s="2" t="n">
        <v>46018</v>
      </c>
      <c r="J72" s="1" t="n">
        <v>11485</v>
      </c>
      <c r="K72" s="1" t="n">
        <v>91883</v>
      </c>
      <c r="L72" s="1">
        <f>L71+J72</f>
        <v/>
      </c>
      <c r="M72" s="1">
        <f>K72-L72</f>
        <v/>
      </c>
      <c r="N72" s="1" t="n">
        <v>0</v>
      </c>
      <c r="O72" s="1" t="inlineStr">
        <is>
          <t>Vested</t>
        </is>
      </c>
    </row>
    <row r="73">
      <c r="A73" s="1" t="inlineStr">
        <is>
          <t>GR-2024-2015</t>
        </is>
      </c>
      <c r="B73" s="1" t="inlineStr">
        <is>
          <t>Gideon Marsh</t>
        </is>
      </c>
      <c r="C73" s="1" t="inlineStr">
        <is>
          <t>Performance stock unit</t>
        </is>
      </c>
      <c r="D73" s="2" t="n">
        <v>45527</v>
      </c>
      <c r="E73" s="2" t="n">
        <v>45470</v>
      </c>
      <c r="F73" s="1" t="n">
        <v>12</v>
      </c>
      <c r="G73" s="1" t="inlineStr">
        <is>
          <t>16 quarterly tranches</t>
        </is>
      </c>
      <c r="H73" s="1" t="n">
        <v>4</v>
      </c>
      <c r="I73" s="2" t="n">
        <v>46108</v>
      </c>
      <c r="J73" s="1" t="n">
        <v>11485</v>
      </c>
      <c r="K73" s="1" t="n">
        <v>91883</v>
      </c>
      <c r="L73" s="1">
        <f>L72+J73</f>
        <v/>
      </c>
      <c r="M73" s="1">
        <f>K73-L73</f>
        <v/>
      </c>
      <c r="N73" s="1" t="n">
        <v>0</v>
      </c>
      <c r="O73" s="1" t="inlineStr">
        <is>
          <t>Vested</t>
        </is>
      </c>
    </row>
    <row r="74">
      <c r="A74" s="1" t="inlineStr">
        <is>
          <t>GR-2024-2015</t>
        </is>
      </c>
      <c r="B74" s="1" t="inlineStr">
        <is>
          <t>Gideon Marsh</t>
        </is>
      </c>
      <c r="C74" s="1" t="inlineStr">
        <is>
          <t>Performance stock unit</t>
        </is>
      </c>
      <c r="D74" s="2" t="n">
        <v>45527</v>
      </c>
      <c r="E74" s="2" t="n">
        <v>45470</v>
      </c>
      <c r="F74" s="1" t="n">
        <v>12</v>
      </c>
      <c r="G74" s="1" t="inlineStr">
        <is>
          <t>16 quarterly tranches</t>
        </is>
      </c>
      <c r="H74" s="1" t="n">
        <v>5</v>
      </c>
      <c r="I74" s="2" t="n">
        <v>46200</v>
      </c>
      <c r="J74" s="1" t="n">
        <v>11485</v>
      </c>
      <c r="K74" s="1" t="n">
        <v>91883</v>
      </c>
      <c r="L74" s="1">
        <f>L73+J74</f>
        <v/>
      </c>
      <c r="M74" s="1">
        <f>K74-L74</f>
        <v/>
      </c>
      <c r="N74" s="1" t="n">
        <v>0</v>
      </c>
      <c r="O74" s="1" t="inlineStr">
        <is>
          <t>Vested</t>
        </is>
      </c>
    </row>
    <row r="75">
      <c r="A75" s="1" t="inlineStr">
        <is>
          <t>GR-2024-2015</t>
        </is>
      </c>
      <c r="B75" s="1" t="inlineStr">
        <is>
          <t>Gideon Marsh</t>
        </is>
      </c>
      <c r="C75" s="1" t="inlineStr">
        <is>
          <t>Performance stock unit</t>
        </is>
      </c>
      <c r="D75" s="2" t="n">
        <v>45527</v>
      </c>
      <c r="E75" s="2" t="n">
        <v>45470</v>
      </c>
      <c r="F75" s="1" t="n">
        <v>12</v>
      </c>
      <c r="G75" s="1" t="inlineStr">
        <is>
          <t>16 quarterly tranches</t>
        </is>
      </c>
      <c r="H75" s="1" t="n">
        <v>6</v>
      </c>
      <c r="I75" s="2" t="n">
        <v>46292</v>
      </c>
      <c r="J75" s="1" t="n">
        <v>11485</v>
      </c>
      <c r="K75" s="1" t="n">
        <v>91883</v>
      </c>
      <c r="L75" s="1">
        <f>L74+J75</f>
        <v/>
      </c>
      <c r="M75" s="1">
        <f>K75-L75</f>
        <v/>
      </c>
      <c r="N75" s="1" t="n">
        <v>0</v>
      </c>
      <c r="O75" s="1" t="inlineStr">
        <is>
          <t>Unvested</t>
        </is>
      </c>
    </row>
    <row r="76">
      <c r="A76" s="1" t="inlineStr">
        <is>
          <t>GR-2024-2015</t>
        </is>
      </c>
      <c r="B76" s="1" t="inlineStr">
        <is>
          <t>Gideon Marsh</t>
        </is>
      </c>
      <c r="C76" s="1" t="inlineStr">
        <is>
          <t>Performance stock unit</t>
        </is>
      </c>
      <c r="D76" s="2" t="n">
        <v>45527</v>
      </c>
      <c r="E76" s="2" t="n">
        <v>45470</v>
      </c>
      <c r="F76" s="1" t="n">
        <v>12</v>
      </c>
      <c r="G76" s="1" t="inlineStr">
        <is>
          <t>16 quarterly tranches</t>
        </is>
      </c>
      <c r="H76" s="1" t="n">
        <v>7</v>
      </c>
      <c r="I76" s="2" t="n">
        <v>46383</v>
      </c>
      <c r="J76" s="1" t="n">
        <v>11485</v>
      </c>
      <c r="K76" s="1" t="n">
        <v>91883</v>
      </c>
      <c r="L76" s="1">
        <f>L75+J76</f>
        <v/>
      </c>
      <c r="M76" s="1">
        <f>K76-L76</f>
        <v/>
      </c>
      <c r="N76" s="1" t="n">
        <v>0</v>
      </c>
      <c r="O76" s="1" t="inlineStr">
        <is>
          <t>Unvested</t>
        </is>
      </c>
    </row>
    <row r="77">
      <c r="A77" s="1" t="inlineStr">
        <is>
          <t>GR-2024-2015</t>
        </is>
      </c>
      <c r="B77" s="1" t="inlineStr">
        <is>
          <t>Gideon Marsh</t>
        </is>
      </c>
      <c r="C77" s="1" t="inlineStr">
        <is>
          <t>Performance stock unit</t>
        </is>
      </c>
      <c r="D77" s="2" t="n">
        <v>45527</v>
      </c>
      <c r="E77" s="2" t="n">
        <v>45470</v>
      </c>
      <c r="F77" s="1" t="n">
        <v>12</v>
      </c>
      <c r="G77" s="1" t="inlineStr">
        <is>
          <t>16 quarterly tranches</t>
        </is>
      </c>
      <c r="H77" s="1" t="n">
        <v>8</v>
      </c>
      <c r="I77" s="2" t="n">
        <v>46473</v>
      </c>
      <c r="J77" s="1" t="n">
        <v>11488</v>
      </c>
      <c r="K77" s="1" t="n">
        <v>91883</v>
      </c>
      <c r="L77" s="1">
        <f>L76+J77</f>
        <v/>
      </c>
      <c r="M77" s="1">
        <f>K77-L77</f>
        <v/>
      </c>
      <c r="N77" s="1" t="n">
        <v>0</v>
      </c>
      <c r="O77" s="1" t="inlineStr">
        <is>
          <t>Unvested</t>
        </is>
      </c>
    </row>
    <row r="78">
      <c r="A78" s="1" t="inlineStr">
        <is>
          <t>GR-2023-2016</t>
        </is>
      </c>
      <c r="B78" s="1" t="inlineStr">
        <is>
          <t>Nadia Berkovich</t>
        </is>
      </c>
      <c r="C78" s="1" t="inlineStr">
        <is>
          <t>Performance stock unit</t>
        </is>
      </c>
      <c r="D78" s="2" t="n">
        <v>45022</v>
      </c>
      <c r="E78" s="2" t="n">
        <v>44939</v>
      </c>
      <c r="F78" s="1" t="n">
        <v>12</v>
      </c>
      <c r="G78" s="1" t="inlineStr">
        <is>
          <t>36 months monthly, no cliff</t>
        </is>
      </c>
      <c r="H78" s="1" t="n">
        <v>1</v>
      </c>
      <c r="I78" s="2" t="n">
        <v>45304</v>
      </c>
      <c r="J78" s="1" t="n">
        <v>7300</v>
      </c>
      <c r="K78" s="1" t="n">
        <v>51106</v>
      </c>
      <c r="L78" s="1">
        <f>J78</f>
        <v/>
      </c>
      <c r="M78" s="1">
        <f>K78-L78</f>
        <v/>
      </c>
      <c r="N78" s="1" t="n">
        <v>0</v>
      </c>
      <c r="O78" s="1" t="inlineStr">
        <is>
          <t>Vested</t>
        </is>
      </c>
    </row>
    <row r="79">
      <c r="A79" s="1" t="inlineStr">
        <is>
          <t>GR-2023-2016</t>
        </is>
      </c>
      <c r="B79" s="1" t="inlineStr">
        <is>
          <t>Nadia Berkovich</t>
        </is>
      </c>
      <c r="C79" s="1" t="inlineStr">
        <is>
          <t>Performance stock unit</t>
        </is>
      </c>
      <c r="D79" s="2" t="n">
        <v>45022</v>
      </c>
      <c r="E79" s="2" t="n">
        <v>44939</v>
      </c>
      <c r="F79" s="1" t="n">
        <v>12</v>
      </c>
      <c r="G79" s="1" t="inlineStr">
        <is>
          <t>36 months monthly, no cliff</t>
        </is>
      </c>
      <c r="H79" s="1" t="n">
        <v>2</v>
      </c>
      <c r="I79" s="2" t="n">
        <v>45395</v>
      </c>
      <c r="J79" s="1" t="n">
        <v>7300</v>
      </c>
      <c r="K79" s="1" t="n">
        <v>51106</v>
      </c>
      <c r="L79" s="1">
        <f>L78+J79</f>
        <v/>
      </c>
      <c r="M79" s="1">
        <f>K79-L79</f>
        <v/>
      </c>
      <c r="N79" s="1" t="n">
        <v>0</v>
      </c>
      <c r="O79" s="1" t="inlineStr">
        <is>
          <t>Vested</t>
        </is>
      </c>
    </row>
    <row r="80">
      <c r="A80" s="1" t="inlineStr">
        <is>
          <t>GR-2023-2016</t>
        </is>
      </c>
      <c r="B80" s="1" t="inlineStr">
        <is>
          <t>Nadia Berkovich</t>
        </is>
      </c>
      <c r="C80" s="1" t="inlineStr">
        <is>
          <t>Performance stock unit</t>
        </is>
      </c>
      <c r="D80" s="2" t="n">
        <v>45022</v>
      </c>
      <c r="E80" s="2" t="n">
        <v>44939</v>
      </c>
      <c r="F80" s="1" t="n">
        <v>12</v>
      </c>
      <c r="G80" s="1" t="inlineStr">
        <is>
          <t>36 months monthly, no cliff</t>
        </is>
      </c>
      <c r="H80" s="1" t="n">
        <v>3</v>
      </c>
      <c r="I80" s="2" t="n">
        <v>45486</v>
      </c>
      <c r="J80" s="1" t="n">
        <v>7300</v>
      </c>
      <c r="K80" s="1" t="n">
        <v>51106</v>
      </c>
      <c r="L80" s="1">
        <f>L79+J80</f>
        <v/>
      </c>
      <c r="M80" s="1">
        <f>K80-L80</f>
        <v/>
      </c>
      <c r="N80" s="1" t="n">
        <v>0</v>
      </c>
      <c r="O80" s="1" t="inlineStr">
        <is>
          <t>Vested</t>
        </is>
      </c>
    </row>
    <row r="81">
      <c r="A81" s="1" t="inlineStr">
        <is>
          <t>GR-2023-2016</t>
        </is>
      </c>
      <c r="B81" s="1" t="inlineStr">
        <is>
          <t>Nadia Berkovich</t>
        </is>
      </c>
      <c r="C81" s="1" t="inlineStr">
        <is>
          <t>Performance stock unit</t>
        </is>
      </c>
      <c r="D81" s="2" t="n">
        <v>45022</v>
      </c>
      <c r="E81" s="2" t="n">
        <v>44939</v>
      </c>
      <c r="F81" s="1" t="n">
        <v>12</v>
      </c>
      <c r="G81" s="1" t="inlineStr">
        <is>
          <t>36 months monthly, no cliff</t>
        </is>
      </c>
      <c r="H81" s="1" t="n">
        <v>4</v>
      </c>
      <c r="I81" s="2" t="n">
        <v>45578</v>
      </c>
      <c r="J81" s="1" t="n">
        <v>7300</v>
      </c>
      <c r="K81" s="1" t="n">
        <v>51106</v>
      </c>
      <c r="L81" s="1">
        <f>L80+J81</f>
        <v/>
      </c>
      <c r="M81" s="1">
        <f>K81-L81</f>
        <v/>
      </c>
      <c r="N81" s="1" t="n">
        <v>0</v>
      </c>
      <c r="O81" s="1" t="inlineStr">
        <is>
          <t>Vested</t>
        </is>
      </c>
    </row>
    <row r="82">
      <c r="A82" s="1" t="inlineStr">
        <is>
          <t>GR-2023-2016</t>
        </is>
      </c>
      <c r="B82" s="1" t="inlineStr">
        <is>
          <t>Nadia Berkovich</t>
        </is>
      </c>
      <c r="C82" s="1" t="inlineStr">
        <is>
          <t>Performance stock unit</t>
        </is>
      </c>
      <c r="D82" s="2" t="n">
        <v>45022</v>
      </c>
      <c r="E82" s="2" t="n">
        <v>44939</v>
      </c>
      <c r="F82" s="1" t="n">
        <v>12</v>
      </c>
      <c r="G82" s="1" t="inlineStr">
        <is>
          <t>36 months monthly, no cliff</t>
        </is>
      </c>
      <c r="H82" s="1" t="n">
        <v>5</v>
      </c>
      <c r="I82" s="2" t="n">
        <v>45670</v>
      </c>
      <c r="J82" s="1" t="n">
        <v>7300</v>
      </c>
      <c r="K82" s="1" t="n">
        <v>51106</v>
      </c>
      <c r="L82" s="1">
        <f>L81+J82</f>
        <v/>
      </c>
      <c r="M82" s="1">
        <f>K82-L82</f>
        <v/>
      </c>
      <c r="N82" s="1" t="n">
        <v>0</v>
      </c>
      <c r="O82" s="1" t="inlineStr">
        <is>
          <t>Vested</t>
        </is>
      </c>
    </row>
    <row r="83">
      <c r="A83" s="1" t="inlineStr">
        <is>
          <t>GR-2023-2016</t>
        </is>
      </c>
      <c r="B83" s="1" t="inlineStr">
        <is>
          <t>Nadia Berkovich</t>
        </is>
      </c>
      <c r="C83" s="1" t="inlineStr">
        <is>
          <t>Performance stock unit</t>
        </is>
      </c>
      <c r="D83" s="2" t="n">
        <v>45022</v>
      </c>
      <c r="E83" s="2" t="n">
        <v>44939</v>
      </c>
      <c r="F83" s="1" t="n">
        <v>12</v>
      </c>
      <c r="G83" s="1" t="inlineStr">
        <is>
          <t>36 months monthly, no cliff</t>
        </is>
      </c>
      <c r="H83" s="1" t="n">
        <v>6</v>
      </c>
      <c r="I83" s="2" t="n">
        <v>45760</v>
      </c>
      <c r="J83" s="1" t="n">
        <v>7300</v>
      </c>
      <c r="K83" s="1" t="n">
        <v>51106</v>
      </c>
      <c r="L83" s="1">
        <f>L82+J83</f>
        <v/>
      </c>
      <c r="M83" s="1">
        <f>K83-L83</f>
        <v/>
      </c>
      <c r="N83" s="1" t="n">
        <v>0</v>
      </c>
      <c r="O83" s="1" t="inlineStr">
        <is>
          <t>Vested</t>
        </is>
      </c>
    </row>
    <row r="84">
      <c r="A84" s="1" t="inlineStr">
        <is>
          <t>GR-2023-2016</t>
        </is>
      </c>
      <c r="B84" s="1" t="inlineStr">
        <is>
          <t>Nadia Berkovich</t>
        </is>
      </c>
      <c r="C84" s="1" t="inlineStr">
        <is>
          <t>Performance stock unit</t>
        </is>
      </c>
      <c r="D84" s="2" t="n">
        <v>45022</v>
      </c>
      <c r="E84" s="2" t="n">
        <v>44939</v>
      </c>
      <c r="F84" s="1" t="n">
        <v>12</v>
      </c>
      <c r="G84" s="1" t="inlineStr">
        <is>
          <t>36 months monthly, no cliff</t>
        </is>
      </c>
      <c r="H84" s="1" t="n">
        <v>7</v>
      </c>
      <c r="I84" s="2" t="n">
        <v>45851</v>
      </c>
      <c r="J84" s="1" t="n">
        <v>7306</v>
      </c>
      <c r="K84" s="1" t="n">
        <v>51106</v>
      </c>
      <c r="L84" s="1">
        <f>L83+J84</f>
        <v/>
      </c>
      <c r="M84" s="1">
        <f>K84-L84</f>
        <v/>
      </c>
      <c r="N84" s="1" t="n">
        <v>0</v>
      </c>
      <c r="O84" s="1" t="inlineStr">
        <is>
          <t>Vested</t>
        </is>
      </c>
    </row>
    <row r="85">
      <c r="A85" s="1" t="inlineStr">
        <is>
          <t>GR-2022-2017</t>
        </is>
      </c>
      <c r="B85" s="1" t="inlineStr">
        <is>
          <t>Beatrix Sorensen</t>
        </is>
      </c>
      <c r="C85" s="1" t="inlineStr">
        <is>
          <t>Nonqualified stock option</t>
        </is>
      </c>
      <c r="D85" s="2" t="n">
        <v>44785</v>
      </c>
      <c r="E85" s="2" t="n">
        <v>44780</v>
      </c>
      <c r="F85" s="1" t="n">
        <v>12</v>
      </c>
      <c r="G85" s="1" t="inlineStr">
        <is>
          <t>16 quarterly tranches</t>
        </is>
      </c>
      <c r="H85" s="1" t="n">
        <v>1</v>
      </c>
      <c r="I85" s="2" t="n">
        <v>45145</v>
      </c>
      <c r="J85" s="1" t="n">
        <v>19524</v>
      </c>
      <c r="K85" s="1" t="n">
        <v>78099</v>
      </c>
      <c r="L85" s="1">
        <f>J85</f>
        <v/>
      </c>
      <c r="M85" s="1">
        <f>K85-L85</f>
        <v/>
      </c>
      <c r="N85" s="1" t="n">
        <v>0</v>
      </c>
      <c r="O85" s="1" t="inlineStr">
        <is>
          <t>Vested</t>
        </is>
      </c>
    </row>
    <row r="86">
      <c r="A86" s="1" t="inlineStr">
        <is>
          <t>GR-2022-2017</t>
        </is>
      </c>
      <c r="B86" s="1" t="inlineStr">
        <is>
          <t>Beatrix Sorensen</t>
        </is>
      </c>
      <c r="C86" s="1" t="inlineStr">
        <is>
          <t>Nonqualified stock option</t>
        </is>
      </c>
      <c r="D86" s="2" t="n">
        <v>44785</v>
      </c>
      <c r="E86" s="2" t="n">
        <v>44780</v>
      </c>
      <c r="F86" s="1" t="n">
        <v>12</v>
      </c>
      <c r="G86" s="1" t="inlineStr">
        <is>
          <t>16 quarterly tranches</t>
        </is>
      </c>
      <c r="H86" s="1" t="n">
        <v>2</v>
      </c>
      <c r="I86" s="2" t="n">
        <v>45237</v>
      </c>
      <c r="J86" s="1" t="n">
        <v>19524</v>
      </c>
      <c r="K86" s="1" t="n">
        <v>78099</v>
      </c>
      <c r="L86" s="1">
        <f>L85+J86</f>
        <v/>
      </c>
      <c r="M86" s="1">
        <f>K86-L86</f>
        <v/>
      </c>
      <c r="N86" s="1" t="n">
        <v>0</v>
      </c>
      <c r="O86" s="1" t="inlineStr">
        <is>
          <t>Vested</t>
        </is>
      </c>
    </row>
    <row r="87">
      <c r="A87" s="1" t="inlineStr">
        <is>
          <t>GR-2022-2017</t>
        </is>
      </c>
      <c r="B87" s="1" t="inlineStr">
        <is>
          <t>Beatrix Sorensen</t>
        </is>
      </c>
      <c r="C87" s="1" t="inlineStr">
        <is>
          <t>Nonqualified stock option</t>
        </is>
      </c>
      <c r="D87" s="2" t="n">
        <v>44785</v>
      </c>
      <c r="E87" s="2" t="n">
        <v>44780</v>
      </c>
      <c r="F87" s="1" t="n">
        <v>12</v>
      </c>
      <c r="G87" s="1" t="inlineStr">
        <is>
          <t>16 quarterly tranches</t>
        </is>
      </c>
      <c r="H87" s="1" t="n">
        <v>3</v>
      </c>
      <c r="I87" s="2" t="n">
        <v>45329</v>
      </c>
      <c r="J87" s="1" t="n">
        <v>19524</v>
      </c>
      <c r="K87" s="1" t="n">
        <v>78099</v>
      </c>
      <c r="L87" s="1">
        <f>L86+J87</f>
        <v/>
      </c>
      <c r="M87" s="1">
        <f>K87-L87</f>
        <v/>
      </c>
      <c r="N87" s="1" t="n">
        <v>0</v>
      </c>
      <c r="O87" s="1" t="inlineStr">
        <is>
          <t>Vested</t>
        </is>
      </c>
    </row>
    <row r="88">
      <c r="A88" s="1" t="inlineStr">
        <is>
          <t>GR-2022-2017</t>
        </is>
      </c>
      <c r="B88" s="1" t="inlineStr">
        <is>
          <t>Beatrix Sorensen</t>
        </is>
      </c>
      <c r="C88" s="1" t="inlineStr">
        <is>
          <t>Nonqualified stock option</t>
        </is>
      </c>
      <c r="D88" s="2" t="n">
        <v>44785</v>
      </c>
      <c r="E88" s="2" t="n">
        <v>44780</v>
      </c>
      <c r="F88" s="1" t="n">
        <v>12</v>
      </c>
      <c r="G88" s="1" t="inlineStr">
        <is>
          <t>16 quarterly tranches</t>
        </is>
      </c>
      <c r="H88" s="1" t="n">
        <v>4</v>
      </c>
      <c r="I88" s="2" t="n">
        <v>45419</v>
      </c>
      <c r="J88" s="1" t="n">
        <v>19527</v>
      </c>
      <c r="K88" s="1" t="n">
        <v>78099</v>
      </c>
      <c r="L88" s="1">
        <f>L87+J88</f>
        <v/>
      </c>
      <c r="M88" s="1">
        <f>K88-L88</f>
        <v/>
      </c>
      <c r="N88" s="1" t="n">
        <v>0</v>
      </c>
      <c r="O88" s="1" t="inlineStr">
        <is>
          <t>Vested</t>
        </is>
      </c>
    </row>
    <row r="89">
      <c r="A89" s="1" t="inlineStr">
        <is>
          <t>GR-2022-2018</t>
        </is>
      </c>
      <c r="B89" s="1" t="inlineStr">
        <is>
          <t>Junia Alvarez</t>
        </is>
      </c>
      <c r="C89" s="1" t="inlineStr">
        <is>
          <t>Incentive stock option</t>
        </is>
      </c>
      <c r="D89" s="2" t="n">
        <v>44659</v>
      </c>
      <c r="E89" s="2" t="n">
        <v>44587</v>
      </c>
      <c r="F89" s="1" t="n">
        <v>12</v>
      </c>
      <c r="G89" s="1" t="inlineStr">
        <is>
          <t>Performance tranches on board certification</t>
        </is>
      </c>
      <c r="H89" s="1" t="n">
        <v>1</v>
      </c>
      <c r="I89" s="2" t="n">
        <v>44952</v>
      </c>
      <c r="J89" s="1" t="n">
        <v>2481</v>
      </c>
      <c r="K89" s="1" t="n">
        <v>19850</v>
      </c>
      <c r="L89" s="1">
        <f>J89</f>
        <v/>
      </c>
      <c r="M89" s="1">
        <f>K89-L89</f>
        <v/>
      </c>
      <c r="N89" s="1" t="n">
        <v>0</v>
      </c>
      <c r="O89" s="1" t="inlineStr">
        <is>
          <t>Vested</t>
        </is>
      </c>
    </row>
    <row r="90">
      <c r="A90" s="1" t="inlineStr">
        <is>
          <t>GR-2022-2018</t>
        </is>
      </c>
      <c r="B90" s="1" t="inlineStr">
        <is>
          <t>Junia Alvarez</t>
        </is>
      </c>
      <c r="C90" s="1" t="inlineStr">
        <is>
          <t>Incentive stock option</t>
        </is>
      </c>
      <c r="D90" s="2" t="n">
        <v>44659</v>
      </c>
      <c r="E90" s="2" t="n">
        <v>44587</v>
      </c>
      <c r="F90" s="1" t="n">
        <v>12</v>
      </c>
      <c r="G90" s="1" t="inlineStr">
        <is>
          <t>Performance tranches on board certification</t>
        </is>
      </c>
      <c r="H90" s="1" t="n">
        <v>2</v>
      </c>
      <c r="I90" s="2" t="n">
        <v>45042</v>
      </c>
      <c r="J90" s="1" t="n">
        <v>2481</v>
      </c>
      <c r="K90" s="1" t="n">
        <v>19850</v>
      </c>
      <c r="L90" s="1">
        <f>L89+J90</f>
        <v/>
      </c>
      <c r="M90" s="1">
        <f>K90-L90</f>
        <v/>
      </c>
      <c r="N90" s="1" t="n">
        <v>0</v>
      </c>
      <c r="O90" s="1" t="inlineStr">
        <is>
          <t>Vested</t>
        </is>
      </c>
    </row>
    <row r="91">
      <c r="A91" s="1" t="inlineStr">
        <is>
          <t>GR-2022-2018</t>
        </is>
      </c>
      <c r="B91" s="1" t="inlineStr">
        <is>
          <t>Junia Alvarez</t>
        </is>
      </c>
      <c r="C91" s="1" t="inlineStr">
        <is>
          <t>Incentive stock option</t>
        </is>
      </c>
      <c r="D91" s="2" t="n">
        <v>44659</v>
      </c>
      <c r="E91" s="2" t="n">
        <v>44587</v>
      </c>
      <c r="F91" s="1" t="n">
        <v>12</v>
      </c>
      <c r="G91" s="1" t="inlineStr">
        <is>
          <t>Performance tranches on board certification</t>
        </is>
      </c>
      <c r="H91" s="1" t="n">
        <v>3</v>
      </c>
      <c r="I91" s="2" t="n">
        <v>45133</v>
      </c>
      <c r="J91" s="1" t="n">
        <v>2481</v>
      </c>
      <c r="K91" s="1" t="n">
        <v>19850</v>
      </c>
      <c r="L91" s="1">
        <f>L90+J91</f>
        <v/>
      </c>
      <c r="M91" s="1">
        <f>K91-L91</f>
        <v/>
      </c>
      <c r="N91" s="1" t="n">
        <v>0</v>
      </c>
      <c r="O91" s="1" t="inlineStr">
        <is>
          <t>Vested</t>
        </is>
      </c>
    </row>
    <row r="92">
      <c r="A92" s="1" t="inlineStr">
        <is>
          <t>GR-2022-2018</t>
        </is>
      </c>
      <c r="B92" s="1" t="inlineStr">
        <is>
          <t>Junia Alvarez</t>
        </is>
      </c>
      <c r="C92" s="1" t="inlineStr">
        <is>
          <t>Incentive stock option</t>
        </is>
      </c>
      <c r="D92" s="2" t="n">
        <v>44659</v>
      </c>
      <c r="E92" s="2" t="n">
        <v>44587</v>
      </c>
      <c r="F92" s="1" t="n">
        <v>12</v>
      </c>
      <c r="G92" s="1" t="inlineStr">
        <is>
          <t>Performance tranches on board certification</t>
        </is>
      </c>
      <c r="H92" s="1" t="n">
        <v>4</v>
      </c>
      <c r="I92" s="2" t="n">
        <v>45225</v>
      </c>
      <c r="J92" s="1" t="n">
        <v>2481</v>
      </c>
      <c r="K92" s="1" t="n">
        <v>19850</v>
      </c>
      <c r="L92" s="1">
        <f>L91+J92</f>
        <v/>
      </c>
      <c r="M92" s="1">
        <f>K92-L92</f>
        <v/>
      </c>
      <c r="N92" s="1" t="n">
        <v>0</v>
      </c>
      <c r="O92" s="1" t="inlineStr">
        <is>
          <t>Vested</t>
        </is>
      </c>
    </row>
    <row r="93">
      <c r="A93" s="1" t="inlineStr">
        <is>
          <t>GR-2022-2018</t>
        </is>
      </c>
      <c r="B93" s="1" t="inlineStr">
        <is>
          <t>Junia Alvarez</t>
        </is>
      </c>
      <c r="C93" s="1" t="inlineStr">
        <is>
          <t>Incentive stock option</t>
        </is>
      </c>
      <c r="D93" s="2" t="n">
        <v>44659</v>
      </c>
      <c r="E93" s="2" t="n">
        <v>44587</v>
      </c>
      <c r="F93" s="1" t="n">
        <v>12</v>
      </c>
      <c r="G93" s="1" t="inlineStr">
        <is>
          <t>Performance tranches on board certification</t>
        </is>
      </c>
      <c r="H93" s="1" t="n">
        <v>5</v>
      </c>
      <c r="I93" s="2" t="n">
        <v>45317</v>
      </c>
      <c r="J93" s="1" t="n">
        <v>2481</v>
      </c>
      <c r="K93" s="1" t="n">
        <v>19850</v>
      </c>
      <c r="L93" s="1">
        <f>L92+J93</f>
        <v/>
      </c>
      <c r="M93" s="1">
        <f>K93-L93</f>
        <v/>
      </c>
      <c r="N93" s="1" t="n">
        <v>0</v>
      </c>
      <c r="O93" s="1" t="inlineStr">
        <is>
          <t>Vested</t>
        </is>
      </c>
    </row>
    <row r="94">
      <c r="A94" s="1" t="inlineStr">
        <is>
          <t>GR-2022-2018</t>
        </is>
      </c>
      <c r="B94" s="1" t="inlineStr">
        <is>
          <t>Junia Alvarez</t>
        </is>
      </c>
      <c r="C94" s="1" t="inlineStr">
        <is>
          <t>Incentive stock option</t>
        </is>
      </c>
      <c r="D94" s="2" t="n">
        <v>44659</v>
      </c>
      <c r="E94" s="2" t="n">
        <v>44587</v>
      </c>
      <c r="F94" s="1" t="n">
        <v>12</v>
      </c>
      <c r="G94" s="1" t="inlineStr">
        <is>
          <t>Performance tranches on board certification</t>
        </is>
      </c>
      <c r="H94" s="1" t="n">
        <v>6</v>
      </c>
      <c r="I94" s="2" t="n">
        <v>45408</v>
      </c>
      <c r="J94" s="1" t="n">
        <v>2481</v>
      </c>
      <c r="K94" s="1" t="n">
        <v>19850</v>
      </c>
      <c r="L94" s="1">
        <f>L93+J94</f>
        <v/>
      </c>
      <c r="M94" s="1">
        <f>K94-L94</f>
        <v/>
      </c>
      <c r="N94" s="1" t="n">
        <v>0</v>
      </c>
      <c r="O94" s="1" t="inlineStr">
        <is>
          <t>Vested</t>
        </is>
      </c>
    </row>
    <row r="95">
      <c r="A95" s="1" t="inlineStr">
        <is>
          <t>GR-2022-2018</t>
        </is>
      </c>
      <c r="B95" s="1" t="inlineStr">
        <is>
          <t>Junia Alvarez</t>
        </is>
      </c>
      <c r="C95" s="1" t="inlineStr">
        <is>
          <t>Incentive stock option</t>
        </is>
      </c>
      <c r="D95" s="2" t="n">
        <v>44659</v>
      </c>
      <c r="E95" s="2" t="n">
        <v>44587</v>
      </c>
      <c r="F95" s="1" t="n">
        <v>12</v>
      </c>
      <c r="G95" s="1" t="inlineStr">
        <is>
          <t>Performance tranches on board certification</t>
        </is>
      </c>
      <c r="H95" s="1" t="n">
        <v>7</v>
      </c>
      <c r="I95" s="2" t="n">
        <v>45499</v>
      </c>
      <c r="J95" s="1" t="n">
        <v>2481</v>
      </c>
      <c r="K95" s="1" t="n">
        <v>19850</v>
      </c>
      <c r="L95" s="1">
        <f>L94+J95</f>
        <v/>
      </c>
      <c r="M95" s="1">
        <f>K95-L95</f>
        <v/>
      </c>
      <c r="N95" s="1" t="n">
        <v>0</v>
      </c>
      <c r="O95" s="1" t="inlineStr">
        <is>
          <t>Vested</t>
        </is>
      </c>
    </row>
    <row r="96">
      <c r="A96" s="1" t="inlineStr">
        <is>
          <t>GR-2022-2018</t>
        </is>
      </c>
      <c r="B96" s="1" t="inlineStr">
        <is>
          <t>Junia Alvarez</t>
        </is>
      </c>
      <c r="C96" s="1" t="inlineStr">
        <is>
          <t>Incentive stock option</t>
        </is>
      </c>
      <c r="D96" s="2" t="n">
        <v>44659</v>
      </c>
      <c r="E96" s="2" t="n">
        <v>44587</v>
      </c>
      <c r="F96" s="1" t="n">
        <v>12</v>
      </c>
      <c r="G96" s="1" t="inlineStr">
        <is>
          <t>Performance tranches on board certification</t>
        </is>
      </c>
      <c r="H96" s="1" t="n">
        <v>8</v>
      </c>
      <c r="I96" s="2" t="n">
        <v>45591</v>
      </c>
      <c r="J96" s="1" t="n">
        <v>2483</v>
      </c>
      <c r="K96" s="1" t="n">
        <v>19850</v>
      </c>
      <c r="L96" s="1">
        <f>L95+J96</f>
        <v/>
      </c>
      <c r="M96" s="1">
        <f>K96-L96</f>
        <v/>
      </c>
      <c r="N96" s="1" t="n">
        <v>0</v>
      </c>
      <c r="O96" s="1" t="inlineStr">
        <is>
          <t>Vested</t>
        </is>
      </c>
    </row>
    <row r="97">
      <c r="A97" s="1" t="inlineStr">
        <is>
          <t>GR-2022-2019</t>
        </is>
      </c>
      <c r="B97" s="1" t="inlineStr">
        <is>
          <t>Noor Farahani</t>
        </is>
      </c>
      <c r="C97" s="1" t="inlineStr">
        <is>
          <t>Performance stock unit</t>
        </is>
      </c>
      <c r="D97" s="2" t="n">
        <v>44785</v>
      </c>
      <c r="E97" s="2" t="n">
        <v>44696</v>
      </c>
      <c r="F97" s="1" t="n">
        <v>12</v>
      </c>
      <c r="G97" s="1" t="inlineStr">
        <is>
          <t>Performance tranches on board certification</t>
        </is>
      </c>
      <c r="H97" s="1" t="n">
        <v>1</v>
      </c>
      <c r="I97" s="2" t="n">
        <v>45061</v>
      </c>
      <c r="J97" s="1" t="n">
        <v>40142</v>
      </c>
      <c r="K97" s="1" t="n">
        <v>80285</v>
      </c>
      <c r="L97" s="1">
        <f>J97</f>
        <v/>
      </c>
      <c r="M97" s="1">
        <f>K97-L97</f>
        <v/>
      </c>
      <c r="N97" s="1" t="n">
        <v>0</v>
      </c>
      <c r="O97" s="1" t="inlineStr">
        <is>
          <t>Vested</t>
        </is>
      </c>
    </row>
    <row r="98">
      <c r="A98" s="1" t="inlineStr">
        <is>
          <t>GR-2022-2019</t>
        </is>
      </c>
      <c r="B98" s="1" t="inlineStr">
        <is>
          <t>Noor Farahani</t>
        </is>
      </c>
      <c r="C98" s="1" t="inlineStr">
        <is>
          <t>Performance stock unit</t>
        </is>
      </c>
      <c r="D98" s="2" t="n">
        <v>44785</v>
      </c>
      <c r="E98" s="2" t="n">
        <v>44696</v>
      </c>
      <c r="F98" s="1" t="n">
        <v>12</v>
      </c>
      <c r="G98" s="1" t="inlineStr">
        <is>
          <t>Performance tranches on board certification</t>
        </is>
      </c>
      <c r="H98" s="1" t="n">
        <v>2</v>
      </c>
      <c r="I98" s="2" t="n">
        <v>45153</v>
      </c>
      <c r="J98" s="1" t="n">
        <v>40143</v>
      </c>
      <c r="K98" s="1" t="n">
        <v>80285</v>
      </c>
      <c r="L98" s="1">
        <f>L97+J98</f>
        <v/>
      </c>
      <c r="M98" s="1">
        <f>K98-L98</f>
        <v/>
      </c>
      <c r="N98" s="1" t="n">
        <v>0</v>
      </c>
      <c r="O98" s="1" t="inlineStr">
        <is>
          <t>Vested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grant_id</t>
        </is>
      </c>
      <c r="B1" s="1" t="inlineStr">
        <is>
          <t>holder</t>
        </is>
      </c>
      <c r="C1" s="1" t="inlineStr">
        <is>
          <t>award_type</t>
        </is>
      </c>
      <c r="D1" s="1" t="inlineStr">
        <is>
          <t>grant_date</t>
        </is>
      </c>
      <c r="E1" s="1" t="inlineStr">
        <is>
          <t>vest_start</t>
        </is>
      </c>
      <c r="F1" s="1" t="inlineStr">
        <is>
          <t>cliff_months</t>
        </is>
      </c>
      <c r="G1" s="1" t="inlineStr">
        <is>
          <t>schedule</t>
        </is>
      </c>
      <c r="H1" s="1" t="inlineStr">
        <is>
          <t>tranche_no</t>
        </is>
      </c>
      <c r="I1" s="1" t="inlineStr">
        <is>
          <t>tranche_date</t>
        </is>
      </c>
      <c r="J1" s="1" t="inlineStr">
        <is>
          <t>tranche_quantity</t>
        </is>
      </c>
      <c r="K1" s="1" t="inlineStr">
        <is>
          <t>grant_quantity</t>
        </is>
      </c>
      <c r="L1" s="1" t="inlineStr">
        <is>
          <t>cumulative_vested</t>
        </is>
      </c>
      <c r="M1" s="1" t="inlineStr">
        <is>
          <t>unvested</t>
        </is>
      </c>
      <c r="N1" s="1" t="inlineStr">
        <is>
          <t>forfeited</t>
        </is>
      </c>
      <c r="O1" s="1" t="inlineStr">
        <is>
          <t>status</t>
        </is>
      </c>
    </row>
    <row r="2">
      <c r="A2" s="1" t="inlineStr">
        <is>
          <t>GR-2022-3001</t>
        </is>
      </c>
      <c r="B2" s="1" t="inlineStr">
        <is>
          <t>Hollis Ferrand</t>
        </is>
      </c>
      <c r="C2" s="1" t="inlineStr">
        <is>
          <t>Nonqualified stock option</t>
        </is>
      </c>
      <c r="D2" s="2" t="n">
        <v>44739</v>
      </c>
      <c r="E2" s="2" t="n">
        <v>44726</v>
      </c>
      <c r="F2" s="1" t="n">
        <v>0</v>
      </c>
      <c r="G2" s="1" t="inlineStr">
        <is>
          <t>16 quarterly tranches</t>
        </is>
      </c>
      <c r="H2" s="1" t="n">
        <v>1</v>
      </c>
      <c r="I2" s="2" t="n">
        <v>44726</v>
      </c>
      <c r="J2" s="1" t="n">
        <v>21309</v>
      </c>
      <c r="K2" s="1" t="n">
        <v>85239</v>
      </c>
      <c r="L2" s="1">
        <f>J2</f>
        <v/>
      </c>
      <c r="M2" s="1">
        <f>K2-L2</f>
        <v/>
      </c>
      <c r="N2" s="1" t="n">
        <v>0</v>
      </c>
      <c r="O2" s="1" t="inlineStr">
        <is>
          <t>Vested</t>
        </is>
      </c>
    </row>
    <row r="3">
      <c r="A3" s="1" t="inlineStr">
        <is>
          <t>GR-2022-3001</t>
        </is>
      </c>
      <c r="B3" s="1" t="inlineStr">
        <is>
          <t>Hollis Ferrand</t>
        </is>
      </c>
      <c r="C3" s="1" t="inlineStr">
        <is>
          <t>Nonqualified stock option</t>
        </is>
      </c>
      <c r="D3" s="2" t="n">
        <v>44739</v>
      </c>
      <c r="E3" s="2" t="n">
        <v>44726</v>
      </c>
      <c r="F3" s="1" t="n">
        <v>0</v>
      </c>
      <c r="G3" s="1" t="inlineStr">
        <is>
          <t>16 quarterly tranches</t>
        </is>
      </c>
      <c r="H3" s="1" t="n">
        <v>2</v>
      </c>
      <c r="I3" s="2" t="n">
        <v>44818</v>
      </c>
      <c r="J3" s="1" t="n">
        <v>21309</v>
      </c>
      <c r="K3" s="1" t="n">
        <v>85239</v>
      </c>
      <c r="L3" s="1">
        <f>L2+J3</f>
        <v/>
      </c>
      <c r="M3" s="1">
        <f>K3-L3</f>
        <v/>
      </c>
      <c r="N3" s="1" t="n">
        <v>0</v>
      </c>
      <c r="O3" s="1" t="inlineStr">
        <is>
          <t>Vested</t>
        </is>
      </c>
    </row>
    <row r="4">
      <c r="A4" s="1" t="inlineStr">
        <is>
          <t>GR-2022-3001</t>
        </is>
      </c>
      <c r="B4" s="1" t="inlineStr">
        <is>
          <t>Hollis Ferrand</t>
        </is>
      </c>
      <c r="C4" s="1" t="inlineStr">
        <is>
          <t>Nonqualified stock option</t>
        </is>
      </c>
      <c r="D4" s="2" t="n">
        <v>44739</v>
      </c>
      <c r="E4" s="2" t="n">
        <v>44726</v>
      </c>
      <c r="F4" s="1" t="n">
        <v>0</v>
      </c>
      <c r="G4" s="1" t="inlineStr">
        <is>
          <t>16 quarterly tranches</t>
        </is>
      </c>
      <c r="H4" s="1" t="n">
        <v>3</v>
      </c>
      <c r="I4" s="2" t="n">
        <v>44909</v>
      </c>
      <c r="J4" s="1" t="n">
        <v>21309</v>
      </c>
      <c r="K4" s="1" t="n">
        <v>85239</v>
      </c>
      <c r="L4" s="1">
        <f>L3+J4</f>
        <v/>
      </c>
      <c r="M4" s="1">
        <f>K4-L4</f>
        <v/>
      </c>
      <c r="N4" s="1" t="n">
        <v>0</v>
      </c>
      <c r="O4" s="1" t="inlineStr">
        <is>
          <t>Vested</t>
        </is>
      </c>
    </row>
    <row r="5">
      <c r="A5" s="1" t="inlineStr">
        <is>
          <t>GR-2022-3001</t>
        </is>
      </c>
      <c r="B5" s="1" t="inlineStr">
        <is>
          <t>Hollis Ferrand</t>
        </is>
      </c>
      <c r="C5" s="1" t="inlineStr">
        <is>
          <t>Nonqualified stock option</t>
        </is>
      </c>
      <c r="D5" s="2" t="n">
        <v>44739</v>
      </c>
      <c r="E5" s="2" t="n">
        <v>44726</v>
      </c>
      <c r="F5" s="1" t="n">
        <v>0</v>
      </c>
      <c r="G5" s="1" t="inlineStr">
        <is>
          <t>16 quarterly tranches</t>
        </is>
      </c>
      <c r="H5" s="1" t="n">
        <v>4</v>
      </c>
      <c r="I5" s="2" t="n">
        <v>44999</v>
      </c>
      <c r="J5" s="1" t="n">
        <v>21312</v>
      </c>
      <c r="K5" s="1" t="n">
        <v>85239</v>
      </c>
      <c r="L5" s="1">
        <f>L4+J5</f>
        <v/>
      </c>
      <c r="M5" s="1">
        <f>K5-L5</f>
        <v/>
      </c>
      <c r="N5" s="1" t="n">
        <v>0</v>
      </c>
      <c r="O5" s="1" t="inlineStr">
        <is>
          <t>Vested</t>
        </is>
      </c>
    </row>
    <row r="6">
      <c r="A6" s="1" t="inlineStr">
        <is>
          <t>GR-2026-3002</t>
        </is>
      </c>
      <c r="B6" s="1" t="inlineStr">
        <is>
          <t>Bartholomew Ng</t>
        </is>
      </c>
      <c r="C6" s="1" t="inlineStr">
        <is>
          <t>Performance stock unit</t>
        </is>
      </c>
      <c r="D6" s="2" t="n">
        <v>46080</v>
      </c>
      <c r="E6" s="2" t="n">
        <v>46016</v>
      </c>
      <c r="F6" s="1" t="n">
        <v>12</v>
      </c>
      <c r="G6" s="1" t="inlineStr">
        <is>
          <t>48 months monthly after a 12-month cliff</t>
        </is>
      </c>
      <c r="H6" s="1" t="n">
        <v>1</v>
      </c>
      <c r="I6" s="2" t="n">
        <v>46381</v>
      </c>
      <c r="J6" s="1" t="n">
        <v>15486</v>
      </c>
      <c r="K6" s="1" t="n">
        <v>46459</v>
      </c>
      <c r="L6" s="1">
        <f>J6</f>
        <v/>
      </c>
      <c r="M6" s="1">
        <f>K6-L6</f>
        <v/>
      </c>
      <c r="N6" s="1" t="n">
        <v>0</v>
      </c>
      <c r="O6" s="1" t="inlineStr">
        <is>
          <t>Unvested</t>
        </is>
      </c>
    </row>
    <row r="7">
      <c r="A7" s="1" t="inlineStr">
        <is>
          <t>GR-2026-3002</t>
        </is>
      </c>
      <c r="B7" s="1" t="inlineStr">
        <is>
          <t>Bartholomew Ng</t>
        </is>
      </c>
      <c r="C7" s="1" t="inlineStr">
        <is>
          <t>Performance stock unit</t>
        </is>
      </c>
      <c r="D7" s="2" t="n">
        <v>46080</v>
      </c>
      <c r="E7" s="2" t="n">
        <v>46016</v>
      </c>
      <c r="F7" s="1" t="n">
        <v>12</v>
      </c>
      <c r="G7" s="1" t="inlineStr">
        <is>
          <t>48 months monthly after a 12-month cliff</t>
        </is>
      </c>
      <c r="H7" s="1" t="n">
        <v>2</v>
      </c>
      <c r="I7" s="2" t="n">
        <v>46471</v>
      </c>
      <c r="J7" s="1" t="n">
        <v>15486</v>
      </c>
      <c r="K7" s="1" t="n">
        <v>46459</v>
      </c>
      <c r="L7" s="1">
        <f>L6+J7</f>
        <v/>
      </c>
      <c r="M7" s="1">
        <f>K7-L7</f>
        <v/>
      </c>
      <c r="N7" s="1" t="n">
        <v>0</v>
      </c>
      <c r="O7" s="1" t="inlineStr">
        <is>
          <t>Unvested</t>
        </is>
      </c>
    </row>
    <row r="8">
      <c r="A8" s="1" t="inlineStr">
        <is>
          <t>GR-2026-3002</t>
        </is>
      </c>
      <c r="B8" s="1" t="inlineStr">
        <is>
          <t>Bartholomew Ng</t>
        </is>
      </c>
      <c r="C8" s="1" t="inlineStr">
        <is>
          <t>Performance stock unit</t>
        </is>
      </c>
      <c r="D8" s="2" t="n">
        <v>46080</v>
      </c>
      <c r="E8" s="2" t="n">
        <v>46016</v>
      </c>
      <c r="F8" s="1" t="n">
        <v>12</v>
      </c>
      <c r="G8" s="1" t="inlineStr">
        <is>
          <t>48 months monthly after a 12-month cliff</t>
        </is>
      </c>
      <c r="H8" s="1" t="n">
        <v>3</v>
      </c>
      <c r="I8" s="2" t="n">
        <v>46563</v>
      </c>
      <c r="J8" s="1" t="n">
        <v>15487</v>
      </c>
      <c r="K8" s="1" t="n">
        <v>46459</v>
      </c>
      <c r="L8" s="1">
        <f>L7+J8</f>
        <v/>
      </c>
      <c r="M8" s="1">
        <f>K8-L8</f>
        <v/>
      </c>
      <c r="N8" s="1" t="n">
        <v>0</v>
      </c>
      <c r="O8" s="1" t="inlineStr">
        <is>
          <t>Unvested</t>
        </is>
      </c>
    </row>
    <row r="9">
      <c r="A9" s="1" t="inlineStr">
        <is>
          <t>GR-2024-3003</t>
        </is>
      </c>
      <c r="B9" s="1" t="inlineStr">
        <is>
          <t>Portia Nwosu</t>
        </is>
      </c>
      <c r="C9" s="1" t="inlineStr">
        <is>
          <t>Restricted stock unit</t>
        </is>
      </c>
      <c r="D9" s="2" t="n">
        <v>45580</v>
      </c>
      <c r="E9" s="2" t="n">
        <v>45541</v>
      </c>
      <c r="F9" s="1" t="n">
        <v>12</v>
      </c>
      <c r="G9" s="1" t="inlineStr">
        <is>
          <t>36 months monthly, no cliff</t>
        </is>
      </c>
      <c r="H9" s="1" t="n">
        <v>1</v>
      </c>
      <c r="I9" s="2" t="n">
        <v>45906</v>
      </c>
      <c r="J9" s="1" t="n">
        <v>17292</v>
      </c>
      <c r="K9" s="1" t="n">
        <v>86460</v>
      </c>
      <c r="L9" s="1">
        <f>J9</f>
        <v/>
      </c>
      <c r="M9" s="1">
        <f>K9-L9</f>
        <v/>
      </c>
      <c r="N9" s="1" t="n">
        <v>0</v>
      </c>
      <c r="O9" s="1" t="inlineStr">
        <is>
          <t>Vested</t>
        </is>
      </c>
    </row>
    <row r="10">
      <c r="A10" s="1" t="inlineStr">
        <is>
          <t>GR-2024-3003</t>
        </is>
      </c>
      <c r="B10" s="1" t="inlineStr">
        <is>
          <t>Portia Nwosu</t>
        </is>
      </c>
      <c r="C10" s="1" t="inlineStr">
        <is>
          <t>Restricted stock unit</t>
        </is>
      </c>
      <c r="D10" s="2" t="n">
        <v>45580</v>
      </c>
      <c r="E10" s="2" t="n">
        <v>45541</v>
      </c>
      <c r="F10" s="1" t="n">
        <v>12</v>
      </c>
      <c r="G10" s="1" t="inlineStr">
        <is>
          <t>36 months monthly, no cliff</t>
        </is>
      </c>
      <c r="H10" s="1" t="n">
        <v>2</v>
      </c>
      <c r="I10" s="2" t="n">
        <v>45997</v>
      </c>
      <c r="J10" s="1" t="n">
        <v>17292</v>
      </c>
      <c r="K10" s="1" t="n">
        <v>86460</v>
      </c>
      <c r="L10" s="1">
        <f>L9+J10</f>
        <v/>
      </c>
      <c r="M10" s="1">
        <f>K10-L10</f>
        <v/>
      </c>
      <c r="N10" s="1" t="n">
        <v>0</v>
      </c>
      <c r="O10" s="1" t="inlineStr">
        <is>
          <t>Vested</t>
        </is>
      </c>
    </row>
    <row r="11">
      <c r="A11" s="1" t="inlineStr">
        <is>
          <t>GR-2024-3003</t>
        </is>
      </c>
      <c r="B11" s="1" t="inlineStr">
        <is>
          <t>Portia Nwosu</t>
        </is>
      </c>
      <c r="C11" s="1" t="inlineStr">
        <is>
          <t>Restricted stock unit</t>
        </is>
      </c>
      <c r="D11" s="2" t="n">
        <v>45580</v>
      </c>
      <c r="E11" s="2" t="n">
        <v>45541</v>
      </c>
      <c r="F11" s="1" t="n">
        <v>12</v>
      </c>
      <c r="G11" s="1" t="inlineStr">
        <is>
          <t>36 months monthly, no cliff</t>
        </is>
      </c>
      <c r="H11" s="1" t="n">
        <v>3</v>
      </c>
      <c r="I11" s="2" t="n">
        <v>46087</v>
      </c>
      <c r="J11" s="1" t="n">
        <v>17292</v>
      </c>
      <c r="K11" s="1" t="n">
        <v>86460</v>
      </c>
      <c r="L11" s="1">
        <f>L10+J11</f>
        <v/>
      </c>
      <c r="M11" s="1">
        <f>K11-L11</f>
        <v/>
      </c>
      <c r="N11" s="1" t="n">
        <v>0</v>
      </c>
      <c r="O11" s="1" t="inlineStr">
        <is>
          <t>Vested</t>
        </is>
      </c>
    </row>
    <row r="12">
      <c r="A12" s="1" t="inlineStr">
        <is>
          <t>GR-2024-3003</t>
        </is>
      </c>
      <c r="B12" s="1" t="inlineStr">
        <is>
          <t>Portia Nwosu</t>
        </is>
      </c>
      <c r="C12" s="1" t="inlineStr">
        <is>
          <t>Restricted stock unit</t>
        </is>
      </c>
      <c r="D12" s="2" t="n">
        <v>45580</v>
      </c>
      <c r="E12" s="2" t="n">
        <v>45541</v>
      </c>
      <c r="F12" s="1" t="n">
        <v>12</v>
      </c>
      <c r="G12" s="1" t="inlineStr">
        <is>
          <t>36 months monthly, no cliff</t>
        </is>
      </c>
      <c r="H12" s="1" t="n">
        <v>4</v>
      </c>
      <c r="I12" s="2" t="n">
        <v>46179</v>
      </c>
      <c r="J12" s="1" t="n">
        <v>17292</v>
      </c>
      <c r="K12" s="1" t="n">
        <v>86460</v>
      </c>
      <c r="L12" s="1">
        <f>L11+J12</f>
        <v/>
      </c>
      <c r="M12" s="1">
        <f>K12-L12</f>
        <v/>
      </c>
      <c r="N12" s="1" t="n">
        <v>0</v>
      </c>
      <c r="O12" s="1" t="inlineStr">
        <is>
          <t>Vested</t>
        </is>
      </c>
    </row>
    <row r="13">
      <c r="A13" s="1" t="inlineStr">
        <is>
          <t>GR-2024-3003</t>
        </is>
      </c>
      <c r="B13" s="1" t="inlineStr">
        <is>
          <t>Portia Nwosu</t>
        </is>
      </c>
      <c r="C13" s="1" t="inlineStr">
        <is>
          <t>Restricted stock unit</t>
        </is>
      </c>
      <c r="D13" s="2" t="n">
        <v>45580</v>
      </c>
      <c r="E13" s="2" t="n">
        <v>45541</v>
      </c>
      <c r="F13" s="1" t="n">
        <v>12</v>
      </c>
      <c r="G13" s="1" t="inlineStr">
        <is>
          <t>36 months monthly, no cliff</t>
        </is>
      </c>
      <c r="H13" s="1" t="n">
        <v>5</v>
      </c>
      <c r="I13" s="2" t="n">
        <v>46271</v>
      </c>
      <c r="J13" s="1" t="n">
        <v>17292</v>
      </c>
      <c r="K13" s="1" t="n">
        <v>86460</v>
      </c>
      <c r="L13" s="1">
        <f>L12+J13</f>
        <v/>
      </c>
      <c r="M13" s="1">
        <f>K13-L13</f>
        <v/>
      </c>
      <c r="N13" s="1" t="n">
        <v>0</v>
      </c>
      <c r="O13" s="1" t="inlineStr">
        <is>
          <t>Unvested</t>
        </is>
      </c>
    </row>
    <row r="14">
      <c r="A14" s="1" t="inlineStr">
        <is>
          <t>GR-2024-3004</t>
        </is>
      </c>
      <c r="B14" s="1" t="inlineStr">
        <is>
          <t>Tobias Reinholt</t>
        </is>
      </c>
      <c r="C14" s="1" t="inlineStr">
        <is>
          <t>Nonqualified stock option</t>
        </is>
      </c>
      <c r="D14" s="2" t="n">
        <v>45358</v>
      </c>
      <c r="E14" s="2" t="n">
        <v>45315</v>
      </c>
      <c r="F14" s="1" t="n">
        <v>12</v>
      </c>
      <c r="G14" s="1" t="inlineStr">
        <is>
          <t>Performance tranches on board certification</t>
        </is>
      </c>
      <c r="H14" s="1" t="n">
        <v>1</v>
      </c>
      <c r="I14" s="2" t="n">
        <v>45681</v>
      </c>
      <c r="J14" s="1" t="n">
        <v>22281</v>
      </c>
      <c r="K14" s="1" t="n">
        <v>66844</v>
      </c>
      <c r="L14" s="1">
        <f>J14</f>
        <v/>
      </c>
      <c r="M14" s="1">
        <f>K14-L14</f>
        <v/>
      </c>
      <c r="N14" s="1" t="n">
        <v>0</v>
      </c>
      <c r="O14" s="1" t="inlineStr">
        <is>
          <t>Vested</t>
        </is>
      </c>
    </row>
    <row r="15">
      <c r="A15" s="1" t="inlineStr">
        <is>
          <t>GR-2024-3004</t>
        </is>
      </c>
      <c r="B15" s="1" t="inlineStr">
        <is>
          <t>Tobias Reinholt</t>
        </is>
      </c>
      <c r="C15" s="1" t="inlineStr">
        <is>
          <t>Nonqualified stock option</t>
        </is>
      </c>
      <c r="D15" s="2" t="n">
        <v>45358</v>
      </c>
      <c r="E15" s="2" t="n">
        <v>45315</v>
      </c>
      <c r="F15" s="1" t="n">
        <v>12</v>
      </c>
      <c r="G15" s="1" t="inlineStr">
        <is>
          <t>Performance tranches on board certification</t>
        </is>
      </c>
      <c r="H15" s="1" t="n">
        <v>2</v>
      </c>
      <c r="I15" s="2" t="n">
        <v>45771</v>
      </c>
      <c r="J15" s="1" t="n">
        <v>22281</v>
      </c>
      <c r="K15" s="1" t="n">
        <v>66844</v>
      </c>
      <c r="L15" s="1">
        <f>L14+J15</f>
        <v/>
      </c>
      <c r="M15" s="1">
        <f>K15-L15</f>
        <v/>
      </c>
      <c r="N15" s="1" t="n">
        <v>0</v>
      </c>
      <c r="O15" s="1" t="inlineStr">
        <is>
          <t>Vested</t>
        </is>
      </c>
    </row>
    <row r="16">
      <c r="A16" s="1" t="inlineStr">
        <is>
          <t>GR-2024-3004</t>
        </is>
      </c>
      <c r="B16" s="1" t="inlineStr">
        <is>
          <t>Tobias Reinholt</t>
        </is>
      </c>
      <c r="C16" s="1" t="inlineStr">
        <is>
          <t>Nonqualified stock option</t>
        </is>
      </c>
      <c r="D16" s="2" t="n">
        <v>45358</v>
      </c>
      <c r="E16" s="2" t="n">
        <v>45315</v>
      </c>
      <c r="F16" s="1" t="n">
        <v>12</v>
      </c>
      <c r="G16" s="1" t="inlineStr">
        <is>
          <t>Performance tranches on board certification</t>
        </is>
      </c>
      <c r="H16" s="1" t="n">
        <v>3</v>
      </c>
      <c r="I16" s="2" t="n">
        <v>45862</v>
      </c>
      <c r="J16" s="1" t="n">
        <v>22282</v>
      </c>
      <c r="K16" s="1" t="n">
        <v>66844</v>
      </c>
      <c r="L16" s="1">
        <f>L15+J16</f>
        <v/>
      </c>
      <c r="M16" s="1">
        <f>K16-L16</f>
        <v/>
      </c>
      <c r="N16" s="1" t="n">
        <v>0</v>
      </c>
      <c r="O16" s="1" t="inlineStr">
        <is>
          <t>Vested</t>
        </is>
      </c>
    </row>
    <row r="17">
      <c r="A17" s="1" t="inlineStr">
        <is>
          <t>GR-2025-3005</t>
        </is>
      </c>
      <c r="B17" s="1" t="inlineStr">
        <is>
          <t>Rashid Nawabi</t>
        </is>
      </c>
      <c r="C17" s="1" t="inlineStr">
        <is>
          <t>Nonqualified stock option</t>
        </is>
      </c>
      <c r="D17" s="2" t="n">
        <v>45841</v>
      </c>
      <c r="E17" s="2" t="n">
        <v>45754</v>
      </c>
      <c r="F17" s="1" t="n">
        <v>12</v>
      </c>
      <c r="G17" s="1" t="inlineStr">
        <is>
          <t>36 months monthly, no cliff</t>
        </is>
      </c>
      <c r="H17" s="1" t="n">
        <v>1</v>
      </c>
      <c r="I17" s="2" t="n">
        <v>46119</v>
      </c>
      <c r="J17" s="1" t="n">
        <v>1089</v>
      </c>
      <c r="K17" s="1" t="n">
        <v>8715</v>
      </c>
      <c r="L17" s="1">
        <f>J17</f>
        <v/>
      </c>
      <c r="M17" s="1">
        <f>K17-L17</f>
        <v/>
      </c>
      <c r="N17" s="1" t="n">
        <v>0</v>
      </c>
      <c r="O17" s="1" t="inlineStr">
        <is>
          <t>Vested</t>
        </is>
      </c>
    </row>
    <row r="18">
      <c r="A18" s="1" t="inlineStr">
        <is>
          <t>GR-2025-3005</t>
        </is>
      </c>
      <c r="B18" s="1" t="inlineStr">
        <is>
          <t>Rashid Nawabi</t>
        </is>
      </c>
      <c r="C18" s="1" t="inlineStr">
        <is>
          <t>Nonqualified stock option</t>
        </is>
      </c>
      <c r="D18" s="2" t="n">
        <v>45841</v>
      </c>
      <c r="E18" s="2" t="n">
        <v>45754</v>
      </c>
      <c r="F18" s="1" t="n">
        <v>12</v>
      </c>
      <c r="G18" s="1" t="inlineStr">
        <is>
          <t>36 months monthly, no cliff</t>
        </is>
      </c>
      <c r="H18" s="1" t="n">
        <v>2</v>
      </c>
      <c r="I18" s="2" t="n">
        <v>46210</v>
      </c>
      <c r="J18" s="1" t="n">
        <v>1089</v>
      </c>
      <c r="K18" s="1" t="n">
        <v>8715</v>
      </c>
      <c r="L18" s="1">
        <f>L17+J18</f>
        <v/>
      </c>
      <c r="M18" s="1">
        <f>K18-L18</f>
        <v/>
      </c>
      <c r="N18" s="1" t="n">
        <v>0</v>
      </c>
      <c r="O18" s="1" t="inlineStr">
        <is>
          <t>Vested</t>
        </is>
      </c>
    </row>
    <row r="19">
      <c r="A19" s="1" t="inlineStr">
        <is>
          <t>GR-2025-3005</t>
        </is>
      </c>
      <c r="B19" s="1" t="inlineStr">
        <is>
          <t>Rashid Nawabi</t>
        </is>
      </c>
      <c r="C19" s="1" t="inlineStr">
        <is>
          <t>Nonqualified stock option</t>
        </is>
      </c>
      <c r="D19" s="2" t="n">
        <v>45841</v>
      </c>
      <c r="E19" s="2" t="n">
        <v>45754</v>
      </c>
      <c r="F19" s="1" t="n">
        <v>12</v>
      </c>
      <c r="G19" s="1" t="inlineStr">
        <is>
          <t>36 months monthly, no cliff</t>
        </is>
      </c>
      <c r="H19" s="1" t="n">
        <v>3</v>
      </c>
      <c r="I19" s="2" t="n">
        <v>46302</v>
      </c>
      <c r="J19" s="1" t="n">
        <v>1089</v>
      </c>
      <c r="K19" s="1" t="n">
        <v>8715</v>
      </c>
      <c r="L19" s="1">
        <f>L18+J19</f>
        <v/>
      </c>
      <c r="M19" s="1">
        <f>K19-L19</f>
        <v/>
      </c>
      <c r="N19" s="1" t="n">
        <v>0</v>
      </c>
      <c r="O19" s="1" t="inlineStr">
        <is>
          <t>Unvested</t>
        </is>
      </c>
    </row>
    <row r="20">
      <c r="A20" s="1" t="inlineStr">
        <is>
          <t>GR-2025-3005</t>
        </is>
      </c>
      <c r="B20" s="1" t="inlineStr">
        <is>
          <t>Rashid Nawabi</t>
        </is>
      </c>
      <c r="C20" s="1" t="inlineStr">
        <is>
          <t>Nonqualified stock option</t>
        </is>
      </c>
      <c r="D20" s="2" t="n">
        <v>45841</v>
      </c>
      <c r="E20" s="2" t="n">
        <v>45754</v>
      </c>
      <c r="F20" s="1" t="n">
        <v>12</v>
      </c>
      <c r="G20" s="1" t="inlineStr">
        <is>
          <t>36 months monthly, no cliff</t>
        </is>
      </c>
      <c r="H20" s="1" t="n">
        <v>4</v>
      </c>
      <c r="I20" s="2" t="n">
        <v>46394</v>
      </c>
      <c r="J20" s="1" t="n">
        <v>1089</v>
      </c>
      <c r="K20" s="1" t="n">
        <v>8715</v>
      </c>
      <c r="L20" s="1">
        <f>L19+J20</f>
        <v/>
      </c>
      <c r="M20" s="1">
        <f>K20-L20</f>
        <v/>
      </c>
      <c r="N20" s="1" t="n">
        <v>0</v>
      </c>
      <c r="O20" s="1" t="inlineStr">
        <is>
          <t>Unvested</t>
        </is>
      </c>
    </row>
    <row r="21">
      <c r="A21" s="1" t="inlineStr">
        <is>
          <t>GR-2025-3005</t>
        </is>
      </c>
      <c r="B21" s="1" t="inlineStr">
        <is>
          <t>Rashid Nawabi</t>
        </is>
      </c>
      <c r="C21" s="1" t="inlineStr">
        <is>
          <t>Nonqualified stock option</t>
        </is>
      </c>
      <c r="D21" s="2" t="n">
        <v>45841</v>
      </c>
      <c r="E21" s="2" t="n">
        <v>45754</v>
      </c>
      <c r="F21" s="1" t="n">
        <v>12</v>
      </c>
      <c r="G21" s="1" t="inlineStr">
        <is>
          <t>36 months monthly, no cliff</t>
        </is>
      </c>
      <c r="H21" s="1" t="n">
        <v>5</v>
      </c>
      <c r="I21" s="2" t="n">
        <v>46484</v>
      </c>
      <c r="J21" s="1" t="n">
        <v>1089</v>
      </c>
      <c r="K21" s="1" t="n">
        <v>8715</v>
      </c>
      <c r="L21" s="1">
        <f>L20+J21</f>
        <v/>
      </c>
      <c r="M21" s="1">
        <f>K21-L21</f>
        <v/>
      </c>
      <c r="N21" s="1" t="n">
        <v>0</v>
      </c>
      <c r="O21" s="1" t="inlineStr">
        <is>
          <t>Unvested</t>
        </is>
      </c>
    </row>
    <row r="22">
      <c r="A22" s="1" t="inlineStr">
        <is>
          <t>GR-2025-3005</t>
        </is>
      </c>
      <c r="B22" s="1" t="inlineStr">
        <is>
          <t>Rashid Nawabi</t>
        </is>
      </c>
      <c r="C22" s="1" t="inlineStr">
        <is>
          <t>Nonqualified stock option</t>
        </is>
      </c>
      <c r="D22" s="2" t="n">
        <v>45841</v>
      </c>
      <c r="E22" s="2" t="n">
        <v>45754</v>
      </c>
      <c r="F22" s="1" t="n">
        <v>12</v>
      </c>
      <c r="G22" s="1" t="inlineStr">
        <is>
          <t>36 months monthly, no cliff</t>
        </is>
      </c>
      <c r="H22" s="1" t="n">
        <v>6</v>
      </c>
      <c r="I22" s="2" t="n">
        <v>46575</v>
      </c>
      <c r="J22" s="1" t="n">
        <v>1089</v>
      </c>
      <c r="K22" s="1" t="n">
        <v>8715</v>
      </c>
      <c r="L22" s="1">
        <f>L21+J22</f>
        <v/>
      </c>
      <c r="M22" s="1">
        <f>K22-L22</f>
        <v/>
      </c>
      <c r="N22" s="1" t="n">
        <v>0</v>
      </c>
      <c r="O22" s="1" t="inlineStr">
        <is>
          <t>Unvested</t>
        </is>
      </c>
    </row>
    <row r="23">
      <c r="A23" s="1" t="inlineStr">
        <is>
          <t>GR-2025-3005</t>
        </is>
      </c>
      <c r="B23" s="1" t="inlineStr">
        <is>
          <t>Rashid Nawabi</t>
        </is>
      </c>
      <c r="C23" s="1" t="inlineStr">
        <is>
          <t>Nonqualified stock option</t>
        </is>
      </c>
      <c r="D23" s="2" t="n">
        <v>45841</v>
      </c>
      <c r="E23" s="2" t="n">
        <v>45754</v>
      </c>
      <c r="F23" s="1" t="n">
        <v>12</v>
      </c>
      <c r="G23" s="1" t="inlineStr">
        <is>
          <t>36 months monthly, no cliff</t>
        </is>
      </c>
      <c r="H23" s="1" t="n">
        <v>7</v>
      </c>
      <c r="I23" s="2" t="n">
        <v>46667</v>
      </c>
      <c r="J23" s="1" t="n">
        <v>1089</v>
      </c>
      <c r="K23" s="1" t="n">
        <v>8715</v>
      </c>
      <c r="L23" s="1">
        <f>L22+J23</f>
        <v/>
      </c>
      <c r="M23" s="1">
        <f>K23-L23</f>
        <v/>
      </c>
      <c r="N23" s="1" t="n">
        <v>0</v>
      </c>
      <c r="O23" s="1" t="inlineStr">
        <is>
          <t>Unvested</t>
        </is>
      </c>
    </row>
    <row r="24">
      <c r="A24" s="1" t="inlineStr">
        <is>
          <t>GR-2025-3005</t>
        </is>
      </c>
      <c r="B24" s="1" t="inlineStr">
        <is>
          <t>Rashid Nawabi</t>
        </is>
      </c>
      <c r="C24" s="1" t="inlineStr">
        <is>
          <t>Nonqualified stock option</t>
        </is>
      </c>
      <c r="D24" s="2" t="n">
        <v>45841</v>
      </c>
      <c r="E24" s="2" t="n">
        <v>45754</v>
      </c>
      <c r="F24" s="1" t="n">
        <v>12</v>
      </c>
      <c r="G24" s="1" t="inlineStr">
        <is>
          <t>36 months monthly, no cliff</t>
        </is>
      </c>
      <c r="H24" s="1" t="n">
        <v>8</v>
      </c>
      <c r="I24" s="2" t="n">
        <v>46759</v>
      </c>
      <c r="J24" s="1" t="n">
        <v>1092</v>
      </c>
      <c r="K24" s="1" t="n">
        <v>8715</v>
      </c>
      <c r="L24" s="1">
        <f>L23+J24</f>
        <v/>
      </c>
      <c r="M24" s="1">
        <f>K24-L24</f>
        <v/>
      </c>
      <c r="N24" s="1" t="n">
        <v>0</v>
      </c>
      <c r="O24" s="1" t="inlineStr">
        <is>
          <t>Unvested</t>
        </is>
      </c>
    </row>
    <row r="25">
      <c r="A25" s="1" t="inlineStr">
        <is>
          <t>GR-2025-3006</t>
        </is>
      </c>
      <c r="B25" s="1" t="inlineStr">
        <is>
          <t>Tobias Reinholt</t>
        </is>
      </c>
      <c r="C25" s="1" t="inlineStr">
        <is>
          <t>Incentive stock option</t>
        </is>
      </c>
      <c r="D25" s="2" t="n">
        <v>45814</v>
      </c>
      <c r="E25" s="2" t="n">
        <v>45735</v>
      </c>
      <c r="F25" s="1" t="n">
        <v>0</v>
      </c>
      <c r="G25" s="1" t="inlineStr">
        <is>
          <t>48 months monthly after a 12-month cliff</t>
        </is>
      </c>
      <c r="H25" s="1" t="n">
        <v>1</v>
      </c>
      <c r="I25" s="2" t="n">
        <v>45735</v>
      </c>
      <c r="J25" s="1" t="n">
        <v>15415</v>
      </c>
      <c r="K25" s="1" t="n">
        <v>92492</v>
      </c>
      <c r="L25" s="1">
        <f>J25</f>
        <v/>
      </c>
      <c r="M25" s="1">
        <f>K25-L25</f>
        <v/>
      </c>
      <c r="N25" s="1" t="n">
        <v>0</v>
      </c>
      <c r="O25" s="1" t="inlineStr">
        <is>
          <t>Vested</t>
        </is>
      </c>
    </row>
    <row r="26">
      <c r="A26" s="1" t="inlineStr">
        <is>
          <t>GR-2025-3006</t>
        </is>
      </c>
      <c r="B26" s="1" t="inlineStr">
        <is>
          <t>Tobias Reinholt</t>
        </is>
      </c>
      <c r="C26" s="1" t="inlineStr">
        <is>
          <t>Incentive stock option</t>
        </is>
      </c>
      <c r="D26" s="2" t="n">
        <v>45814</v>
      </c>
      <c r="E26" s="2" t="n">
        <v>45735</v>
      </c>
      <c r="F26" s="1" t="n">
        <v>0</v>
      </c>
      <c r="G26" s="1" t="inlineStr">
        <is>
          <t>48 months monthly after a 12-month cliff</t>
        </is>
      </c>
      <c r="H26" s="1" t="n">
        <v>2</v>
      </c>
      <c r="I26" s="2" t="n">
        <v>45827</v>
      </c>
      <c r="J26" s="1" t="n">
        <v>15415</v>
      </c>
      <c r="K26" s="1" t="n">
        <v>92492</v>
      </c>
      <c r="L26" s="1">
        <f>L25+J26</f>
        <v/>
      </c>
      <c r="M26" s="1">
        <f>K26-L26</f>
        <v/>
      </c>
      <c r="N26" s="1" t="n">
        <v>0</v>
      </c>
      <c r="O26" s="1" t="inlineStr">
        <is>
          <t>Vested</t>
        </is>
      </c>
    </row>
    <row r="27">
      <c r="A27" s="1" t="inlineStr">
        <is>
          <t>GR-2025-3006</t>
        </is>
      </c>
      <c r="B27" s="1" t="inlineStr">
        <is>
          <t>Tobias Reinholt</t>
        </is>
      </c>
      <c r="C27" s="1" t="inlineStr">
        <is>
          <t>Incentive stock option</t>
        </is>
      </c>
      <c r="D27" s="2" t="n">
        <v>45814</v>
      </c>
      <c r="E27" s="2" t="n">
        <v>45735</v>
      </c>
      <c r="F27" s="1" t="n">
        <v>0</v>
      </c>
      <c r="G27" s="1" t="inlineStr">
        <is>
          <t>48 months monthly after a 12-month cliff</t>
        </is>
      </c>
      <c r="H27" s="1" t="n">
        <v>3</v>
      </c>
      <c r="I27" s="2" t="n">
        <v>45919</v>
      </c>
      <c r="J27" s="1" t="n">
        <v>15415</v>
      </c>
      <c r="K27" s="1" t="n">
        <v>92492</v>
      </c>
      <c r="L27" s="1">
        <f>L26+J27</f>
        <v/>
      </c>
      <c r="M27" s="1">
        <f>K27-L27</f>
        <v/>
      </c>
      <c r="N27" s="1" t="n">
        <v>0</v>
      </c>
      <c r="O27" s="1" t="inlineStr">
        <is>
          <t>Vested</t>
        </is>
      </c>
    </row>
    <row r="28">
      <c r="A28" s="1" t="inlineStr">
        <is>
          <t>GR-2025-3006</t>
        </is>
      </c>
      <c r="B28" s="1" t="inlineStr">
        <is>
          <t>Tobias Reinholt</t>
        </is>
      </c>
      <c r="C28" s="1" t="inlineStr">
        <is>
          <t>Incentive stock option</t>
        </is>
      </c>
      <c r="D28" s="2" t="n">
        <v>45814</v>
      </c>
      <c r="E28" s="2" t="n">
        <v>45735</v>
      </c>
      <c r="F28" s="1" t="n">
        <v>0</v>
      </c>
      <c r="G28" s="1" t="inlineStr">
        <is>
          <t>48 months monthly after a 12-month cliff</t>
        </is>
      </c>
      <c r="H28" s="1" t="n">
        <v>4</v>
      </c>
      <c r="I28" s="2" t="n">
        <v>46010</v>
      </c>
      <c r="J28" s="1" t="n">
        <v>15415</v>
      </c>
      <c r="K28" s="1" t="n">
        <v>92492</v>
      </c>
      <c r="L28" s="1">
        <f>L27+J28</f>
        <v/>
      </c>
      <c r="M28" s="1">
        <f>K28-L28</f>
        <v/>
      </c>
      <c r="N28" s="1" t="n">
        <v>0</v>
      </c>
      <c r="O28" s="1" t="inlineStr">
        <is>
          <t>Vested</t>
        </is>
      </c>
    </row>
    <row r="29">
      <c r="A29" s="1" t="inlineStr">
        <is>
          <t>GR-2025-3006</t>
        </is>
      </c>
      <c r="B29" s="1" t="inlineStr">
        <is>
          <t>Tobias Reinholt</t>
        </is>
      </c>
      <c r="C29" s="1" t="inlineStr">
        <is>
          <t>Incentive stock option</t>
        </is>
      </c>
      <c r="D29" s="2" t="n">
        <v>45814</v>
      </c>
      <c r="E29" s="2" t="n">
        <v>45735</v>
      </c>
      <c r="F29" s="1" t="n">
        <v>0</v>
      </c>
      <c r="G29" s="1" t="inlineStr">
        <is>
          <t>48 months monthly after a 12-month cliff</t>
        </is>
      </c>
      <c r="H29" s="1" t="n">
        <v>5</v>
      </c>
      <c r="I29" s="2" t="n">
        <v>46100</v>
      </c>
      <c r="J29" s="1" t="n">
        <v>15415</v>
      </c>
      <c r="K29" s="1" t="n">
        <v>92492</v>
      </c>
      <c r="L29" s="1">
        <f>L28+J29</f>
        <v/>
      </c>
      <c r="M29" s="1">
        <f>K29-L29</f>
        <v/>
      </c>
      <c r="N29" s="1" t="n">
        <v>0</v>
      </c>
      <c r="O29" s="1" t="inlineStr">
        <is>
          <t>Vested</t>
        </is>
      </c>
    </row>
    <row r="30">
      <c r="A30" s="1" t="inlineStr">
        <is>
          <t>GR-2025-3006</t>
        </is>
      </c>
      <c r="B30" s="1" t="inlineStr">
        <is>
          <t>Tobias Reinholt</t>
        </is>
      </c>
      <c r="C30" s="1" t="inlineStr">
        <is>
          <t>Incentive stock option</t>
        </is>
      </c>
      <c r="D30" s="2" t="n">
        <v>45814</v>
      </c>
      <c r="E30" s="2" t="n">
        <v>45735</v>
      </c>
      <c r="F30" s="1" t="n">
        <v>0</v>
      </c>
      <c r="G30" s="1" t="inlineStr">
        <is>
          <t>48 months monthly after a 12-month cliff</t>
        </is>
      </c>
      <c r="H30" s="1" t="n">
        <v>6</v>
      </c>
      <c r="I30" s="2" t="n">
        <v>46192</v>
      </c>
      <c r="J30" s="1" t="n">
        <v>15417</v>
      </c>
      <c r="K30" s="1" t="n">
        <v>92492</v>
      </c>
      <c r="L30" s="1">
        <f>L29+J30</f>
        <v/>
      </c>
      <c r="M30" s="1">
        <f>K30-L30</f>
        <v/>
      </c>
      <c r="N30" s="1" t="n">
        <v>0</v>
      </c>
      <c r="O30" s="1" t="inlineStr">
        <is>
          <t>Vested</t>
        </is>
      </c>
    </row>
    <row r="31">
      <c r="A31" s="1" t="inlineStr">
        <is>
          <t>GR-2025-3007</t>
        </is>
      </c>
      <c r="B31" s="1" t="inlineStr">
        <is>
          <t>Sasha Lindqvist</t>
        </is>
      </c>
      <c r="C31" s="1" t="inlineStr">
        <is>
          <t>Incentive stock option</t>
        </is>
      </c>
      <c r="D31" s="2" t="n">
        <v>45917</v>
      </c>
      <c r="E31" s="2" t="n">
        <v>45833</v>
      </c>
      <c r="F31" s="1" t="n">
        <v>0</v>
      </c>
      <c r="G31" s="1" t="inlineStr">
        <is>
          <t>16 quarterly tranches</t>
        </is>
      </c>
      <c r="H31" s="1" t="n">
        <v>1</v>
      </c>
      <c r="I31" s="2" t="n">
        <v>45833</v>
      </c>
      <c r="J31" s="1" t="n">
        <v>10267</v>
      </c>
      <c r="K31" s="1" t="n">
        <v>61604</v>
      </c>
      <c r="L31" s="1">
        <f>J31</f>
        <v/>
      </c>
      <c r="M31" s="1">
        <f>K31-L31</f>
        <v/>
      </c>
      <c r="N31" s="1" t="n">
        <v>0</v>
      </c>
      <c r="O31" s="1" t="inlineStr">
        <is>
          <t>Vested</t>
        </is>
      </c>
    </row>
    <row r="32">
      <c r="A32" s="1" t="inlineStr">
        <is>
          <t>GR-2025-3007</t>
        </is>
      </c>
      <c r="B32" s="1" t="inlineStr">
        <is>
          <t>Sasha Lindqvist</t>
        </is>
      </c>
      <c r="C32" s="1" t="inlineStr">
        <is>
          <t>Incentive stock option</t>
        </is>
      </c>
      <c r="D32" s="2" t="n">
        <v>45917</v>
      </c>
      <c r="E32" s="2" t="n">
        <v>45833</v>
      </c>
      <c r="F32" s="1" t="n">
        <v>0</v>
      </c>
      <c r="G32" s="1" t="inlineStr">
        <is>
          <t>16 quarterly tranches</t>
        </is>
      </c>
      <c r="H32" s="1" t="n">
        <v>2</v>
      </c>
      <c r="I32" s="2" t="n">
        <v>45925</v>
      </c>
      <c r="J32" s="1" t="n">
        <v>10267</v>
      </c>
      <c r="K32" s="1" t="n">
        <v>61604</v>
      </c>
      <c r="L32" s="1">
        <f>L31+J32</f>
        <v/>
      </c>
      <c r="M32" s="1">
        <f>K32-L32</f>
        <v/>
      </c>
      <c r="N32" s="1" t="n">
        <v>0</v>
      </c>
      <c r="O32" s="1" t="inlineStr">
        <is>
          <t>Vested</t>
        </is>
      </c>
    </row>
    <row r="33">
      <c r="A33" s="1" t="inlineStr">
        <is>
          <t>GR-2025-3007</t>
        </is>
      </c>
      <c r="B33" s="1" t="inlineStr">
        <is>
          <t>Sasha Lindqvist</t>
        </is>
      </c>
      <c r="C33" s="1" t="inlineStr">
        <is>
          <t>Incentive stock option</t>
        </is>
      </c>
      <c r="D33" s="2" t="n">
        <v>45917</v>
      </c>
      <c r="E33" s="2" t="n">
        <v>45833</v>
      </c>
      <c r="F33" s="1" t="n">
        <v>0</v>
      </c>
      <c r="G33" s="1" t="inlineStr">
        <is>
          <t>16 quarterly tranches</t>
        </is>
      </c>
      <c r="H33" s="1" t="n">
        <v>3</v>
      </c>
      <c r="I33" s="2" t="n">
        <v>46016</v>
      </c>
      <c r="J33" s="1" t="n">
        <v>10267</v>
      </c>
      <c r="K33" s="1" t="n">
        <v>61604</v>
      </c>
      <c r="L33" s="1">
        <f>L32+J33</f>
        <v/>
      </c>
      <c r="M33" s="1">
        <f>K33-L33</f>
        <v/>
      </c>
      <c r="N33" s="1" t="n">
        <v>0</v>
      </c>
      <c r="O33" s="1" t="inlineStr">
        <is>
          <t>Vested</t>
        </is>
      </c>
    </row>
    <row r="34">
      <c r="A34" s="1" t="inlineStr">
        <is>
          <t>GR-2025-3007</t>
        </is>
      </c>
      <c r="B34" s="1" t="inlineStr">
        <is>
          <t>Sasha Lindqvist</t>
        </is>
      </c>
      <c r="C34" s="1" t="inlineStr">
        <is>
          <t>Incentive stock option</t>
        </is>
      </c>
      <c r="D34" s="2" t="n">
        <v>45917</v>
      </c>
      <c r="E34" s="2" t="n">
        <v>45833</v>
      </c>
      <c r="F34" s="1" t="n">
        <v>0</v>
      </c>
      <c r="G34" s="1" t="inlineStr">
        <is>
          <t>16 quarterly tranches</t>
        </is>
      </c>
      <c r="H34" s="1" t="n">
        <v>4</v>
      </c>
      <c r="I34" s="2" t="n">
        <v>46106</v>
      </c>
      <c r="J34" s="1" t="n">
        <v>10267</v>
      </c>
      <c r="K34" s="1" t="n">
        <v>61604</v>
      </c>
      <c r="L34" s="1">
        <f>L33+J34</f>
        <v/>
      </c>
      <c r="M34" s="1">
        <f>K34-L34</f>
        <v/>
      </c>
      <c r="N34" s="1" t="n">
        <v>0</v>
      </c>
      <c r="O34" s="1" t="inlineStr">
        <is>
          <t>Vested</t>
        </is>
      </c>
    </row>
    <row r="35">
      <c r="A35" s="1" t="inlineStr">
        <is>
          <t>GR-2025-3007</t>
        </is>
      </c>
      <c r="B35" s="1" t="inlineStr">
        <is>
          <t>Sasha Lindqvist</t>
        </is>
      </c>
      <c r="C35" s="1" t="inlineStr">
        <is>
          <t>Incentive stock option</t>
        </is>
      </c>
      <c r="D35" s="2" t="n">
        <v>45917</v>
      </c>
      <c r="E35" s="2" t="n">
        <v>45833</v>
      </c>
      <c r="F35" s="1" t="n">
        <v>0</v>
      </c>
      <c r="G35" s="1" t="inlineStr">
        <is>
          <t>16 quarterly tranches</t>
        </is>
      </c>
      <c r="H35" s="1" t="n">
        <v>5</v>
      </c>
      <c r="I35" s="2" t="n">
        <v>46198</v>
      </c>
      <c r="J35" s="1" t="n">
        <v>10267</v>
      </c>
      <c r="K35" s="1" t="n">
        <v>61604</v>
      </c>
      <c r="L35" s="1">
        <f>L34+J35</f>
        <v/>
      </c>
      <c r="M35" s="1">
        <f>K35-L35</f>
        <v/>
      </c>
      <c r="N35" s="1" t="n">
        <v>0</v>
      </c>
      <c r="O35" s="1" t="inlineStr">
        <is>
          <t>Vested</t>
        </is>
      </c>
    </row>
    <row r="36">
      <c r="A36" s="1" t="inlineStr">
        <is>
          <t>GR-2025-3007</t>
        </is>
      </c>
      <c r="B36" s="1" t="inlineStr">
        <is>
          <t>Sasha Lindqvist</t>
        </is>
      </c>
      <c r="C36" s="1" t="inlineStr">
        <is>
          <t>Incentive stock option</t>
        </is>
      </c>
      <c r="D36" s="2" t="n">
        <v>45917</v>
      </c>
      <c r="E36" s="2" t="n">
        <v>45833</v>
      </c>
      <c r="F36" s="1" t="n">
        <v>0</v>
      </c>
      <c r="G36" s="1" t="inlineStr">
        <is>
          <t>16 quarterly tranches</t>
        </is>
      </c>
      <c r="H36" s="1" t="n">
        <v>6</v>
      </c>
      <c r="I36" s="2" t="n">
        <v>46290</v>
      </c>
      <c r="J36" s="1" t="n">
        <v>10269</v>
      </c>
      <c r="K36" s="1" t="n">
        <v>61604</v>
      </c>
      <c r="L36" s="1">
        <f>L35+J36</f>
        <v/>
      </c>
      <c r="M36" s="1">
        <f>K36-L36</f>
        <v/>
      </c>
      <c r="N36" s="1" t="n">
        <v>0</v>
      </c>
      <c r="O36" s="1" t="inlineStr">
        <is>
          <t>Unvested</t>
        </is>
      </c>
    </row>
    <row r="37">
      <c r="A37" s="1" t="inlineStr">
        <is>
          <t>GR-2023-3008</t>
        </is>
      </c>
      <c r="B37" s="1" t="inlineStr">
        <is>
          <t>Cormac Bailey</t>
        </is>
      </c>
      <c r="C37" s="1" t="inlineStr">
        <is>
          <t>Nonqualified stock option</t>
        </is>
      </c>
      <c r="D37" s="2" t="n">
        <v>45216</v>
      </c>
      <c r="E37" s="2" t="n">
        <v>45164</v>
      </c>
      <c r="F37" s="1" t="n">
        <v>6</v>
      </c>
      <c r="G37" s="1" t="inlineStr">
        <is>
          <t>4 annual tranches</t>
        </is>
      </c>
      <c r="H37" s="1" t="n">
        <v>1</v>
      </c>
      <c r="I37" s="2" t="n">
        <v>45348</v>
      </c>
      <c r="J37" s="1" t="n">
        <v>6044</v>
      </c>
      <c r="K37" s="1" t="n">
        <v>36265</v>
      </c>
      <c r="L37" s="1">
        <f>J37</f>
        <v/>
      </c>
      <c r="M37" s="1">
        <f>K37-L37</f>
        <v/>
      </c>
      <c r="N37" s="1" t="n">
        <v>0</v>
      </c>
      <c r="O37" s="1" t="inlineStr">
        <is>
          <t>Vested</t>
        </is>
      </c>
    </row>
    <row r="38">
      <c r="A38" s="1" t="inlineStr">
        <is>
          <t>GR-2023-3008</t>
        </is>
      </c>
      <c r="B38" s="1" t="inlineStr">
        <is>
          <t>Cormac Bailey</t>
        </is>
      </c>
      <c r="C38" s="1" t="inlineStr">
        <is>
          <t>Nonqualified stock option</t>
        </is>
      </c>
      <c r="D38" s="2" t="n">
        <v>45216</v>
      </c>
      <c r="E38" s="2" t="n">
        <v>45164</v>
      </c>
      <c r="F38" s="1" t="n">
        <v>6</v>
      </c>
      <c r="G38" s="1" t="inlineStr">
        <is>
          <t>4 annual tranches</t>
        </is>
      </c>
      <c r="H38" s="1" t="n">
        <v>2</v>
      </c>
      <c r="I38" s="2" t="n">
        <v>45438</v>
      </c>
      <c r="J38" s="1" t="n">
        <v>6044</v>
      </c>
      <c r="K38" s="1" t="n">
        <v>36265</v>
      </c>
      <c r="L38" s="1">
        <f>L37+J38</f>
        <v/>
      </c>
      <c r="M38" s="1">
        <f>K38-L38</f>
        <v/>
      </c>
      <c r="N38" s="1" t="n">
        <v>0</v>
      </c>
      <c r="O38" s="1" t="inlineStr">
        <is>
          <t>Vested</t>
        </is>
      </c>
    </row>
    <row r="39">
      <c r="A39" s="1" t="inlineStr">
        <is>
          <t>GR-2023-3008</t>
        </is>
      </c>
      <c r="B39" s="1" t="inlineStr">
        <is>
          <t>Cormac Bailey</t>
        </is>
      </c>
      <c r="C39" s="1" t="inlineStr">
        <is>
          <t>Nonqualified stock option</t>
        </is>
      </c>
      <c r="D39" s="2" t="n">
        <v>45216</v>
      </c>
      <c r="E39" s="2" t="n">
        <v>45164</v>
      </c>
      <c r="F39" s="1" t="n">
        <v>6</v>
      </c>
      <c r="G39" s="1" t="inlineStr">
        <is>
          <t>4 annual tranches</t>
        </is>
      </c>
      <c r="H39" s="1" t="n">
        <v>3</v>
      </c>
      <c r="I39" s="2" t="n">
        <v>45530</v>
      </c>
      <c r="J39" s="1" t="n">
        <v>6044</v>
      </c>
      <c r="K39" s="1" t="n">
        <v>36265</v>
      </c>
      <c r="L39" s="1">
        <f>L38+J39</f>
        <v/>
      </c>
      <c r="M39" s="1">
        <f>K39-L39</f>
        <v/>
      </c>
      <c r="N39" s="1" t="n">
        <v>0</v>
      </c>
      <c r="O39" s="1" t="inlineStr">
        <is>
          <t>Vested</t>
        </is>
      </c>
    </row>
    <row r="40">
      <c r="A40" s="1" t="inlineStr">
        <is>
          <t>GR-2023-3008</t>
        </is>
      </c>
      <c r="B40" s="1" t="inlineStr">
        <is>
          <t>Cormac Bailey</t>
        </is>
      </c>
      <c r="C40" s="1" t="inlineStr">
        <is>
          <t>Nonqualified stock option</t>
        </is>
      </c>
      <c r="D40" s="2" t="n">
        <v>45216</v>
      </c>
      <c r="E40" s="2" t="n">
        <v>45164</v>
      </c>
      <c r="F40" s="1" t="n">
        <v>6</v>
      </c>
      <c r="G40" s="1" t="inlineStr">
        <is>
          <t>4 annual tranches</t>
        </is>
      </c>
      <c r="H40" s="1" t="n">
        <v>4</v>
      </c>
      <c r="I40" s="2" t="n">
        <v>45622</v>
      </c>
      <c r="J40" s="1" t="n">
        <v>6044</v>
      </c>
      <c r="K40" s="1" t="n">
        <v>36265</v>
      </c>
      <c r="L40" s="1">
        <f>L39+J40</f>
        <v/>
      </c>
      <c r="M40" s="1">
        <f>K40-L40</f>
        <v/>
      </c>
      <c r="N40" s="1" t="n">
        <v>0</v>
      </c>
      <c r="O40" s="1" t="inlineStr">
        <is>
          <t>Vested</t>
        </is>
      </c>
    </row>
    <row r="41">
      <c r="A41" s="1" t="inlineStr">
        <is>
          <t>GR-2023-3008</t>
        </is>
      </c>
      <c r="B41" s="1" t="inlineStr">
        <is>
          <t>Cormac Bailey</t>
        </is>
      </c>
      <c r="C41" s="1" t="inlineStr">
        <is>
          <t>Nonqualified stock option</t>
        </is>
      </c>
      <c r="D41" s="2" t="n">
        <v>45216</v>
      </c>
      <c r="E41" s="2" t="n">
        <v>45164</v>
      </c>
      <c r="F41" s="1" t="n">
        <v>6</v>
      </c>
      <c r="G41" s="1" t="inlineStr">
        <is>
          <t>4 annual tranches</t>
        </is>
      </c>
      <c r="H41" s="1" t="n">
        <v>5</v>
      </c>
      <c r="I41" s="2" t="n">
        <v>45714</v>
      </c>
      <c r="J41" s="1" t="n">
        <v>6044</v>
      </c>
      <c r="K41" s="1" t="n">
        <v>36265</v>
      </c>
      <c r="L41" s="1">
        <f>L40+J41</f>
        <v/>
      </c>
      <c r="M41" s="1">
        <f>K41-L41</f>
        <v/>
      </c>
      <c r="N41" s="1" t="n">
        <v>0</v>
      </c>
      <c r="O41" s="1" t="inlineStr">
        <is>
          <t>Vested</t>
        </is>
      </c>
    </row>
    <row r="42">
      <c r="A42" s="1" t="inlineStr">
        <is>
          <t>GR-2023-3008</t>
        </is>
      </c>
      <c r="B42" s="1" t="inlineStr">
        <is>
          <t>Cormac Bailey</t>
        </is>
      </c>
      <c r="C42" s="1" t="inlineStr">
        <is>
          <t>Nonqualified stock option</t>
        </is>
      </c>
      <c r="D42" s="2" t="n">
        <v>45216</v>
      </c>
      <c r="E42" s="2" t="n">
        <v>45164</v>
      </c>
      <c r="F42" s="1" t="n">
        <v>6</v>
      </c>
      <c r="G42" s="1" t="inlineStr">
        <is>
          <t>4 annual tranches</t>
        </is>
      </c>
      <c r="H42" s="1" t="n">
        <v>6</v>
      </c>
      <c r="I42" s="2" t="n">
        <v>45803</v>
      </c>
      <c r="J42" s="1" t="n">
        <v>6045</v>
      </c>
      <c r="K42" s="1" t="n">
        <v>36265</v>
      </c>
      <c r="L42" s="1">
        <f>L41+J42</f>
        <v/>
      </c>
      <c r="M42" s="1">
        <f>K42-L42</f>
        <v/>
      </c>
      <c r="N42" s="1" t="n">
        <v>0</v>
      </c>
      <c r="O42" s="1" t="inlineStr">
        <is>
          <t>Vested</t>
        </is>
      </c>
    </row>
    <row r="43">
      <c r="A43" s="1" t="inlineStr">
        <is>
          <t>GR-2026-3009</t>
        </is>
      </c>
      <c r="B43" s="1" t="inlineStr">
        <is>
          <t>Yuki Sandoval</t>
        </is>
      </c>
      <c r="C43" s="1" t="inlineStr">
        <is>
          <t>Restricted stock unit</t>
        </is>
      </c>
      <c r="D43" s="2" t="n">
        <v>46083</v>
      </c>
      <c r="E43" s="2" t="n">
        <v>46066</v>
      </c>
      <c r="F43" s="1" t="n">
        <v>12</v>
      </c>
      <c r="G43" s="1" t="inlineStr">
        <is>
          <t>16 quarterly tranches</t>
        </is>
      </c>
      <c r="H43" s="1" t="n">
        <v>1</v>
      </c>
      <c r="I43" s="2" t="n">
        <v>46431</v>
      </c>
      <c r="J43" s="1" t="n">
        <v>14334</v>
      </c>
      <c r="K43" s="1" t="n">
        <v>71670</v>
      </c>
      <c r="L43" s="1">
        <f>J43</f>
        <v/>
      </c>
      <c r="M43" s="1">
        <f>K43-L43</f>
        <v/>
      </c>
      <c r="N43" s="1" t="n">
        <v>0</v>
      </c>
      <c r="O43" s="1" t="inlineStr">
        <is>
          <t>Unvested</t>
        </is>
      </c>
    </row>
    <row r="44">
      <c r="A44" s="1" t="inlineStr">
        <is>
          <t>GR-2026-3009</t>
        </is>
      </c>
      <c r="B44" s="1" t="inlineStr">
        <is>
          <t>Yuki Sandoval</t>
        </is>
      </c>
      <c r="C44" s="1" t="inlineStr">
        <is>
          <t>Restricted stock unit</t>
        </is>
      </c>
      <c r="D44" s="2" t="n">
        <v>46083</v>
      </c>
      <c r="E44" s="2" t="n">
        <v>46066</v>
      </c>
      <c r="F44" s="1" t="n">
        <v>12</v>
      </c>
      <c r="G44" s="1" t="inlineStr">
        <is>
          <t>16 quarterly tranches</t>
        </is>
      </c>
      <c r="H44" s="1" t="n">
        <v>2</v>
      </c>
      <c r="I44" s="2" t="n">
        <v>46520</v>
      </c>
      <c r="J44" s="1" t="n">
        <v>14334</v>
      </c>
      <c r="K44" s="1" t="n">
        <v>71670</v>
      </c>
      <c r="L44" s="1">
        <f>L43+J44</f>
        <v/>
      </c>
      <c r="M44" s="1">
        <f>K44-L44</f>
        <v/>
      </c>
      <c r="N44" s="1" t="n">
        <v>0</v>
      </c>
      <c r="O44" s="1" t="inlineStr">
        <is>
          <t>Unvested</t>
        </is>
      </c>
    </row>
    <row r="45">
      <c r="A45" s="1" t="inlineStr">
        <is>
          <t>GR-2026-3009</t>
        </is>
      </c>
      <c r="B45" s="1" t="inlineStr">
        <is>
          <t>Yuki Sandoval</t>
        </is>
      </c>
      <c r="C45" s="1" t="inlineStr">
        <is>
          <t>Restricted stock unit</t>
        </is>
      </c>
      <c r="D45" s="2" t="n">
        <v>46083</v>
      </c>
      <c r="E45" s="2" t="n">
        <v>46066</v>
      </c>
      <c r="F45" s="1" t="n">
        <v>12</v>
      </c>
      <c r="G45" s="1" t="inlineStr">
        <is>
          <t>16 quarterly tranches</t>
        </is>
      </c>
      <c r="H45" s="1" t="n">
        <v>3</v>
      </c>
      <c r="I45" s="2" t="n">
        <v>46612</v>
      </c>
      <c r="J45" s="1" t="n">
        <v>14334</v>
      </c>
      <c r="K45" s="1" t="n">
        <v>71670</v>
      </c>
      <c r="L45" s="1">
        <f>L44+J45</f>
        <v/>
      </c>
      <c r="M45" s="1">
        <f>K45-L45</f>
        <v/>
      </c>
      <c r="N45" s="1" t="n">
        <v>0</v>
      </c>
      <c r="O45" s="1" t="inlineStr">
        <is>
          <t>Unvested</t>
        </is>
      </c>
    </row>
    <row r="46">
      <c r="A46" s="1" t="inlineStr">
        <is>
          <t>GR-2026-3009</t>
        </is>
      </c>
      <c r="B46" s="1" t="inlineStr">
        <is>
          <t>Yuki Sandoval</t>
        </is>
      </c>
      <c r="C46" s="1" t="inlineStr">
        <is>
          <t>Restricted stock unit</t>
        </is>
      </c>
      <c r="D46" s="2" t="n">
        <v>46083</v>
      </c>
      <c r="E46" s="2" t="n">
        <v>46066</v>
      </c>
      <c r="F46" s="1" t="n">
        <v>12</v>
      </c>
      <c r="G46" s="1" t="inlineStr">
        <is>
          <t>16 quarterly tranches</t>
        </is>
      </c>
      <c r="H46" s="1" t="n">
        <v>4</v>
      </c>
      <c r="I46" s="2" t="n">
        <v>46704</v>
      </c>
      <c r="J46" s="1" t="n">
        <v>14334</v>
      </c>
      <c r="K46" s="1" t="n">
        <v>71670</v>
      </c>
      <c r="L46" s="1">
        <f>L45+J46</f>
        <v/>
      </c>
      <c r="M46" s="1">
        <f>K46-L46</f>
        <v/>
      </c>
      <c r="N46" s="1" t="n">
        <v>0</v>
      </c>
      <c r="O46" s="1" t="inlineStr">
        <is>
          <t>Unvested</t>
        </is>
      </c>
    </row>
    <row r="47">
      <c r="A47" s="1" t="inlineStr">
        <is>
          <t>GR-2026-3009</t>
        </is>
      </c>
      <c r="B47" s="1" t="inlineStr">
        <is>
          <t>Yuki Sandoval</t>
        </is>
      </c>
      <c r="C47" s="1" t="inlineStr">
        <is>
          <t>Restricted stock unit</t>
        </is>
      </c>
      <c r="D47" s="2" t="n">
        <v>46083</v>
      </c>
      <c r="E47" s="2" t="n">
        <v>46066</v>
      </c>
      <c r="F47" s="1" t="n">
        <v>12</v>
      </c>
      <c r="G47" s="1" t="inlineStr">
        <is>
          <t>16 quarterly tranches</t>
        </is>
      </c>
      <c r="H47" s="1" t="n">
        <v>5</v>
      </c>
      <c r="I47" s="2" t="n">
        <v>46796</v>
      </c>
      <c r="J47" s="1" t="n">
        <v>14334</v>
      </c>
      <c r="K47" s="1" t="n">
        <v>71670</v>
      </c>
      <c r="L47" s="1">
        <f>L46+J47</f>
        <v/>
      </c>
      <c r="M47" s="1">
        <f>K47-L47</f>
        <v/>
      </c>
      <c r="N47" s="1" t="n">
        <v>0</v>
      </c>
      <c r="O47" s="1" t="inlineStr">
        <is>
          <t>Unvested</t>
        </is>
      </c>
    </row>
    <row r="48">
      <c r="A48" s="1" t="inlineStr">
        <is>
          <t>GR-2025-3010</t>
        </is>
      </c>
      <c r="B48" s="1" t="inlineStr">
        <is>
          <t>Kwame Asante</t>
        </is>
      </c>
      <c r="C48" s="1" t="inlineStr">
        <is>
          <t>Incentive stock option</t>
        </is>
      </c>
      <c r="D48" s="2" t="n">
        <v>45695</v>
      </c>
      <c r="E48" s="2" t="n">
        <v>45661</v>
      </c>
      <c r="F48" s="1" t="n">
        <v>12</v>
      </c>
      <c r="G48" s="1" t="inlineStr">
        <is>
          <t>Performance tranches on board certification</t>
        </is>
      </c>
      <c r="H48" s="1" t="n">
        <v>1</v>
      </c>
      <c r="I48" s="2" t="n">
        <v>46026</v>
      </c>
      <c r="J48" s="1" t="n">
        <v>13622</v>
      </c>
      <c r="K48" s="1" t="n">
        <v>68113</v>
      </c>
      <c r="L48" s="1">
        <f>J48</f>
        <v/>
      </c>
      <c r="M48" s="1">
        <f>K48-L48</f>
        <v/>
      </c>
      <c r="N48" s="1" t="n">
        <v>0</v>
      </c>
      <c r="O48" s="1" t="inlineStr">
        <is>
          <t>Vested</t>
        </is>
      </c>
    </row>
    <row r="49">
      <c r="A49" s="1" t="inlineStr">
        <is>
          <t>GR-2025-3010</t>
        </is>
      </c>
      <c r="B49" s="1" t="inlineStr">
        <is>
          <t>Kwame Asante</t>
        </is>
      </c>
      <c r="C49" s="1" t="inlineStr">
        <is>
          <t>Incentive stock option</t>
        </is>
      </c>
      <c r="D49" s="2" t="n">
        <v>45695</v>
      </c>
      <c r="E49" s="2" t="n">
        <v>45661</v>
      </c>
      <c r="F49" s="1" t="n">
        <v>12</v>
      </c>
      <c r="G49" s="1" t="inlineStr">
        <is>
          <t>Performance tranches on board certification</t>
        </is>
      </c>
      <c r="H49" s="1" t="n">
        <v>2</v>
      </c>
      <c r="I49" s="2" t="n">
        <v>46116</v>
      </c>
      <c r="J49" s="1" t="n">
        <v>13622</v>
      </c>
      <c r="K49" s="1" t="n">
        <v>68113</v>
      </c>
      <c r="L49" s="1">
        <f>L48+J49</f>
        <v/>
      </c>
      <c r="M49" s="1">
        <f>K49-L49</f>
        <v/>
      </c>
      <c r="N49" s="1" t="n">
        <v>0</v>
      </c>
      <c r="O49" s="1" t="inlineStr">
        <is>
          <t>Vested</t>
        </is>
      </c>
    </row>
    <row r="50">
      <c r="A50" s="1" t="inlineStr">
        <is>
          <t>GR-2025-3010</t>
        </is>
      </c>
      <c r="B50" s="1" t="inlineStr">
        <is>
          <t>Kwame Asante</t>
        </is>
      </c>
      <c r="C50" s="1" t="inlineStr">
        <is>
          <t>Incentive stock option</t>
        </is>
      </c>
      <c r="D50" s="2" t="n">
        <v>45695</v>
      </c>
      <c r="E50" s="2" t="n">
        <v>45661</v>
      </c>
      <c r="F50" s="1" t="n">
        <v>12</v>
      </c>
      <c r="G50" s="1" t="inlineStr">
        <is>
          <t>Performance tranches on board certification</t>
        </is>
      </c>
      <c r="H50" s="1" t="n">
        <v>3</v>
      </c>
      <c r="I50" s="2" t="n">
        <v>46207</v>
      </c>
      <c r="J50" s="1" t="n">
        <v>13622</v>
      </c>
      <c r="K50" s="1" t="n">
        <v>68113</v>
      </c>
      <c r="L50" s="1">
        <f>L49+J50</f>
        <v/>
      </c>
      <c r="M50" s="1">
        <f>K50-L50</f>
        <v/>
      </c>
      <c r="N50" s="1" t="n">
        <v>0</v>
      </c>
      <c r="O50" s="1" t="inlineStr">
        <is>
          <t>Vested</t>
        </is>
      </c>
    </row>
    <row r="51">
      <c r="A51" s="1" t="inlineStr">
        <is>
          <t>GR-2025-3010</t>
        </is>
      </c>
      <c r="B51" s="1" t="inlineStr">
        <is>
          <t>Kwame Asante</t>
        </is>
      </c>
      <c r="C51" s="1" t="inlineStr">
        <is>
          <t>Incentive stock option</t>
        </is>
      </c>
      <c r="D51" s="2" t="n">
        <v>45695</v>
      </c>
      <c r="E51" s="2" t="n">
        <v>45661</v>
      </c>
      <c r="F51" s="1" t="n">
        <v>12</v>
      </c>
      <c r="G51" s="1" t="inlineStr">
        <is>
          <t>Performance tranches on board certification</t>
        </is>
      </c>
      <c r="H51" s="1" t="n">
        <v>4</v>
      </c>
      <c r="I51" s="2" t="n">
        <v>46299</v>
      </c>
      <c r="J51" s="1" t="n">
        <v>13622</v>
      </c>
      <c r="K51" s="1" t="n">
        <v>68113</v>
      </c>
      <c r="L51" s="1">
        <f>L50+J51</f>
        <v/>
      </c>
      <c r="M51" s="1">
        <f>K51-L51</f>
        <v/>
      </c>
      <c r="N51" s="1" t="n">
        <v>0</v>
      </c>
      <c r="O51" s="1" t="inlineStr">
        <is>
          <t>Unvested</t>
        </is>
      </c>
    </row>
    <row r="52">
      <c r="A52" s="1" t="inlineStr">
        <is>
          <t>GR-2025-3010</t>
        </is>
      </c>
      <c r="B52" s="1" t="inlineStr">
        <is>
          <t>Kwame Asante</t>
        </is>
      </c>
      <c r="C52" s="1" t="inlineStr">
        <is>
          <t>Incentive stock option</t>
        </is>
      </c>
      <c r="D52" s="2" t="n">
        <v>45695</v>
      </c>
      <c r="E52" s="2" t="n">
        <v>45661</v>
      </c>
      <c r="F52" s="1" t="n">
        <v>12</v>
      </c>
      <c r="G52" s="1" t="inlineStr">
        <is>
          <t>Performance tranches on board certification</t>
        </is>
      </c>
      <c r="H52" s="1" t="n">
        <v>5</v>
      </c>
      <c r="I52" s="2" t="n">
        <v>46391</v>
      </c>
      <c r="J52" s="1" t="n">
        <v>13625</v>
      </c>
      <c r="K52" s="1" t="n">
        <v>68113</v>
      </c>
      <c r="L52" s="1">
        <f>L51+J52</f>
        <v/>
      </c>
      <c r="M52" s="1">
        <f>K52-L52</f>
        <v/>
      </c>
      <c r="N52" s="1" t="n">
        <v>0</v>
      </c>
      <c r="O52" s="1" t="inlineStr">
        <is>
          <t>Unvested</t>
        </is>
      </c>
    </row>
    <row r="53">
      <c r="A53" s="1" t="inlineStr">
        <is>
          <t>GR-2025-3011</t>
        </is>
      </c>
      <c r="B53" s="1" t="inlineStr">
        <is>
          <t>Simona Vitale</t>
        </is>
      </c>
      <c r="C53" s="1" t="inlineStr">
        <is>
          <t>Restricted stock unit</t>
        </is>
      </c>
      <c r="D53" s="2" t="n">
        <v>45672</v>
      </c>
      <c r="E53" s="2" t="n">
        <v>45646</v>
      </c>
      <c r="F53" s="1" t="n">
        <v>0</v>
      </c>
      <c r="G53" s="1" t="inlineStr">
        <is>
          <t>Performance tranches on board certification</t>
        </is>
      </c>
      <c r="H53" s="1" t="n">
        <v>1</v>
      </c>
      <c r="I53" s="2" t="n">
        <v>45646</v>
      </c>
      <c r="J53" s="1" t="n">
        <v>15921</v>
      </c>
      <c r="K53" s="1" t="n">
        <v>95530</v>
      </c>
      <c r="L53" s="1">
        <f>J53</f>
        <v/>
      </c>
      <c r="M53" s="1">
        <f>K53-L53</f>
        <v/>
      </c>
      <c r="N53" s="1" t="n">
        <v>0</v>
      </c>
      <c r="O53" s="1" t="inlineStr">
        <is>
          <t>Vested</t>
        </is>
      </c>
    </row>
    <row r="54">
      <c r="A54" s="1" t="inlineStr">
        <is>
          <t>GR-2025-3011</t>
        </is>
      </c>
      <c r="B54" s="1" t="inlineStr">
        <is>
          <t>Simona Vitale</t>
        </is>
      </c>
      <c r="C54" s="1" t="inlineStr">
        <is>
          <t>Restricted stock unit</t>
        </is>
      </c>
      <c r="D54" s="2" t="n">
        <v>45672</v>
      </c>
      <c r="E54" s="2" t="n">
        <v>45646</v>
      </c>
      <c r="F54" s="1" t="n">
        <v>0</v>
      </c>
      <c r="G54" s="1" t="inlineStr">
        <is>
          <t>Performance tranches on board certification</t>
        </is>
      </c>
      <c r="H54" s="1" t="n">
        <v>2</v>
      </c>
      <c r="I54" s="2" t="n">
        <v>45736</v>
      </c>
      <c r="J54" s="1" t="n">
        <v>15921</v>
      </c>
      <c r="K54" s="1" t="n">
        <v>95530</v>
      </c>
      <c r="L54" s="1">
        <f>L53+J54</f>
        <v/>
      </c>
      <c r="M54" s="1">
        <f>K54-L54</f>
        <v/>
      </c>
      <c r="N54" s="1" t="n">
        <v>0</v>
      </c>
      <c r="O54" s="1" t="inlineStr">
        <is>
          <t>Vested</t>
        </is>
      </c>
    </row>
    <row r="55">
      <c r="A55" s="1" t="inlineStr">
        <is>
          <t>GR-2025-3011</t>
        </is>
      </c>
      <c r="B55" s="1" t="inlineStr">
        <is>
          <t>Simona Vitale</t>
        </is>
      </c>
      <c r="C55" s="1" t="inlineStr">
        <is>
          <t>Restricted stock unit</t>
        </is>
      </c>
      <c r="D55" s="2" t="n">
        <v>45672</v>
      </c>
      <c r="E55" s="2" t="n">
        <v>45646</v>
      </c>
      <c r="F55" s="1" t="n">
        <v>0</v>
      </c>
      <c r="G55" s="1" t="inlineStr">
        <is>
          <t>Performance tranches on board certification</t>
        </is>
      </c>
      <c r="H55" s="1" t="n">
        <v>3</v>
      </c>
      <c r="I55" s="2" t="n">
        <v>45828</v>
      </c>
      <c r="J55" s="1" t="n">
        <v>15921</v>
      </c>
      <c r="K55" s="1" t="n">
        <v>95530</v>
      </c>
      <c r="L55" s="1">
        <f>L54+J55</f>
        <v/>
      </c>
      <c r="M55" s="1">
        <f>K55-L55</f>
        <v/>
      </c>
      <c r="N55" s="1" t="n">
        <v>0</v>
      </c>
      <c r="O55" s="1" t="inlineStr">
        <is>
          <t>Vested</t>
        </is>
      </c>
    </row>
    <row r="56">
      <c r="A56" s="1" t="inlineStr">
        <is>
          <t>GR-2025-3011</t>
        </is>
      </c>
      <c r="B56" s="1" t="inlineStr">
        <is>
          <t>Simona Vitale</t>
        </is>
      </c>
      <c r="C56" s="1" t="inlineStr">
        <is>
          <t>Restricted stock unit</t>
        </is>
      </c>
      <c r="D56" s="2" t="n">
        <v>45672</v>
      </c>
      <c r="E56" s="2" t="n">
        <v>45646</v>
      </c>
      <c r="F56" s="1" t="n">
        <v>0</v>
      </c>
      <c r="G56" s="1" t="inlineStr">
        <is>
          <t>Performance tranches on board certification</t>
        </is>
      </c>
      <c r="H56" s="1" t="n">
        <v>4</v>
      </c>
      <c r="I56" s="2" t="n">
        <v>45920</v>
      </c>
      <c r="J56" s="1" t="n">
        <v>15921</v>
      </c>
      <c r="K56" s="1" t="n">
        <v>95530</v>
      </c>
      <c r="L56" s="1">
        <f>L55+J56</f>
        <v/>
      </c>
      <c r="M56" s="1">
        <f>K56-L56</f>
        <v/>
      </c>
      <c r="N56" s="1" t="n">
        <v>0</v>
      </c>
      <c r="O56" s="1" t="inlineStr">
        <is>
          <t>Vested</t>
        </is>
      </c>
    </row>
    <row r="57">
      <c r="A57" s="1" t="inlineStr">
        <is>
          <t>GR-2025-3011</t>
        </is>
      </c>
      <c r="B57" s="1" t="inlineStr">
        <is>
          <t>Simona Vitale</t>
        </is>
      </c>
      <c r="C57" s="1" t="inlineStr">
        <is>
          <t>Restricted stock unit</t>
        </is>
      </c>
      <c r="D57" s="2" t="n">
        <v>45672</v>
      </c>
      <c r="E57" s="2" t="n">
        <v>45646</v>
      </c>
      <c r="F57" s="1" t="n">
        <v>0</v>
      </c>
      <c r="G57" s="1" t="inlineStr">
        <is>
          <t>Performance tranches on board certification</t>
        </is>
      </c>
      <c r="H57" s="1" t="n">
        <v>5</v>
      </c>
      <c r="I57" s="2" t="n">
        <v>46011</v>
      </c>
      <c r="J57" s="1" t="n">
        <v>15921</v>
      </c>
      <c r="K57" s="1" t="n">
        <v>95530</v>
      </c>
      <c r="L57" s="1">
        <f>L56+J57</f>
        <v/>
      </c>
      <c r="M57" s="1">
        <f>K57-L57</f>
        <v/>
      </c>
      <c r="N57" s="1" t="n">
        <v>0</v>
      </c>
      <c r="O57" s="1" t="inlineStr">
        <is>
          <t>Vested</t>
        </is>
      </c>
    </row>
    <row r="58">
      <c r="A58" s="1" t="inlineStr">
        <is>
          <t>GR-2025-3011</t>
        </is>
      </c>
      <c r="B58" s="1" t="inlineStr">
        <is>
          <t>Simona Vitale</t>
        </is>
      </c>
      <c r="C58" s="1" t="inlineStr">
        <is>
          <t>Restricted stock unit</t>
        </is>
      </c>
      <c r="D58" s="2" t="n">
        <v>45672</v>
      </c>
      <c r="E58" s="2" t="n">
        <v>45646</v>
      </c>
      <c r="F58" s="1" t="n">
        <v>0</v>
      </c>
      <c r="G58" s="1" t="inlineStr">
        <is>
          <t>Performance tranches on board certification</t>
        </is>
      </c>
      <c r="H58" s="1" t="n">
        <v>6</v>
      </c>
      <c r="I58" s="2" t="n">
        <v>46101</v>
      </c>
      <c r="J58" s="1" t="n">
        <v>15925</v>
      </c>
      <c r="K58" s="1" t="n">
        <v>95530</v>
      </c>
      <c r="L58" s="1">
        <f>L57+J58</f>
        <v/>
      </c>
      <c r="M58" s="1">
        <f>K58-L58</f>
        <v/>
      </c>
      <c r="N58" s="1" t="n">
        <v>0</v>
      </c>
      <c r="O58" s="1" t="inlineStr">
        <is>
          <t>Vested</t>
        </is>
      </c>
    </row>
    <row r="59">
      <c r="A59" s="1" t="inlineStr">
        <is>
          <t>GR-2022-3012</t>
        </is>
      </c>
      <c r="B59" s="1" t="inlineStr">
        <is>
          <t>Gideon Marsh</t>
        </is>
      </c>
      <c r="C59" s="1" t="inlineStr">
        <is>
          <t>Nonqualified stock option</t>
        </is>
      </c>
      <c r="D59" s="2" t="n">
        <v>44897</v>
      </c>
      <c r="E59" s="2" t="n">
        <v>44845</v>
      </c>
      <c r="F59" s="1" t="n">
        <v>12</v>
      </c>
      <c r="G59" s="1" t="inlineStr">
        <is>
          <t>4 annual tranches</t>
        </is>
      </c>
      <c r="H59" s="1" t="n">
        <v>1</v>
      </c>
      <c r="I59" s="2" t="n">
        <v>45210</v>
      </c>
      <c r="J59" s="1" t="n">
        <v>8689</v>
      </c>
      <c r="K59" s="1" t="n">
        <v>60824</v>
      </c>
      <c r="L59" s="1">
        <f>J59</f>
        <v/>
      </c>
      <c r="M59" s="1">
        <f>K59-L59</f>
        <v/>
      </c>
      <c r="N59" s="1" t="n">
        <v>0</v>
      </c>
      <c r="O59" s="1" t="inlineStr">
        <is>
          <t>Vested</t>
        </is>
      </c>
    </row>
    <row r="60">
      <c r="A60" s="1" t="inlineStr">
        <is>
          <t>GR-2022-3012</t>
        </is>
      </c>
      <c r="B60" s="1" t="inlineStr">
        <is>
          <t>Gideon Marsh</t>
        </is>
      </c>
      <c r="C60" s="1" t="inlineStr">
        <is>
          <t>Nonqualified stock option</t>
        </is>
      </c>
      <c r="D60" s="2" t="n">
        <v>44897</v>
      </c>
      <c r="E60" s="2" t="n">
        <v>44845</v>
      </c>
      <c r="F60" s="1" t="n">
        <v>12</v>
      </c>
      <c r="G60" s="1" t="inlineStr">
        <is>
          <t>4 annual tranches</t>
        </is>
      </c>
      <c r="H60" s="1" t="n">
        <v>2</v>
      </c>
      <c r="I60" s="2" t="n">
        <v>45302</v>
      </c>
      <c r="J60" s="1" t="n">
        <v>8689</v>
      </c>
      <c r="K60" s="1" t="n">
        <v>60824</v>
      </c>
      <c r="L60" s="1">
        <f>L59+J60</f>
        <v/>
      </c>
      <c r="M60" s="1">
        <f>K60-L60</f>
        <v/>
      </c>
      <c r="N60" s="1" t="n">
        <v>0</v>
      </c>
      <c r="O60" s="1" t="inlineStr">
        <is>
          <t>Vested</t>
        </is>
      </c>
    </row>
    <row r="61">
      <c r="A61" s="1" t="inlineStr">
        <is>
          <t>GR-2022-3012</t>
        </is>
      </c>
      <c r="B61" s="1" t="inlineStr">
        <is>
          <t>Gideon Marsh</t>
        </is>
      </c>
      <c r="C61" s="1" t="inlineStr">
        <is>
          <t>Nonqualified stock option</t>
        </is>
      </c>
      <c r="D61" s="2" t="n">
        <v>44897</v>
      </c>
      <c r="E61" s="2" t="n">
        <v>44845</v>
      </c>
      <c r="F61" s="1" t="n">
        <v>12</v>
      </c>
      <c r="G61" s="1" t="inlineStr">
        <is>
          <t>4 annual tranches</t>
        </is>
      </c>
      <c r="H61" s="1" t="n">
        <v>3</v>
      </c>
      <c r="I61" s="2" t="n">
        <v>45393</v>
      </c>
      <c r="J61" s="1" t="n">
        <v>8689</v>
      </c>
      <c r="K61" s="1" t="n">
        <v>60824</v>
      </c>
      <c r="L61" s="1">
        <f>L60+J61</f>
        <v/>
      </c>
      <c r="M61" s="1">
        <f>K61-L61</f>
        <v/>
      </c>
      <c r="N61" s="1" t="n">
        <v>0</v>
      </c>
      <c r="O61" s="1" t="inlineStr">
        <is>
          <t>Vested</t>
        </is>
      </c>
    </row>
    <row r="62">
      <c r="A62" s="1" t="inlineStr">
        <is>
          <t>GR-2022-3012</t>
        </is>
      </c>
      <c r="B62" s="1" t="inlineStr">
        <is>
          <t>Gideon Marsh</t>
        </is>
      </c>
      <c r="C62" s="1" t="inlineStr">
        <is>
          <t>Nonqualified stock option</t>
        </is>
      </c>
      <c r="D62" s="2" t="n">
        <v>44897</v>
      </c>
      <c r="E62" s="2" t="n">
        <v>44845</v>
      </c>
      <c r="F62" s="1" t="n">
        <v>12</v>
      </c>
      <c r="G62" s="1" t="inlineStr">
        <is>
          <t>4 annual tranches</t>
        </is>
      </c>
      <c r="H62" s="1" t="n">
        <v>4</v>
      </c>
      <c r="I62" s="2" t="n">
        <v>45484</v>
      </c>
      <c r="J62" s="1" t="n">
        <v>8689</v>
      </c>
      <c r="K62" s="1" t="n">
        <v>60824</v>
      </c>
      <c r="L62" s="1">
        <f>L61+J62</f>
        <v/>
      </c>
      <c r="M62" s="1">
        <f>K62-L62</f>
        <v/>
      </c>
      <c r="N62" s="1" t="n">
        <v>0</v>
      </c>
      <c r="O62" s="1" t="inlineStr">
        <is>
          <t>Vested</t>
        </is>
      </c>
    </row>
    <row r="63">
      <c r="A63" s="1" t="inlineStr">
        <is>
          <t>GR-2022-3012</t>
        </is>
      </c>
      <c r="B63" s="1" t="inlineStr">
        <is>
          <t>Gideon Marsh</t>
        </is>
      </c>
      <c r="C63" s="1" t="inlineStr">
        <is>
          <t>Nonqualified stock option</t>
        </is>
      </c>
      <c r="D63" s="2" t="n">
        <v>44897</v>
      </c>
      <c r="E63" s="2" t="n">
        <v>44845</v>
      </c>
      <c r="F63" s="1" t="n">
        <v>12</v>
      </c>
      <c r="G63" s="1" t="inlineStr">
        <is>
          <t>4 annual tranches</t>
        </is>
      </c>
      <c r="H63" s="1" t="n">
        <v>5</v>
      </c>
      <c r="I63" s="2" t="n">
        <v>45576</v>
      </c>
      <c r="J63" s="1" t="n">
        <v>8689</v>
      </c>
      <c r="K63" s="1" t="n">
        <v>60824</v>
      </c>
      <c r="L63" s="1">
        <f>L62+J63</f>
        <v/>
      </c>
      <c r="M63" s="1">
        <f>K63-L63</f>
        <v/>
      </c>
      <c r="N63" s="1" t="n">
        <v>0</v>
      </c>
      <c r="O63" s="1" t="inlineStr">
        <is>
          <t>Vested</t>
        </is>
      </c>
    </row>
    <row r="64">
      <c r="A64" s="1" t="inlineStr">
        <is>
          <t>GR-2022-3012</t>
        </is>
      </c>
      <c r="B64" s="1" t="inlineStr">
        <is>
          <t>Gideon Marsh</t>
        </is>
      </c>
      <c r="C64" s="1" t="inlineStr">
        <is>
          <t>Nonqualified stock option</t>
        </is>
      </c>
      <c r="D64" s="2" t="n">
        <v>44897</v>
      </c>
      <c r="E64" s="2" t="n">
        <v>44845</v>
      </c>
      <c r="F64" s="1" t="n">
        <v>12</v>
      </c>
      <c r="G64" s="1" t="inlineStr">
        <is>
          <t>4 annual tranches</t>
        </is>
      </c>
      <c r="H64" s="1" t="n">
        <v>6</v>
      </c>
      <c r="I64" s="2" t="n">
        <v>45668</v>
      </c>
      <c r="J64" s="1" t="n">
        <v>8689</v>
      </c>
      <c r="K64" s="1" t="n">
        <v>60824</v>
      </c>
      <c r="L64" s="1">
        <f>L63+J64</f>
        <v/>
      </c>
      <c r="M64" s="1">
        <f>K64-L64</f>
        <v/>
      </c>
      <c r="N64" s="1" t="n">
        <v>0</v>
      </c>
      <c r="O64" s="1" t="inlineStr">
        <is>
          <t>Vested</t>
        </is>
      </c>
    </row>
    <row r="65">
      <c r="A65" s="1" t="inlineStr">
        <is>
          <t>GR-2022-3012</t>
        </is>
      </c>
      <c r="B65" s="1" t="inlineStr">
        <is>
          <t>Gideon Marsh</t>
        </is>
      </c>
      <c r="C65" s="1" t="inlineStr">
        <is>
          <t>Nonqualified stock option</t>
        </is>
      </c>
      <c r="D65" s="2" t="n">
        <v>44897</v>
      </c>
      <c r="E65" s="2" t="n">
        <v>44845</v>
      </c>
      <c r="F65" s="1" t="n">
        <v>12</v>
      </c>
      <c r="G65" s="1" t="inlineStr">
        <is>
          <t>4 annual tranches</t>
        </is>
      </c>
      <c r="H65" s="1" t="n">
        <v>7</v>
      </c>
      <c r="I65" s="2" t="n">
        <v>45758</v>
      </c>
      <c r="J65" s="1" t="n">
        <v>8690</v>
      </c>
      <c r="K65" s="1" t="n">
        <v>60824</v>
      </c>
      <c r="L65" s="1">
        <f>L64+J65</f>
        <v/>
      </c>
      <c r="M65" s="1">
        <f>K65-L65</f>
        <v/>
      </c>
      <c r="N65" s="1" t="n">
        <v>0</v>
      </c>
      <c r="O65" s="1" t="inlineStr">
        <is>
          <t>Vested</t>
        </is>
      </c>
    </row>
    <row r="66">
      <c r="A66" s="1" t="inlineStr">
        <is>
          <t>GR-2025-3013</t>
        </is>
      </c>
      <c r="B66" s="1" t="inlineStr">
        <is>
          <t>Priya Raghunathan</t>
        </is>
      </c>
      <c r="C66" s="1" t="inlineStr">
        <is>
          <t>Nonqualified stock option</t>
        </is>
      </c>
      <c r="D66" s="2" t="n">
        <v>45702</v>
      </c>
      <c r="E66" s="2" t="n">
        <v>45634</v>
      </c>
      <c r="F66" s="1" t="n">
        <v>12</v>
      </c>
      <c r="G66" s="1" t="inlineStr">
        <is>
          <t>4 annual tranches</t>
        </is>
      </c>
      <c r="H66" s="1" t="n">
        <v>1</v>
      </c>
      <c r="I66" s="2" t="n">
        <v>45999</v>
      </c>
      <c r="J66" s="1" t="n">
        <v>18760</v>
      </c>
      <c r="K66" s="1" t="n">
        <v>93801</v>
      </c>
      <c r="L66" s="1">
        <f>J66</f>
        <v/>
      </c>
      <c r="M66" s="1">
        <f>K66-L66</f>
        <v/>
      </c>
      <c r="N66" s="1" t="n">
        <v>0</v>
      </c>
      <c r="O66" s="1" t="inlineStr">
        <is>
          <t>Vested</t>
        </is>
      </c>
    </row>
    <row r="67">
      <c r="A67" s="1" t="inlineStr">
        <is>
          <t>GR-2025-3013</t>
        </is>
      </c>
      <c r="B67" s="1" t="inlineStr">
        <is>
          <t>Priya Raghunathan</t>
        </is>
      </c>
      <c r="C67" s="1" t="inlineStr">
        <is>
          <t>Nonqualified stock option</t>
        </is>
      </c>
      <c r="D67" s="2" t="n">
        <v>45702</v>
      </c>
      <c r="E67" s="2" t="n">
        <v>45634</v>
      </c>
      <c r="F67" s="1" t="n">
        <v>12</v>
      </c>
      <c r="G67" s="1" t="inlineStr">
        <is>
          <t>4 annual tranches</t>
        </is>
      </c>
      <c r="H67" s="1" t="n">
        <v>2</v>
      </c>
      <c r="I67" s="2" t="n">
        <v>46089</v>
      </c>
      <c r="J67" s="1" t="n">
        <v>18760</v>
      </c>
      <c r="K67" s="1" t="n">
        <v>93801</v>
      </c>
      <c r="L67" s="1">
        <f>L66+J67</f>
        <v/>
      </c>
      <c r="M67" s="1">
        <f>K67-L67</f>
        <v/>
      </c>
      <c r="N67" s="1" t="n">
        <v>0</v>
      </c>
      <c r="O67" s="1" t="inlineStr">
        <is>
          <t>Vested</t>
        </is>
      </c>
    </row>
    <row r="68">
      <c r="A68" s="1" t="inlineStr">
        <is>
          <t>GR-2025-3013</t>
        </is>
      </c>
      <c r="B68" s="1" t="inlineStr">
        <is>
          <t>Priya Raghunathan</t>
        </is>
      </c>
      <c r="C68" s="1" t="inlineStr">
        <is>
          <t>Nonqualified stock option</t>
        </is>
      </c>
      <c r="D68" s="2" t="n">
        <v>45702</v>
      </c>
      <c r="E68" s="2" t="n">
        <v>45634</v>
      </c>
      <c r="F68" s="1" t="n">
        <v>12</v>
      </c>
      <c r="G68" s="1" t="inlineStr">
        <is>
          <t>4 annual tranches</t>
        </is>
      </c>
      <c r="H68" s="1" t="n">
        <v>3</v>
      </c>
      <c r="I68" s="2" t="n">
        <v>46181</v>
      </c>
      <c r="J68" s="1" t="n">
        <v>18760</v>
      </c>
      <c r="K68" s="1" t="n">
        <v>93801</v>
      </c>
      <c r="L68" s="1">
        <f>L67+J68</f>
        <v/>
      </c>
      <c r="M68" s="1">
        <f>K68-L68</f>
        <v/>
      </c>
      <c r="N68" s="1" t="n">
        <v>0</v>
      </c>
      <c r="O68" s="1" t="inlineStr">
        <is>
          <t>Vested</t>
        </is>
      </c>
    </row>
    <row r="69">
      <c r="A69" s="1" t="inlineStr">
        <is>
          <t>GR-2025-3013</t>
        </is>
      </c>
      <c r="B69" s="1" t="inlineStr">
        <is>
          <t>Priya Raghunathan</t>
        </is>
      </c>
      <c r="C69" s="1" t="inlineStr">
        <is>
          <t>Nonqualified stock option</t>
        </is>
      </c>
      <c r="D69" s="2" t="n">
        <v>45702</v>
      </c>
      <c r="E69" s="2" t="n">
        <v>45634</v>
      </c>
      <c r="F69" s="1" t="n">
        <v>12</v>
      </c>
      <c r="G69" s="1" t="inlineStr">
        <is>
          <t>4 annual tranches</t>
        </is>
      </c>
      <c r="H69" s="1" t="n">
        <v>4</v>
      </c>
      <c r="I69" s="2" t="n">
        <v>46273</v>
      </c>
      <c r="J69" s="1" t="n">
        <v>18760</v>
      </c>
      <c r="K69" s="1" t="n">
        <v>93801</v>
      </c>
      <c r="L69" s="1">
        <f>L68+J69</f>
        <v/>
      </c>
      <c r="M69" s="1">
        <f>K69-L69</f>
        <v/>
      </c>
      <c r="N69" s="1" t="n">
        <v>0</v>
      </c>
      <c r="O69" s="1" t="inlineStr">
        <is>
          <t>Unvested</t>
        </is>
      </c>
    </row>
    <row r="70">
      <c r="A70" s="1" t="inlineStr">
        <is>
          <t>GR-2025-3013</t>
        </is>
      </c>
      <c r="B70" s="1" t="inlineStr">
        <is>
          <t>Priya Raghunathan</t>
        </is>
      </c>
      <c r="C70" s="1" t="inlineStr">
        <is>
          <t>Nonqualified stock option</t>
        </is>
      </c>
      <c r="D70" s="2" t="n">
        <v>45702</v>
      </c>
      <c r="E70" s="2" t="n">
        <v>45634</v>
      </c>
      <c r="F70" s="1" t="n">
        <v>12</v>
      </c>
      <c r="G70" s="1" t="inlineStr">
        <is>
          <t>4 annual tranches</t>
        </is>
      </c>
      <c r="H70" s="1" t="n">
        <v>5</v>
      </c>
      <c r="I70" s="2" t="n">
        <v>46364</v>
      </c>
      <c r="J70" s="1" t="n">
        <v>18761</v>
      </c>
      <c r="K70" s="1" t="n">
        <v>93801</v>
      </c>
      <c r="L70" s="1">
        <f>L69+J70</f>
        <v/>
      </c>
      <c r="M70" s="1">
        <f>K70-L70</f>
        <v/>
      </c>
      <c r="N70" s="1" t="n">
        <v>0</v>
      </c>
      <c r="O70" s="1" t="inlineStr">
        <is>
          <t>Unvested</t>
        </is>
      </c>
    </row>
    <row r="71">
      <c r="A71" s="1" t="inlineStr">
        <is>
          <t>GR-2024-3014</t>
        </is>
      </c>
      <c r="B71" s="1" t="inlineStr">
        <is>
          <t>Leandra Ossipova</t>
        </is>
      </c>
      <c r="C71" s="1" t="inlineStr">
        <is>
          <t>Restricted stock unit</t>
        </is>
      </c>
      <c r="D71" s="2" t="n">
        <v>45331</v>
      </c>
      <c r="E71" s="2" t="n">
        <v>45246</v>
      </c>
      <c r="F71" s="1" t="n">
        <v>12</v>
      </c>
      <c r="G71" s="1" t="inlineStr">
        <is>
          <t>48 months monthly after a 12-month cliff</t>
        </is>
      </c>
      <c r="H71" s="1" t="n">
        <v>1</v>
      </c>
      <c r="I71" s="2" t="n">
        <v>45612</v>
      </c>
      <c r="J71" s="1" t="n">
        <v>12748</v>
      </c>
      <c r="K71" s="1" t="n">
        <v>50994</v>
      </c>
      <c r="L71" s="1">
        <f>J71</f>
        <v/>
      </c>
      <c r="M71" s="1">
        <f>K71-L71</f>
        <v/>
      </c>
      <c r="N71" s="1" t="n">
        <v>0</v>
      </c>
      <c r="O71" s="1" t="inlineStr">
        <is>
          <t>Vested</t>
        </is>
      </c>
    </row>
    <row r="72">
      <c r="A72" s="1" t="inlineStr">
        <is>
          <t>GR-2024-3014</t>
        </is>
      </c>
      <c r="B72" s="1" t="inlineStr">
        <is>
          <t>Leandra Ossipova</t>
        </is>
      </c>
      <c r="C72" s="1" t="inlineStr">
        <is>
          <t>Restricted stock unit</t>
        </is>
      </c>
      <c r="D72" s="2" t="n">
        <v>45331</v>
      </c>
      <c r="E72" s="2" t="n">
        <v>45246</v>
      </c>
      <c r="F72" s="1" t="n">
        <v>12</v>
      </c>
      <c r="G72" s="1" t="inlineStr">
        <is>
          <t>48 months monthly after a 12-month cliff</t>
        </is>
      </c>
      <c r="H72" s="1" t="n">
        <v>2</v>
      </c>
      <c r="I72" s="2" t="n">
        <v>45704</v>
      </c>
      <c r="J72" s="1" t="n">
        <v>12748</v>
      </c>
      <c r="K72" s="1" t="n">
        <v>50994</v>
      </c>
      <c r="L72" s="1">
        <f>L71+J72</f>
        <v/>
      </c>
      <c r="M72" s="1">
        <f>K72-L72</f>
        <v/>
      </c>
      <c r="N72" s="1" t="n">
        <v>0</v>
      </c>
      <c r="O72" s="1" t="inlineStr">
        <is>
          <t>Vested</t>
        </is>
      </c>
    </row>
    <row r="73">
      <c r="A73" s="1" t="inlineStr">
        <is>
          <t>GR-2024-3014</t>
        </is>
      </c>
      <c r="B73" s="1" t="inlineStr">
        <is>
          <t>Leandra Ossipova</t>
        </is>
      </c>
      <c r="C73" s="1" t="inlineStr">
        <is>
          <t>Restricted stock unit</t>
        </is>
      </c>
      <c r="D73" s="2" t="n">
        <v>45331</v>
      </c>
      <c r="E73" s="2" t="n">
        <v>45246</v>
      </c>
      <c r="F73" s="1" t="n">
        <v>12</v>
      </c>
      <c r="G73" s="1" t="inlineStr">
        <is>
          <t>48 months monthly after a 12-month cliff</t>
        </is>
      </c>
      <c r="H73" s="1" t="n">
        <v>3</v>
      </c>
      <c r="I73" s="2" t="n">
        <v>45793</v>
      </c>
      <c r="J73" s="1" t="n">
        <v>12748</v>
      </c>
      <c r="K73" s="1" t="n">
        <v>50994</v>
      </c>
      <c r="L73" s="1">
        <f>L72+J73</f>
        <v/>
      </c>
      <c r="M73" s="1">
        <f>K73-L73</f>
        <v/>
      </c>
      <c r="N73" s="1" t="n">
        <v>0</v>
      </c>
      <c r="O73" s="1" t="inlineStr">
        <is>
          <t>Vested</t>
        </is>
      </c>
    </row>
    <row r="74">
      <c r="A74" s="1" t="inlineStr">
        <is>
          <t>GR-2024-3014</t>
        </is>
      </c>
      <c r="B74" s="1" t="inlineStr">
        <is>
          <t>Leandra Ossipova</t>
        </is>
      </c>
      <c r="C74" s="1" t="inlineStr">
        <is>
          <t>Restricted stock unit</t>
        </is>
      </c>
      <c r="D74" s="2" t="n">
        <v>45331</v>
      </c>
      <c r="E74" s="2" t="n">
        <v>45246</v>
      </c>
      <c r="F74" s="1" t="n">
        <v>12</v>
      </c>
      <c r="G74" s="1" t="inlineStr">
        <is>
          <t>48 months monthly after a 12-month cliff</t>
        </is>
      </c>
      <c r="H74" s="1" t="n">
        <v>4</v>
      </c>
      <c r="I74" s="2" t="n">
        <v>45885</v>
      </c>
      <c r="J74" s="1" t="n">
        <v>12750</v>
      </c>
      <c r="K74" s="1" t="n">
        <v>50994</v>
      </c>
      <c r="L74" s="1">
        <f>L73+J74</f>
        <v/>
      </c>
      <c r="M74" s="1">
        <f>K74-L74</f>
        <v/>
      </c>
      <c r="N74" s="1" t="n">
        <v>0</v>
      </c>
      <c r="O74" s="1" t="inlineStr">
        <is>
          <t>Vested</t>
        </is>
      </c>
    </row>
    <row r="75">
      <c r="A75" s="1" t="inlineStr">
        <is>
          <t>GR-2024-3015</t>
        </is>
      </c>
      <c r="B75" s="1" t="inlineStr">
        <is>
          <t>Sasha Lindqvist</t>
        </is>
      </c>
      <c r="C75" s="1" t="inlineStr">
        <is>
          <t>Restricted stock unit</t>
        </is>
      </c>
      <c r="D75" s="2" t="n">
        <v>45392</v>
      </c>
      <c r="E75" s="2" t="n">
        <v>45388</v>
      </c>
      <c r="F75" s="1" t="n">
        <v>12</v>
      </c>
      <c r="G75" s="1" t="inlineStr">
        <is>
          <t>4 annual tranches</t>
        </is>
      </c>
      <c r="H75" s="1" t="n">
        <v>1</v>
      </c>
      <c r="I75" s="2" t="n">
        <v>45753</v>
      </c>
      <c r="J75" s="1" t="n">
        <v>6876</v>
      </c>
      <c r="K75" s="1" t="n">
        <v>41256</v>
      </c>
      <c r="L75" s="1">
        <f>J75</f>
        <v/>
      </c>
      <c r="M75" s="1">
        <f>K75-L75</f>
        <v/>
      </c>
      <c r="N75" s="1" t="n">
        <v>0</v>
      </c>
      <c r="O75" s="1" t="inlineStr">
        <is>
          <t>Vested</t>
        </is>
      </c>
    </row>
    <row r="76">
      <c r="A76" s="1" t="inlineStr">
        <is>
          <t>GR-2024-3015</t>
        </is>
      </c>
      <c r="B76" s="1" t="inlineStr">
        <is>
          <t>Sasha Lindqvist</t>
        </is>
      </c>
      <c r="C76" s="1" t="inlineStr">
        <is>
          <t>Restricted stock unit</t>
        </is>
      </c>
      <c r="D76" s="2" t="n">
        <v>45392</v>
      </c>
      <c r="E76" s="2" t="n">
        <v>45388</v>
      </c>
      <c r="F76" s="1" t="n">
        <v>12</v>
      </c>
      <c r="G76" s="1" t="inlineStr">
        <is>
          <t>4 annual tranches</t>
        </is>
      </c>
      <c r="H76" s="1" t="n">
        <v>2</v>
      </c>
      <c r="I76" s="2" t="n">
        <v>45844</v>
      </c>
      <c r="J76" s="1" t="n">
        <v>6876</v>
      </c>
      <c r="K76" s="1" t="n">
        <v>41256</v>
      </c>
      <c r="L76" s="1">
        <f>L75+J76</f>
        <v/>
      </c>
      <c r="M76" s="1">
        <f>K76-L76</f>
        <v/>
      </c>
      <c r="N76" s="1" t="n">
        <v>0</v>
      </c>
      <c r="O76" s="1" t="inlineStr">
        <is>
          <t>Vested</t>
        </is>
      </c>
    </row>
    <row r="77">
      <c r="A77" s="1" t="inlineStr">
        <is>
          <t>GR-2024-3015</t>
        </is>
      </c>
      <c r="B77" s="1" t="inlineStr">
        <is>
          <t>Sasha Lindqvist</t>
        </is>
      </c>
      <c r="C77" s="1" t="inlineStr">
        <is>
          <t>Restricted stock unit</t>
        </is>
      </c>
      <c r="D77" s="2" t="n">
        <v>45392</v>
      </c>
      <c r="E77" s="2" t="n">
        <v>45388</v>
      </c>
      <c r="F77" s="1" t="n">
        <v>12</v>
      </c>
      <c r="G77" s="1" t="inlineStr">
        <is>
          <t>4 annual tranches</t>
        </is>
      </c>
      <c r="H77" s="1" t="n">
        <v>3</v>
      </c>
      <c r="I77" s="2" t="n">
        <v>45936</v>
      </c>
      <c r="J77" s="1" t="n">
        <v>6876</v>
      </c>
      <c r="K77" s="1" t="n">
        <v>41256</v>
      </c>
      <c r="L77" s="1">
        <f>L76+J77</f>
        <v/>
      </c>
      <c r="M77" s="1">
        <f>K77-L77</f>
        <v/>
      </c>
      <c r="N77" s="1" t="n">
        <v>0</v>
      </c>
      <c r="O77" s="1" t="inlineStr">
        <is>
          <t>Vested</t>
        </is>
      </c>
    </row>
    <row r="78">
      <c r="A78" s="1" t="inlineStr">
        <is>
          <t>GR-2024-3015</t>
        </is>
      </c>
      <c r="B78" s="1" t="inlineStr">
        <is>
          <t>Sasha Lindqvist</t>
        </is>
      </c>
      <c r="C78" s="1" t="inlineStr">
        <is>
          <t>Restricted stock unit</t>
        </is>
      </c>
      <c r="D78" s="2" t="n">
        <v>45392</v>
      </c>
      <c r="E78" s="2" t="n">
        <v>45388</v>
      </c>
      <c r="F78" s="1" t="n">
        <v>12</v>
      </c>
      <c r="G78" s="1" t="inlineStr">
        <is>
          <t>4 annual tranches</t>
        </is>
      </c>
      <c r="H78" s="1" t="n">
        <v>4</v>
      </c>
      <c r="I78" s="2" t="n">
        <v>46028</v>
      </c>
      <c r="J78" s="1" t="n">
        <v>6876</v>
      </c>
      <c r="K78" s="1" t="n">
        <v>41256</v>
      </c>
      <c r="L78" s="1">
        <f>L77+J78</f>
        <v/>
      </c>
      <c r="M78" s="1">
        <f>K78-L78</f>
        <v/>
      </c>
      <c r="N78" s="1" t="n">
        <v>0</v>
      </c>
      <c r="O78" s="1" t="inlineStr">
        <is>
          <t>Vested</t>
        </is>
      </c>
    </row>
    <row r="79">
      <c r="A79" s="1" t="inlineStr">
        <is>
          <t>GR-2024-3015</t>
        </is>
      </c>
      <c r="B79" s="1" t="inlineStr">
        <is>
          <t>Sasha Lindqvist</t>
        </is>
      </c>
      <c r="C79" s="1" t="inlineStr">
        <is>
          <t>Restricted stock unit</t>
        </is>
      </c>
      <c r="D79" s="2" t="n">
        <v>45392</v>
      </c>
      <c r="E79" s="2" t="n">
        <v>45388</v>
      </c>
      <c r="F79" s="1" t="n">
        <v>12</v>
      </c>
      <c r="G79" s="1" t="inlineStr">
        <is>
          <t>4 annual tranches</t>
        </is>
      </c>
      <c r="H79" s="1" t="n">
        <v>5</v>
      </c>
      <c r="I79" s="2" t="n">
        <v>46118</v>
      </c>
      <c r="J79" s="1" t="n">
        <v>6876</v>
      </c>
      <c r="K79" s="1" t="n">
        <v>41256</v>
      </c>
      <c r="L79" s="1">
        <f>L78+J79</f>
        <v/>
      </c>
      <c r="M79" s="1">
        <f>K79-L79</f>
        <v/>
      </c>
      <c r="N79" s="1" t="n">
        <v>0</v>
      </c>
      <c r="O79" s="1" t="inlineStr">
        <is>
          <t>Vested</t>
        </is>
      </c>
    </row>
    <row r="80">
      <c r="A80" s="1" t="inlineStr">
        <is>
          <t>GR-2024-3015</t>
        </is>
      </c>
      <c r="B80" s="1" t="inlineStr">
        <is>
          <t>Sasha Lindqvist</t>
        </is>
      </c>
      <c r="C80" s="1" t="inlineStr">
        <is>
          <t>Restricted stock unit</t>
        </is>
      </c>
      <c r="D80" s="2" t="n">
        <v>45392</v>
      </c>
      <c r="E80" s="2" t="n">
        <v>45388</v>
      </c>
      <c r="F80" s="1" t="n">
        <v>12</v>
      </c>
      <c r="G80" s="1" t="inlineStr">
        <is>
          <t>4 annual tranches</t>
        </is>
      </c>
      <c r="H80" s="1" t="n">
        <v>6</v>
      </c>
      <c r="I80" s="2" t="n">
        <v>46209</v>
      </c>
      <c r="J80" s="1" t="n">
        <v>6876</v>
      </c>
      <c r="K80" s="1" t="n">
        <v>41256</v>
      </c>
      <c r="L80" s="1">
        <f>L79+J80</f>
        <v/>
      </c>
      <c r="M80" s="1">
        <f>K80-L80</f>
        <v/>
      </c>
      <c r="N80" s="1" t="n">
        <v>0</v>
      </c>
      <c r="O80" s="1" t="inlineStr">
        <is>
          <t>Vested</t>
        </is>
      </c>
    </row>
    <row r="81">
      <c r="A81" s="1" t="inlineStr">
        <is>
          <t>GR-2022-3016</t>
        </is>
      </c>
      <c r="B81" s="1" t="inlineStr">
        <is>
          <t>Freya Lindstrom</t>
        </is>
      </c>
      <c r="C81" s="1" t="inlineStr">
        <is>
          <t>Nonqualified stock option</t>
        </is>
      </c>
      <c r="D81" s="2" t="n">
        <v>44701</v>
      </c>
      <c r="E81" s="2" t="n">
        <v>44689</v>
      </c>
      <c r="F81" s="1" t="n">
        <v>6</v>
      </c>
      <c r="G81" s="1" t="inlineStr">
        <is>
          <t>36 months monthly, no cliff</t>
        </is>
      </c>
      <c r="H81" s="1" t="n">
        <v>1</v>
      </c>
      <c r="I81" s="2" t="n">
        <v>44873</v>
      </c>
      <c r="J81" s="1" t="n">
        <v>13991</v>
      </c>
      <c r="K81" s="1" t="n">
        <v>41974</v>
      </c>
      <c r="L81" s="1">
        <f>J81</f>
        <v/>
      </c>
      <c r="M81" s="1">
        <f>K81-L81</f>
        <v/>
      </c>
      <c r="N81" s="1" t="n">
        <v>0</v>
      </c>
      <c r="O81" s="1" t="inlineStr">
        <is>
          <t>Vested</t>
        </is>
      </c>
    </row>
    <row r="82">
      <c r="A82" s="1" t="inlineStr">
        <is>
          <t>GR-2022-3016</t>
        </is>
      </c>
      <c r="B82" s="1" t="inlineStr">
        <is>
          <t>Freya Lindstrom</t>
        </is>
      </c>
      <c r="C82" s="1" t="inlineStr">
        <is>
          <t>Nonqualified stock option</t>
        </is>
      </c>
      <c r="D82" s="2" t="n">
        <v>44701</v>
      </c>
      <c r="E82" s="2" t="n">
        <v>44689</v>
      </c>
      <c r="F82" s="1" t="n">
        <v>6</v>
      </c>
      <c r="G82" s="1" t="inlineStr">
        <is>
          <t>36 months monthly, no cliff</t>
        </is>
      </c>
      <c r="H82" s="1" t="n">
        <v>2</v>
      </c>
      <c r="I82" s="2" t="n">
        <v>44965</v>
      </c>
      <c r="J82" s="1" t="n">
        <v>13991</v>
      </c>
      <c r="K82" s="1" t="n">
        <v>41974</v>
      </c>
      <c r="L82" s="1">
        <f>L81+J82</f>
        <v/>
      </c>
      <c r="M82" s="1">
        <f>K82-L82</f>
        <v/>
      </c>
      <c r="N82" s="1" t="n">
        <v>0</v>
      </c>
      <c r="O82" s="1" t="inlineStr">
        <is>
          <t>Vested</t>
        </is>
      </c>
    </row>
    <row r="83">
      <c r="A83" s="1" t="inlineStr">
        <is>
          <t>GR-2022-3016</t>
        </is>
      </c>
      <c r="B83" s="1" t="inlineStr">
        <is>
          <t>Freya Lindstrom</t>
        </is>
      </c>
      <c r="C83" s="1" t="inlineStr">
        <is>
          <t>Nonqualified stock option</t>
        </is>
      </c>
      <c r="D83" s="2" t="n">
        <v>44701</v>
      </c>
      <c r="E83" s="2" t="n">
        <v>44689</v>
      </c>
      <c r="F83" s="1" t="n">
        <v>6</v>
      </c>
      <c r="G83" s="1" t="inlineStr">
        <is>
          <t>36 months monthly, no cliff</t>
        </is>
      </c>
      <c r="H83" s="1" t="n">
        <v>3</v>
      </c>
      <c r="I83" s="2" t="n">
        <v>45054</v>
      </c>
      <c r="J83" s="1" t="n">
        <v>13992</v>
      </c>
      <c r="K83" s="1" t="n">
        <v>41974</v>
      </c>
      <c r="L83" s="1">
        <f>L82+J83</f>
        <v/>
      </c>
      <c r="M83" s="1">
        <f>K83-L83</f>
        <v/>
      </c>
      <c r="N83" s="1" t="n">
        <v>0</v>
      </c>
      <c r="O83" s="1" t="inlineStr">
        <is>
          <t>Vested</t>
        </is>
      </c>
    </row>
    <row r="84">
      <c r="A84" s="1" t="inlineStr">
        <is>
          <t>GR-2026-3017</t>
        </is>
      </c>
      <c r="B84" s="1" t="inlineStr">
        <is>
          <t>Hector Salcedo</t>
        </is>
      </c>
      <c r="C84" s="1" t="inlineStr">
        <is>
          <t>Nonqualified stock option</t>
        </is>
      </c>
      <c r="D84" s="2" t="n">
        <v>46041</v>
      </c>
      <c r="E84" s="2" t="n">
        <v>46002</v>
      </c>
      <c r="F84" s="1" t="n">
        <v>12</v>
      </c>
      <c r="G84" s="1" t="inlineStr">
        <is>
          <t>48 months monthly after a 12-month cliff</t>
        </is>
      </c>
      <c r="H84" s="1" t="n">
        <v>1</v>
      </c>
      <c r="I84" s="2" t="n">
        <v>46367</v>
      </c>
      <c r="J84" s="1" t="n">
        <v>11885</v>
      </c>
      <c r="K84" s="1" t="n">
        <v>59425</v>
      </c>
      <c r="L84" s="1">
        <f>J84</f>
        <v/>
      </c>
      <c r="M84" s="1">
        <f>K84-L84</f>
        <v/>
      </c>
      <c r="N84" s="1" t="n">
        <v>0</v>
      </c>
      <c r="O84" s="1" t="inlineStr">
        <is>
          <t>Unvested</t>
        </is>
      </c>
    </row>
    <row r="85">
      <c r="A85" s="1" t="inlineStr">
        <is>
          <t>GR-2026-3017</t>
        </is>
      </c>
      <c r="B85" s="1" t="inlineStr">
        <is>
          <t>Hector Salcedo</t>
        </is>
      </c>
      <c r="C85" s="1" t="inlineStr">
        <is>
          <t>Nonqualified stock option</t>
        </is>
      </c>
      <c r="D85" s="2" t="n">
        <v>46041</v>
      </c>
      <c r="E85" s="2" t="n">
        <v>46002</v>
      </c>
      <c r="F85" s="1" t="n">
        <v>12</v>
      </c>
      <c r="G85" s="1" t="inlineStr">
        <is>
          <t>48 months monthly after a 12-month cliff</t>
        </is>
      </c>
      <c r="H85" s="1" t="n">
        <v>2</v>
      </c>
      <c r="I85" s="2" t="n">
        <v>46457</v>
      </c>
      <c r="J85" s="1" t="n">
        <v>11885</v>
      </c>
      <c r="K85" s="1" t="n">
        <v>59425</v>
      </c>
      <c r="L85" s="1">
        <f>L84+J85</f>
        <v/>
      </c>
      <c r="M85" s="1">
        <f>K85-L85</f>
        <v/>
      </c>
      <c r="N85" s="1" t="n">
        <v>0</v>
      </c>
      <c r="O85" s="1" t="inlineStr">
        <is>
          <t>Unvested</t>
        </is>
      </c>
    </row>
    <row r="86">
      <c r="A86" s="1" t="inlineStr">
        <is>
          <t>GR-2026-3017</t>
        </is>
      </c>
      <c r="B86" s="1" t="inlineStr">
        <is>
          <t>Hector Salcedo</t>
        </is>
      </c>
      <c r="C86" s="1" t="inlineStr">
        <is>
          <t>Nonqualified stock option</t>
        </is>
      </c>
      <c r="D86" s="2" t="n">
        <v>46041</v>
      </c>
      <c r="E86" s="2" t="n">
        <v>46002</v>
      </c>
      <c r="F86" s="1" t="n">
        <v>12</v>
      </c>
      <c r="G86" s="1" t="inlineStr">
        <is>
          <t>48 months monthly after a 12-month cliff</t>
        </is>
      </c>
      <c r="H86" s="1" t="n">
        <v>3</v>
      </c>
      <c r="I86" s="2" t="n">
        <v>46549</v>
      </c>
      <c r="J86" s="1" t="n">
        <v>11885</v>
      </c>
      <c r="K86" s="1" t="n">
        <v>59425</v>
      </c>
      <c r="L86" s="1">
        <f>L85+J86</f>
        <v/>
      </c>
      <c r="M86" s="1">
        <f>K86-L86</f>
        <v/>
      </c>
      <c r="N86" s="1" t="n">
        <v>0</v>
      </c>
      <c r="O86" s="1" t="inlineStr">
        <is>
          <t>Unvested</t>
        </is>
      </c>
    </row>
    <row r="87">
      <c r="A87" s="1" t="inlineStr">
        <is>
          <t>GR-2026-3017</t>
        </is>
      </c>
      <c r="B87" s="1" t="inlineStr">
        <is>
          <t>Hector Salcedo</t>
        </is>
      </c>
      <c r="C87" s="1" t="inlineStr">
        <is>
          <t>Nonqualified stock option</t>
        </is>
      </c>
      <c r="D87" s="2" t="n">
        <v>46041</v>
      </c>
      <c r="E87" s="2" t="n">
        <v>46002</v>
      </c>
      <c r="F87" s="1" t="n">
        <v>12</v>
      </c>
      <c r="G87" s="1" t="inlineStr">
        <is>
          <t>48 months monthly after a 12-month cliff</t>
        </is>
      </c>
      <c r="H87" s="1" t="n">
        <v>4</v>
      </c>
      <c r="I87" s="2" t="n">
        <v>46641</v>
      </c>
      <c r="J87" s="1" t="n">
        <v>11885</v>
      </c>
      <c r="K87" s="1" t="n">
        <v>59425</v>
      </c>
      <c r="L87" s="1">
        <f>L86+J87</f>
        <v/>
      </c>
      <c r="M87" s="1">
        <f>K87-L87</f>
        <v/>
      </c>
      <c r="N87" s="1" t="n">
        <v>0</v>
      </c>
      <c r="O87" s="1" t="inlineStr">
        <is>
          <t>Unvested</t>
        </is>
      </c>
    </row>
    <row r="88">
      <c r="A88" s="1" t="inlineStr">
        <is>
          <t>GR-2026-3017</t>
        </is>
      </c>
      <c r="B88" s="1" t="inlineStr">
        <is>
          <t>Hector Salcedo</t>
        </is>
      </c>
      <c r="C88" s="1" t="inlineStr">
        <is>
          <t>Nonqualified stock option</t>
        </is>
      </c>
      <c r="D88" s="2" t="n">
        <v>46041</v>
      </c>
      <c r="E88" s="2" t="n">
        <v>46002</v>
      </c>
      <c r="F88" s="1" t="n">
        <v>12</v>
      </c>
      <c r="G88" s="1" t="inlineStr">
        <is>
          <t>48 months monthly after a 12-month cliff</t>
        </is>
      </c>
      <c r="H88" s="1" t="n">
        <v>5</v>
      </c>
      <c r="I88" s="2" t="n">
        <v>46732</v>
      </c>
      <c r="J88" s="1" t="n">
        <v>11885</v>
      </c>
      <c r="K88" s="1" t="n">
        <v>59425</v>
      </c>
      <c r="L88" s="1">
        <f>L87+J88</f>
        <v/>
      </c>
      <c r="M88" s="1">
        <f>K88-L88</f>
        <v/>
      </c>
      <c r="N88" s="1" t="n">
        <v>0</v>
      </c>
      <c r="O88" s="1" t="inlineStr">
        <is>
          <t>Unvested</t>
        </is>
      </c>
    </row>
    <row r="89">
      <c r="A89" s="1" t="inlineStr">
        <is>
          <t>GR-2024-3018</t>
        </is>
      </c>
      <c r="B89" s="1" t="inlineStr">
        <is>
          <t>Priya Raghunathan</t>
        </is>
      </c>
      <c r="C89" s="1" t="inlineStr">
        <is>
          <t>Restricted stock unit</t>
        </is>
      </c>
      <c r="D89" s="2" t="n">
        <v>45502</v>
      </c>
      <c r="E89" s="2" t="n">
        <v>45495</v>
      </c>
      <c r="F89" s="1" t="n">
        <v>12</v>
      </c>
      <c r="G89" s="1" t="inlineStr">
        <is>
          <t>48 months monthly after a 12-month cliff</t>
        </is>
      </c>
      <c r="H89" s="1" t="n">
        <v>1</v>
      </c>
      <c r="I89" s="2" t="n">
        <v>45860</v>
      </c>
      <c r="J89" s="1" t="n">
        <v>15923</v>
      </c>
      <c r="K89" s="1" t="n">
        <v>79615</v>
      </c>
      <c r="L89" s="1">
        <f>J89</f>
        <v/>
      </c>
      <c r="M89" s="1">
        <f>K89-L89</f>
        <v/>
      </c>
      <c r="N89" s="1" t="n">
        <v>0</v>
      </c>
      <c r="O89" s="1" t="inlineStr">
        <is>
          <t>Vested</t>
        </is>
      </c>
    </row>
    <row r="90">
      <c r="A90" s="1" t="inlineStr">
        <is>
          <t>GR-2024-3018</t>
        </is>
      </c>
      <c r="B90" s="1" t="inlineStr">
        <is>
          <t>Priya Raghunathan</t>
        </is>
      </c>
      <c r="C90" s="1" t="inlineStr">
        <is>
          <t>Restricted stock unit</t>
        </is>
      </c>
      <c r="D90" s="2" t="n">
        <v>45502</v>
      </c>
      <c r="E90" s="2" t="n">
        <v>45495</v>
      </c>
      <c r="F90" s="1" t="n">
        <v>12</v>
      </c>
      <c r="G90" s="1" t="inlineStr">
        <is>
          <t>48 months monthly after a 12-month cliff</t>
        </is>
      </c>
      <c r="H90" s="1" t="n">
        <v>2</v>
      </c>
      <c r="I90" s="2" t="n">
        <v>45952</v>
      </c>
      <c r="J90" s="1" t="n">
        <v>15923</v>
      </c>
      <c r="K90" s="1" t="n">
        <v>79615</v>
      </c>
      <c r="L90" s="1">
        <f>L89+J90</f>
        <v/>
      </c>
      <c r="M90" s="1">
        <f>K90-L90</f>
        <v/>
      </c>
      <c r="N90" s="1" t="n">
        <v>0</v>
      </c>
      <c r="O90" s="1" t="inlineStr">
        <is>
          <t>Vested</t>
        </is>
      </c>
    </row>
    <row r="91">
      <c r="A91" s="1" t="inlineStr">
        <is>
          <t>GR-2024-3018</t>
        </is>
      </c>
      <c r="B91" s="1" t="inlineStr">
        <is>
          <t>Priya Raghunathan</t>
        </is>
      </c>
      <c r="C91" s="1" t="inlineStr">
        <is>
          <t>Restricted stock unit</t>
        </is>
      </c>
      <c r="D91" s="2" t="n">
        <v>45502</v>
      </c>
      <c r="E91" s="2" t="n">
        <v>45495</v>
      </c>
      <c r="F91" s="1" t="n">
        <v>12</v>
      </c>
      <c r="G91" s="1" t="inlineStr">
        <is>
          <t>48 months monthly after a 12-month cliff</t>
        </is>
      </c>
      <c r="H91" s="1" t="n">
        <v>3</v>
      </c>
      <c r="I91" s="2" t="n">
        <v>46044</v>
      </c>
      <c r="J91" s="1" t="n">
        <v>15923</v>
      </c>
      <c r="K91" s="1" t="n">
        <v>79615</v>
      </c>
      <c r="L91" s="1">
        <f>L90+J91</f>
        <v/>
      </c>
      <c r="M91" s="1">
        <f>K91-L91</f>
        <v/>
      </c>
      <c r="N91" s="1" t="n">
        <v>0</v>
      </c>
      <c r="O91" s="1" t="inlineStr">
        <is>
          <t>Vested</t>
        </is>
      </c>
    </row>
    <row r="92">
      <c r="A92" s="1" t="inlineStr">
        <is>
          <t>GR-2024-3018</t>
        </is>
      </c>
      <c r="B92" s="1" t="inlineStr">
        <is>
          <t>Priya Raghunathan</t>
        </is>
      </c>
      <c r="C92" s="1" t="inlineStr">
        <is>
          <t>Restricted stock unit</t>
        </is>
      </c>
      <c r="D92" s="2" t="n">
        <v>45502</v>
      </c>
      <c r="E92" s="2" t="n">
        <v>45495</v>
      </c>
      <c r="F92" s="1" t="n">
        <v>12</v>
      </c>
      <c r="G92" s="1" t="inlineStr">
        <is>
          <t>48 months monthly after a 12-month cliff</t>
        </is>
      </c>
      <c r="H92" s="1" t="n">
        <v>4</v>
      </c>
      <c r="I92" s="2" t="n">
        <v>46134</v>
      </c>
      <c r="J92" s="1" t="n">
        <v>15923</v>
      </c>
      <c r="K92" s="1" t="n">
        <v>79615</v>
      </c>
      <c r="L92" s="1">
        <f>L91+J92</f>
        <v/>
      </c>
      <c r="M92" s="1">
        <f>K92-L92</f>
        <v/>
      </c>
      <c r="N92" s="1" t="n">
        <v>0</v>
      </c>
      <c r="O92" s="1" t="inlineStr">
        <is>
          <t>Vested</t>
        </is>
      </c>
    </row>
    <row r="93">
      <c r="A93" s="1" t="inlineStr">
        <is>
          <t>GR-2024-3018</t>
        </is>
      </c>
      <c r="B93" s="1" t="inlineStr">
        <is>
          <t>Priya Raghunathan</t>
        </is>
      </c>
      <c r="C93" s="1" t="inlineStr">
        <is>
          <t>Restricted stock unit</t>
        </is>
      </c>
      <c r="D93" s="2" t="n">
        <v>45502</v>
      </c>
      <c r="E93" s="2" t="n">
        <v>45495</v>
      </c>
      <c r="F93" s="1" t="n">
        <v>12</v>
      </c>
      <c r="G93" s="1" t="inlineStr">
        <is>
          <t>48 months monthly after a 12-month cliff</t>
        </is>
      </c>
      <c r="H93" s="1" t="n">
        <v>5</v>
      </c>
      <c r="I93" s="2" t="n">
        <v>46225</v>
      </c>
      <c r="J93" s="1" t="n">
        <v>15923</v>
      </c>
      <c r="K93" s="1" t="n">
        <v>79615</v>
      </c>
      <c r="L93" s="1">
        <f>L92+J93</f>
        <v/>
      </c>
      <c r="M93" s="1">
        <f>K93-L93</f>
        <v/>
      </c>
      <c r="N93" s="1" t="n">
        <v>0</v>
      </c>
      <c r="O93" s="1" t="inlineStr">
        <is>
          <t>Vested</t>
        </is>
      </c>
    </row>
    <row r="94">
      <c r="A94" s="1" t="inlineStr">
        <is>
          <t>GR-2023-3019</t>
        </is>
      </c>
      <c r="B94" s="1" t="inlineStr">
        <is>
          <t>Odile Bergstrom</t>
        </is>
      </c>
      <c r="C94" s="1" t="inlineStr">
        <is>
          <t>Restricted stock unit</t>
        </is>
      </c>
      <c r="D94" s="2" t="n">
        <v>45258</v>
      </c>
      <c r="E94" s="2" t="n">
        <v>45215</v>
      </c>
      <c r="F94" s="1" t="n">
        <v>6</v>
      </c>
      <c r="G94" s="1" t="inlineStr">
        <is>
          <t>16 quarterly tranches</t>
        </is>
      </c>
      <c r="H94" s="1" t="n">
        <v>1</v>
      </c>
      <c r="I94" s="2" t="n">
        <v>45398</v>
      </c>
      <c r="J94" s="1" t="n">
        <v>21075</v>
      </c>
      <c r="K94" s="1" t="n">
        <v>63225</v>
      </c>
      <c r="L94" s="1">
        <f>J94</f>
        <v/>
      </c>
      <c r="M94" s="1">
        <f>K94-L94</f>
        <v/>
      </c>
      <c r="N94" s="1" t="n">
        <v>0</v>
      </c>
      <c r="O94" s="1" t="inlineStr">
        <is>
          <t>Vested</t>
        </is>
      </c>
    </row>
    <row r="95">
      <c r="A95" s="1" t="inlineStr">
        <is>
          <t>GR-2023-3019</t>
        </is>
      </c>
      <c r="B95" s="1" t="inlineStr">
        <is>
          <t>Odile Bergstrom</t>
        </is>
      </c>
      <c r="C95" s="1" t="inlineStr">
        <is>
          <t>Restricted stock unit</t>
        </is>
      </c>
      <c r="D95" s="2" t="n">
        <v>45258</v>
      </c>
      <c r="E95" s="2" t="n">
        <v>45215</v>
      </c>
      <c r="F95" s="1" t="n">
        <v>6</v>
      </c>
      <c r="G95" s="1" t="inlineStr">
        <is>
          <t>16 quarterly tranches</t>
        </is>
      </c>
      <c r="H95" s="1" t="n">
        <v>2</v>
      </c>
      <c r="I95" s="2" t="n">
        <v>45489</v>
      </c>
      <c r="J95" s="1" t="n">
        <v>21075</v>
      </c>
      <c r="K95" s="1" t="n">
        <v>63225</v>
      </c>
      <c r="L95" s="1">
        <f>L94+J95</f>
        <v/>
      </c>
      <c r="M95" s="1">
        <f>K95-L95</f>
        <v/>
      </c>
      <c r="N95" s="1" t="n">
        <v>0</v>
      </c>
      <c r="O95" s="1" t="inlineStr">
        <is>
          <t>Vested</t>
        </is>
      </c>
    </row>
    <row r="96">
      <c r="A96" s="1" t="inlineStr">
        <is>
          <t>GR-2023-3019</t>
        </is>
      </c>
      <c r="B96" s="1" t="inlineStr">
        <is>
          <t>Odile Bergstrom</t>
        </is>
      </c>
      <c r="C96" s="1" t="inlineStr">
        <is>
          <t>Restricted stock unit</t>
        </is>
      </c>
      <c r="D96" s="2" t="n">
        <v>45258</v>
      </c>
      <c r="E96" s="2" t="n">
        <v>45215</v>
      </c>
      <c r="F96" s="1" t="n">
        <v>6</v>
      </c>
      <c r="G96" s="1" t="inlineStr">
        <is>
          <t>16 quarterly tranches</t>
        </is>
      </c>
      <c r="H96" s="1" t="n">
        <v>3</v>
      </c>
      <c r="I96" s="2" t="n">
        <v>45581</v>
      </c>
      <c r="J96" s="1" t="n">
        <v>21075</v>
      </c>
      <c r="K96" s="1" t="n">
        <v>63225</v>
      </c>
      <c r="L96" s="1">
        <f>L95+J96</f>
        <v/>
      </c>
      <c r="M96" s="1">
        <f>K96-L96</f>
        <v/>
      </c>
      <c r="N96" s="1" t="n">
        <v>0</v>
      </c>
      <c r="O96" s="1" t="inlineStr">
        <is>
          <t>Vested</t>
        </is>
      </c>
    </row>
    <row r="97">
      <c r="A97" s="1" t="inlineStr">
        <is>
          <t>GR-2025-3020</t>
        </is>
      </c>
      <c r="B97" s="1" t="inlineStr">
        <is>
          <t>Wesley Hartnell</t>
        </is>
      </c>
      <c r="C97" s="1" t="inlineStr">
        <is>
          <t>Performance stock unit</t>
        </is>
      </c>
      <c r="D97" s="2" t="n">
        <v>45961</v>
      </c>
      <c r="E97" s="2" t="n">
        <v>45899</v>
      </c>
      <c r="F97" s="1" t="n">
        <v>12</v>
      </c>
      <c r="G97" s="1" t="inlineStr">
        <is>
          <t>36 months monthly, no cliff</t>
        </is>
      </c>
      <c r="H97" s="1" t="n">
        <v>1</v>
      </c>
      <c r="I97" s="2" t="n">
        <v>46264</v>
      </c>
      <c r="J97" s="1" t="n">
        <v>43213</v>
      </c>
      <c r="K97" s="1" t="n">
        <v>86426</v>
      </c>
      <c r="L97" s="1">
        <f>J97</f>
        <v/>
      </c>
      <c r="M97" s="1">
        <f>K97-L97</f>
        <v/>
      </c>
      <c r="N97" s="1" t="n">
        <v>0</v>
      </c>
      <c r="O97" s="1" t="inlineStr">
        <is>
          <t>Unvested</t>
        </is>
      </c>
    </row>
    <row r="98">
      <c r="A98" s="1" t="inlineStr">
        <is>
          <t>GR-2025-3020</t>
        </is>
      </c>
      <c r="B98" s="1" t="inlineStr">
        <is>
          <t>Wesley Hartnell</t>
        </is>
      </c>
      <c r="C98" s="1" t="inlineStr">
        <is>
          <t>Performance stock unit</t>
        </is>
      </c>
      <c r="D98" s="2" t="n">
        <v>45961</v>
      </c>
      <c r="E98" s="2" t="n">
        <v>45899</v>
      </c>
      <c r="F98" s="1" t="n">
        <v>12</v>
      </c>
      <c r="G98" s="1" t="inlineStr">
        <is>
          <t>36 months monthly, no cliff</t>
        </is>
      </c>
      <c r="H98" s="1" t="n">
        <v>2</v>
      </c>
      <c r="I98" s="2" t="n">
        <v>46356</v>
      </c>
      <c r="J98" s="1" t="n">
        <v>43213</v>
      </c>
      <c r="K98" s="1" t="n">
        <v>86426</v>
      </c>
      <c r="L98" s="1">
        <f>L97+J98</f>
        <v/>
      </c>
      <c r="M98" s="1">
        <f>K98-L98</f>
        <v/>
      </c>
      <c r="N98" s="1" t="n">
        <v>0</v>
      </c>
      <c r="O98" s="1" t="inlineStr">
        <is>
          <t>Unvested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grant_id</t>
        </is>
      </c>
      <c r="B1" s="1" t="inlineStr">
        <is>
          <t>holder</t>
        </is>
      </c>
      <c r="C1" s="1" t="inlineStr">
        <is>
          <t>award_type</t>
        </is>
      </c>
      <c r="D1" s="1" t="inlineStr">
        <is>
          <t>grant_date</t>
        </is>
      </c>
      <c r="E1" s="1" t="inlineStr">
        <is>
          <t>vest_start</t>
        </is>
      </c>
      <c r="F1" s="1" t="inlineStr">
        <is>
          <t>cliff_months</t>
        </is>
      </c>
      <c r="G1" s="1" t="inlineStr">
        <is>
          <t>schedule</t>
        </is>
      </c>
      <c r="H1" s="1" t="inlineStr">
        <is>
          <t>tranche_no</t>
        </is>
      </c>
      <c r="I1" s="1" t="inlineStr">
        <is>
          <t>tranche_date</t>
        </is>
      </c>
      <c r="J1" s="1" t="inlineStr">
        <is>
          <t>tranche_quantity</t>
        </is>
      </c>
      <c r="K1" s="1" t="inlineStr">
        <is>
          <t>grant_quantity</t>
        </is>
      </c>
      <c r="L1" s="1" t="inlineStr">
        <is>
          <t>cumulative_vested</t>
        </is>
      </c>
      <c r="M1" s="1" t="inlineStr">
        <is>
          <t>unvested</t>
        </is>
      </c>
      <c r="N1" s="1" t="inlineStr">
        <is>
          <t>forfeited</t>
        </is>
      </c>
      <c r="O1" s="1" t="inlineStr">
        <is>
          <t>status</t>
        </is>
      </c>
    </row>
    <row r="2">
      <c r="A2" s="1" t="inlineStr">
        <is>
          <t>GR-2023-4001</t>
        </is>
      </c>
      <c r="B2" s="1" t="inlineStr">
        <is>
          <t>Sasha Lindqvist</t>
        </is>
      </c>
      <c r="C2" s="1" t="inlineStr">
        <is>
          <t>Restricted stock unit</t>
        </is>
      </c>
      <c r="D2" s="2" t="n">
        <v>45191</v>
      </c>
      <c r="E2" s="2" t="n">
        <v>45158</v>
      </c>
      <c r="F2" s="1" t="n">
        <v>6</v>
      </c>
      <c r="G2" s="1" t="inlineStr">
        <is>
          <t>16 quarterly tranches</t>
        </is>
      </c>
      <c r="H2" s="1" t="n">
        <v>1</v>
      </c>
      <c r="I2" s="2" t="n">
        <v>45342</v>
      </c>
      <c r="J2" s="1" t="n">
        <v>1674</v>
      </c>
      <c r="K2" s="1" t="n">
        <v>13398</v>
      </c>
      <c r="L2" s="1">
        <f>J2</f>
        <v/>
      </c>
      <c r="M2" s="1">
        <f>K2-L2</f>
        <v/>
      </c>
      <c r="N2" s="1" t="n">
        <v>0</v>
      </c>
      <c r="O2" s="1" t="inlineStr">
        <is>
          <t>Vested</t>
        </is>
      </c>
    </row>
    <row r="3">
      <c r="A3" s="1" t="inlineStr">
        <is>
          <t>GR-2023-4001</t>
        </is>
      </c>
      <c r="B3" s="1" t="inlineStr">
        <is>
          <t>Sasha Lindqvist</t>
        </is>
      </c>
      <c r="C3" s="1" t="inlineStr">
        <is>
          <t>Restricted stock unit</t>
        </is>
      </c>
      <c r="D3" s="2" t="n">
        <v>45191</v>
      </c>
      <c r="E3" s="2" t="n">
        <v>45158</v>
      </c>
      <c r="F3" s="1" t="n">
        <v>6</v>
      </c>
      <c r="G3" s="1" t="inlineStr">
        <is>
          <t>16 quarterly tranches</t>
        </is>
      </c>
      <c r="H3" s="1" t="n">
        <v>2</v>
      </c>
      <c r="I3" s="2" t="n">
        <v>45432</v>
      </c>
      <c r="J3" s="1" t="n">
        <v>1674</v>
      </c>
      <c r="K3" s="1" t="n">
        <v>13398</v>
      </c>
      <c r="L3" s="1">
        <f>L2+J3</f>
        <v/>
      </c>
      <c r="M3" s="1">
        <f>K3-L3</f>
        <v/>
      </c>
      <c r="N3" s="1" t="n">
        <v>0</v>
      </c>
      <c r="O3" s="1" t="inlineStr">
        <is>
          <t>Vested</t>
        </is>
      </c>
    </row>
    <row r="4">
      <c r="A4" s="1" t="inlineStr">
        <is>
          <t>GR-2023-4001</t>
        </is>
      </c>
      <c r="B4" s="1" t="inlineStr">
        <is>
          <t>Sasha Lindqvist</t>
        </is>
      </c>
      <c r="C4" s="1" t="inlineStr">
        <is>
          <t>Restricted stock unit</t>
        </is>
      </c>
      <c r="D4" s="2" t="n">
        <v>45191</v>
      </c>
      <c r="E4" s="2" t="n">
        <v>45158</v>
      </c>
      <c r="F4" s="1" t="n">
        <v>6</v>
      </c>
      <c r="G4" s="1" t="inlineStr">
        <is>
          <t>16 quarterly tranches</t>
        </is>
      </c>
      <c r="H4" s="1" t="n">
        <v>3</v>
      </c>
      <c r="I4" s="2" t="n">
        <v>45524</v>
      </c>
      <c r="J4" s="1" t="n">
        <v>1674</v>
      </c>
      <c r="K4" s="1" t="n">
        <v>13398</v>
      </c>
      <c r="L4" s="1">
        <f>L3+J4</f>
        <v/>
      </c>
      <c r="M4" s="1">
        <f>K4-L4</f>
        <v/>
      </c>
      <c r="N4" s="1" t="n">
        <v>0</v>
      </c>
      <c r="O4" s="1" t="inlineStr">
        <is>
          <t>Vested</t>
        </is>
      </c>
    </row>
    <row r="5">
      <c r="A5" s="1" t="inlineStr">
        <is>
          <t>GR-2023-4001</t>
        </is>
      </c>
      <c r="B5" s="1" t="inlineStr">
        <is>
          <t>Sasha Lindqvist</t>
        </is>
      </c>
      <c r="C5" s="1" t="inlineStr">
        <is>
          <t>Restricted stock unit</t>
        </is>
      </c>
      <c r="D5" s="2" t="n">
        <v>45191</v>
      </c>
      <c r="E5" s="2" t="n">
        <v>45158</v>
      </c>
      <c r="F5" s="1" t="n">
        <v>6</v>
      </c>
      <c r="G5" s="1" t="inlineStr">
        <is>
          <t>16 quarterly tranches</t>
        </is>
      </c>
      <c r="H5" s="1" t="n">
        <v>4</v>
      </c>
      <c r="I5" s="2" t="n">
        <v>45616</v>
      </c>
      <c r="J5" s="1" t="n">
        <v>1674</v>
      </c>
      <c r="K5" s="1" t="n">
        <v>13398</v>
      </c>
      <c r="L5" s="1">
        <f>L4+J5</f>
        <v/>
      </c>
      <c r="M5" s="1">
        <f>K5-L5</f>
        <v/>
      </c>
      <c r="N5" s="1" t="n">
        <v>0</v>
      </c>
      <c r="O5" s="1" t="inlineStr">
        <is>
          <t>Vested</t>
        </is>
      </c>
    </row>
    <row r="6">
      <c r="A6" s="1" t="inlineStr">
        <is>
          <t>GR-2023-4001</t>
        </is>
      </c>
      <c r="B6" s="1" t="inlineStr">
        <is>
          <t>Sasha Lindqvist</t>
        </is>
      </c>
      <c r="C6" s="1" t="inlineStr">
        <is>
          <t>Restricted stock unit</t>
        </is>
      </c>
      <c r="D6" s="2" t="n">
        <v>45191</v>
      </c>
      <c r="E6" s="2" t="n">
        <v>45158</v>
      </c>
      <c r="F6" s="1" t="n">
        <v>6</v>
      </c>
      <c r="G6" s="1" t="inlineStr">
        <is>
          <t>16 quarterly tranches</t>
        </is>
      </c>
      <c r="H6" s="1" t="n">
        <v>5</v>
      </c>
      <c r="I6" s="2" t="n">
        <v>45708</v>
      </c>
      <c r="J6" s="1" t="n">
        <v>1674</v>
      </c>
      <c r="K6" s="1" t="n">
        <v>13398</v>
      </c>
      <c r="L6" s="1">
        <f>L5+J6</f>
        <v/>
      </c>
      <c r="M6" s="1">
        <f>K6-L6</f>
        <v/>
      </c>
      <c r="N6" s="1" t="n">
        <v>0</v>
      </c>
      <c r="O6" s="1" t="inlineStr">
        <is>
          <t>Vested</t>
        </is>
      </c>
    </row>
    <row r="7">
      <c r="A7" s="1" t="inlineStr">
        <is>
          <t>GR-2023-4001</t>
        </is>
      </c>
      <c r="B7" s="1" t="inlineStr">
        <is>
          <t>Sasha Lindqvist</t>
        </is>
      </c>
      <c r="C7" s="1" t="inlineStr">
        <is>
          <t>Restricted stock unit</t>
        </is>
      </c>
      <c r="D7" s="2" t="n">
        <v>45191</v>
      </c>
      <c r="E7" s="2" t="n">
        <v>45158</v>
      </c>
      <c r="F7" s="1" t="n">
        <v>6</v>
      </c>
      <c r="G7" s="1" t="inlineStr">
        <is>
          <t>16 quarterly tranches</t>
        </is>
      </c>
      <c r="H7" s="1" t="n">
        <v>6</v>
      </c>
      <c r="I7" s="2" t="n">
        <v>45797</v>
      </c>
      <c r="J7" s="1" t="n">
        <v>1674</v>
      </c>
      <c r="K7" s="1" t="n">
        <v>13398</v>
      </c>
      <c r="L7" s="1">
        <f>L6+J7</f>
        <v/>
      </c>
      <c r="M7" s="1">
        <f>K7-L7</f>
        <v/>
      </c>
      <c r="N7" s="1" t="n">
        <v>0</v>
      </c>
      <c r="O7" s="1" t="inlineStr">
        <is>
          <t>Vested</t>
        </is>
      </c>
    </row>
    <row r="8">
      <c r="A8" s="1" t="inlineStr">
        <is>
          <t>GR-2023-4001</t>
        </is>
      </c>
      <c r="B8" s="1" t="inlineStr">
        <is>
          <t>Sasha Lindqvist</t>
        </is>
      </c>
      <c r="C8" s="1" t="inlineStr">
        <is>
          <t>Restricted stock unit</t>
        </is>
      </c>
      <c r="D8" s="2" t="n">
        <v>45191</v>
      </c>
      <c r="E8" s="2" t="n">
        <v>45158</v>
      </c>
      <c r="F8" s="1" t="n">
        <v>6</v>
      </c>
      <c r="G8" s="1" t="inlineStr">
        <is>
          <t>16 quarterly tranches</t>
        </is>
      </c>
      <c r="H8" s="1" t="n">
        <v>7</v>
      </c>
      <c r="I8" s="2" t="n">
        <v>45889</v>
      </c>
      <c r="J8" s="1" t="n">
        <v>1674</v>
      </c>
      <c r="K8" s="1" t="n">
        <v>13398</v>
      </c>
      <c r="L8" s="1">
        <f>L7+J8</f>
        <v/>
      </c>
      <c r="M8" s="1">
        <f>K8-L8</f>
        <v/>
      </c>
      <c r="N8" s="1" t="n">
        <v>0</v>
      </c>
      <c r="O8" s="1" t="inlineStr">
        <is>
          <t>Vested</t>
        </is>
      </c>
    </row>
    <row r="9">
      <c r="A9" s="1" t="inlineStr">
        <is>
          <t>GR-2023-4001</t>
        </is>
      </c>
      <c r="B9" s="1" t="inlineStr">
        <is>
          <t>Sasha Lindqvist</t>
        </is>
      </c>
      <c r="C9" s="1" t="inlineStr">
        <is>
          <t>Restricted stock unit</t>
        </is>
      </c>
      <c r="D9" s="2" t="n">
        <v>45191</v>
      </c>
      <c r="E9" s="2" t="n">
        <v>45158</v>
      </c>
      <c r="F9" s="1" t="n">
        <v>6</v>
      </c>
      <c r="G9" s="1" t="inlineStr">
        <is>
          <t>16 quarterly tranches</t>
        </is>
      </c>
      <c r="H9" s="1" t="n">
        <v>8</v>
      </c>
      <c r="I9" s="2" t="n">
        <v>45981</v>
      </c>
      <c r="J9" s="1" t="n">
        <v>1680</v>
      </c>
      <c r="K9" s="1" t="n">
        <v>13398</v>
      </c>
      <c r="L9" s="1">
        <f>L8+J9</f>
        <v/>
      </c>
      <c r="M9" s="1">
        <f>K9-L9</f>
        <v/>
      </c>
      <c r="N9" s="1" t="n">
        <v>0</v>
      </c>
      <c r="O9" s="1" t="inlineStr">
        <is>
          <t>Vested</t>
        </is>
      </c>
    </row>
    <row r="10">
      <c r="A10" s="1" t="inlineStr">
        <is>
          <t>GR-2023-4002</t>
        </is>
      </c>
      <c r="B10" s="1" t="inlineStr">
        <is>
          <t>Winifred Achebe</t>
        </is>
      </c>
      <c r="C10" s="1" t="inlineStr">
        <is>
          <t>Nonqualified stock option</t>
        </is>
      </c>
      <c r="D10" s="2" t="n">
        <v>45014</v>
      </c>
      <c r="E10" s="2" t="n">
        <v>44947</v>
      </c>
      <c r="F10" s="1" t="n">
        <v>0</v>
      </c>
      <c r="G10" s="1" t="inlineStr">
        <is>
          <t>16 quarterly tranches</t>
        </is>
      </c>
      <c r="H10" s="1" t="n">
        <v>1</v>
      </c>
      <c r="I10" s="2" t="n">
        <v>44947</v>
      </c>
      <c r="J10" s="1" t="n">
        <v>9705</v>
      </c>
      <c r="K10" s="1" t="n">
        <v>67936</v>
      </c>
      <c r="L10" s="1">
        <f>J10</f>
        <v/>
      </c>
      <c r="M10" s="1">
        <f>K10-L10</f>
        <v/>
      </c>
      <c r="N10" s="1" t="n">
        <v>0</v>
      </c>
      <c r="O10" s="1" t="inlineStr">
        <is>
          <t>Vested</t>
        </is>
      </c>
    </row>
    <row r="11">
      <c r="A11" s="1" t="inlineStr">
        <is>
          <t>GR-2023-4002</t>
        </is>
      </c>
      <c r="B11" s="1" t="inlineStr">
        <is>
          <t>Winifred Achebe</t>
        </is>
      </c>
      <c r="C11" s="1" t="inlineStr">
        <is>
          <t>Nonqualified stock option</t>
        </is>
      </c>
      <c r="D11" s="2" t="n">
        <v>45014</v>
      </c>
      <c r="E11" s="2" t="n">
        <v>44947</v>
      </c>
      <c r="F11" s="1" t="n">
        <v>0</v>
      </c>
      <c r="G11" s="1" t="inlineStr">
        <is>
          <t>16 quarterly tranches</t>
        </is>
      </c>
      <c r="H11" s="1" t="n">
        <v>2</v>
      </c>
      <c r="I11" s="2" t="n">
        <v>45037</v>
      </c>
      <c r="J11" s="1" t="n">
        <v>9705</v>
      </c>
      <c r="K11" s="1" t="n">
        <v>67936</v>
      </c>
      <c r="L11" s="1">
        <f>L10+J11</f>
        <v/>
      </c>
      <c r="M11" s="1">
        <f>K11-L11</f>
        <v/>
      </c>
      <c r="N11" s="1" t="n">
        <v>0</v>
      </c>
      <c r="O11" s="1" t="inlineStr">
        <is>
          <t>Vested</t>
        </is>
      </c>
    </row>
    <row r="12">
      <c r="A12" s="1" t="inlineStr">
        <is>
          <t>GR-2023-4002</t>
        </is>
      </c>
      <c r="B12" s="1" t="inlineStr">
        <is>
          <t>Winifred Achebe</t>
        </is>
      </c>
      <c r="C12" s="1" t="inlineStr">
        <is>
          <t>Nonqualified stock option</t>
        </is>
      </c>
      <c r="D12" s="2" t="n">
        <v>45014</v>
      </c>
      <c r="E12" s="2" t="n">
        <v>44947</v>
      </c>
      <c r="F12" s="1" t="n">
        <v>0</v>
      </c>
      <c r="G12" s="1" t="inlineStr">
        <is>
          <t>16 quarterly tranches</t>
        </is>
      </c>
      <c r="H12" s="1" t="n">
        <v>3</v>
      </c>
      <c r="I12" s="2" t="n">
        <v>45128</v>
      </c>
      <c r="J12" s="1" t="n">
        <v>9705</v>
      </c>
      <c r="K12" s="1" t="n">
        <v>67936</v>
      </c>
      <c r="L12" s="1">
        <f>L11+J12</f>
        <v/>
      </c>
      <c r="M12" s="1">
        <f>K12-L12</f>
        <v/>
      </c>
      <c r="N12" s="1" t="n">
        <v>0</v>
      </c>
      <c r="O12" s="1" t="inlineStr">
        <is>
          <t>Vested</t>
        </is>
      </c>
    </row>
    <row r="13">
      <c r="A13" s="1" t="inlineStr">
        <is>
          <t>GR-2023-4002</t>
        </is>
      </c>
      <c r="B13" s="1" t="inlineStr">
        <is>
          <t>Winifred Achebe</t>
        </is>
      </c>
      <c r="C13" s="1" t="inlineStr">
        <is>
          <t>Nonqualified stock option</t>
        </is>
      </c>
      <c r="D13" s="2" t="n">
        <v>45014</v>
      </c>
      <c r="E13" s="2" t="n">
        <v>44947</v>
      </c>
      <c r="F13" s="1" t="n">
        <v>0</v>
      </c>
      <c r="G13" s="1" t="inlineStr">
        <is>
          <t>16 quarterly tranches</t>
        </is>
      </c>
      <c r="H13" s="1" t="n">
        <v>4</v>
      </c>
      <c r="I13" s="2" t="n">
        <v>45220</v>
      </c>
      <c r="J13" s="1" t="n">
        <v>9705</v>
      </c>
      <c r="K13" s="1" t="n">
        <v>67936</v>
      </c>
      <c r="L13" s="1">
        <f>L12+J13</f>
        <v/>
      </c>
      <c r="M13" s="1">
        <f>K13-L13</f>
        <v/>
      </c>
      <c r="N13" s="1" t="n">
        <v>0</v>
      </c>
      <c r="O13" s="1" t="inlineStr">
        <is>
          <t>Vested</t>
        </is>
      </c>
    </row>
    <row r="14">
      <c r="A14" s="1" t="inlineStr">
        <is>
          <t>GR-2023-4002</t>
        </is>
      </c>
      <c r="B14" s="1" t="inlineStr">
        <is>
          <t>Winifred Achebe</t>
        </is>
      </c>
      <c r="C14" s="1" t="inlineStr">
        <is>
          <t>Nonqualified stock option</t>
        </is>
      </c>
      <c r="D14" s="2" t="n">
        <v>45014</v>
      </c>
      <c r="E14" s="2" t="n">
        <v>44947</v>
      </c>
      <c r="F14" s="1" t="n">
        <v>0</v>
      </c>
      <c r="G14" s="1" t="inlineStr">
        <is>
          <t>16 quarterly tranches</t>
        </is>
      </c>
      <c r="H14" s="1" t="n">
        <v>5</v>
      </c>
      <c r="I14" s="2" t="n">
        <v>45312</v>
      </c>
      <c r="J14" s="1" t="n">
        <v>9705</v>
      </c>
      <c r="K14" s="1" t="n">
        <v>67936</v>
      </c>
      <c r="L14" s="1">
        <f>L13+J14</f>
        <v/>
      </c>
      <c r="M14" s="1">
        <f>K14-L14</f>
        <v/>
      </c>
      <c r="N14" s="1" t="n">
        <v>0</v>
      </c>
      <c r="O14" s="1" t="inlineStr">
        <is>
          <t>Vested</t>
        </is>
      </c>
    </row>
    <row r="15">
      <c r="A15" s="1" t="inlineStr">
        <is>
          <t>GR-2023-4002</t>
        </is>
      </c>
      <c r="B15" s="1" t="inlineStr">
        <is>
          <t>Winifred Achebe</t>
        </is>
      </c>
      <c r="C15" s="1" t="inlineStr">
        <is>
          <t>Nonqualified stock option</t>
        </is>
      </c>
      <c r="D15" s="2" t="n">
        <v>45014</v>
      </c>
      <c r="E15" s="2" t="n">
        <v>44947</v>
      </c>
      <c r="F15" s="1" t="n">
        <v>0</v>
      </c>
      <c r="G15" s="1" t="inlineStr">
        <is>
          <t>16 quarterly tranches</t>
        </is>
      </c>
      <c r="H15" s="1" t="n">
        <v>6</v>
      </c>
      <c r="I15" s="2" t="n">
        <v>45403</v>
      </c>
      <c r="J15" s="1" t="n">
        <v>9705</v>
      </c>
      <c r="K15" s="1" t="n">
        <v>67936</v>
      </c>
      <c r="L15" s="1">
        <f>L14+J15</f>
        <v/>
      </c>
      <c r="M15" s="1">
        <f>K15-L15</f>
        <v/>
      </c>
      <c r="N15" s="1" t="n">
        <v>0</v>
      </c>
      <c r="O15" s="1" t="inlineStr">
        <is>
          <t>Vested</t>
        </is>
      </c>
    </row>
    <row r="16">
      <c r="A16" s="1" t="inlineStr">
        <is>
          <t>GR-2023-4002</t>
        </is>
      </c>
      <c r="B16" s="1" t="inlineStr">
        <is>
          <t>Winifred Achebe</t>
        </is>
      </c>
      <c r="C16" s="1" t="inlineStr">
        <is>
          <t>Nonqualified stock option</t>
        </is>
      </c>
      <c r="D16" s="2" t="n">
        <v>45014</v>
      </c>
      <c r="E16" s="2" t="n">
        <v>44947</v>
      </c>
      <c r="F16" s="1" t="n">
        <v>0</v>
      </c>
      <c r="G16" s="1" t="inlineStr">
        <is>
          <t>16 quarterly tranches</t>
        </is>
      </c>
      <c r="H16" s="1" t="n">
        <v>7</v>
      </c>
      <c r="I16" s="2" t="n">
        <v>45494</v>
      </c>
      <c r="J16" s="1" t="n">
        <v>9706</v>
      </c>
      <c r="K16" s="1" t="n">
        <v>67936</v>
      </c>
      <c r="L16" s="1">
        <f>L15+J16</f>
        <v/>
      </c>
      <c r="M16" s="1">
        <f>K16-L16</f>
        <v/>
      </c>
      <c r="N16" s="1" t="n">
        <v>0</v>
      </c>
      <c r="O16" s="1" t="inlineStr">
        <is>
          <t>Vested</t>
        </is>
      </c>
    </row>
    <row r="17">
      <c r="A17" s="1" t="inlineStr">
        <is>
          <t>GR-2023-4003</t>
        </is>
      </c>
      <c r="B17" s="1" t="inlineStr">
        <is>
          <t>Bartholomew Ng</t>
        </is>
      </c>
      <c r="C17" s="1" t="inlineStr">
        <is>
          <t>Nonqualified stock option</t>
        </is>
      </c>
      <c r="D17" s="2" t="n">
        <v>45239</v>
      </c>
      <c r="E17" s="2" t="n">
        <v>45156</v>
      </c>
      <c r="F17" s="1" t="n">
        <v>12</v>
      </c>
      <c r="G17" s="1" t="inlineStr">
        <is>
          <t>16 quarterly tranches</t>
        </is>
      </c>
      <c r="H17" s="1" t="n">
        <v>1</v>
      </c>
      <c r="I17" s="2" t="n">
        <v>45522</v>
      </c>
      <c r="J17" s="1" t="n">
        <v>967</v>
      </c>
      <c r="K17" s="1" t="n">
        <v>3870</v>
      </c>
      <c r="L17" s="1">
        <f>J17</f>
        <v/>
      </c>
      <c r="M17" s="1">
        <f>K17-L17</f>
        <v/>
      </c>
      <c r="N17" s="1" t="n">
        <v>0</v>
      </c>
      <c r="O17" s="1" t="inlineStr">
        <is>
          <t>Vested</t>
        </is>
      </c>
    </row>
    <row r="18">
      <c r="A18" s="1" t="inlineStr">
        <is>
          <t>GR-2023-4003</t>
        </is>
      </c>
      <c r="B18" s="1" t="inlineStr">
        <is>
          <t>Bartholomew Ng</t>
        </is>
      </c>
      <c r="C18" s="1" t="inlineStr">
        <is>
          <t>Nonqualified stock option</t>
        </is>
      </c>
      <c r="D18" s="2" t="n">
        <v>45239</v>
      </c>
      <c r="E18" s="2" t="n">
        <v>45156</v>
      </c>
      <c r="F18" s="1" t="n">
        <v>12</v>
      </c>
      <c r="G18" s="1" t="inlineStr">
        <is>
          <t>16 quarterly tranches</t>
        </is>
      </c>
      <c r="H18" s="1" t="n">
        <v>2</v>
      </c>
      <c r="I18" s="2" t="n">
        <v>45614</v>
      </c>
      <c r="J18" s="1" t="n">
        <v>967</v>
      </c>
      <c r="K18" s="1" t="n">
        <v>3870</v>
      </c>
      <c r="L18" s="1">
        <f>L17+J18</f>
        <v/>
      </c>
      <c r="M18" s="1">
        <f>K18-L18</f>
        <v/>
      </c>
      <c r="N18" s="1" t="n">
        <v>0</v>
      </c>
      <c r="O18" s="1" t="inlineStr">
        <is>
          <t>Vested</t>
        </is>
      </c>
    </row>
    <row r="19">
      <c r="A19" s="1" t="inlineStr">
        <is>
          <t>GR-2023-4003</t>
        </is>
      </c>
      <c r="B19" s="1" t="inlineStr">
        <is>
          <t>Bartholomew Ng</t>
        </is>
      </c>
      <c r="C19" s="1" t="inlineStr">
        <is>
          <t>Nonqualified stock option</t>
        </is>
      </c>
      <c r="D19" s="2" t="n">
        <v>45239</v>
      </c>
      <c r="E19" s="2" t="n">
        <v>45156</v>
      </c>
      <c r="F19" s="1" t="n">
        <v>12</v>
      </c>
      <c r="G19" s="1" t="inlineStr">
        <is>
          <t>16 quarterly tranches</t>
        </is>
      </c>
      <c r="H19" s="1" t="n">
        <v>3</v>
      </c>
      <c r="I19" s="2" t="n">
        <v>45706</v>
      </c>
      <c r="J19" s="1" t="n">
        <v>967</v>
      </c>
      <c r="K19" s="1" t="n">
        <v>3870</v>
      </c>
      <c r="L19" s="1">
        <f>L18+J19</f>
        <v/>
      </c>
      <c r="M19" s="1">
        <f>K19-L19</f>
        <v/>
      </c>
      <c r="N19" s="1" t="n">
        <v>0</v>
      </c>
      <c r="O19" s="1" t="inlineStr">
        <is>
          <t>Vested</t>
        </is>
      </c>
    </row>
    <row r="20">
      <c r="A20" s="1" t="inlineStr">
        <is>
          <t>GR-2023-4003</t>
        </is>
      </c>
      <c r="B20" s="1" t="inlineStr">
        <is>
          <t>Bartholomew Ng</t>
        </is>
      </c>
      <c r="C20" s="1" t="inlineStr">
        <is>
          <t>Nonqualified stock option</t>
        </is>
      </c>
      <c r="D20" s="2" t="n">
        <v>45239</v>
      </c>
      <c r="E20" s="2" t="n">
        <v>45156</v>
      </c>
      <c r="F20" s="1" t="n">
        <v>12</v>
      </c>
      <c r="G20" s="1" t="inlineStr">
        <is>
          <t>16 quarterly tranches</t>
        </is>
      </c>
      <c r="H20" s="1" t="n">
        <v>4</v>
      </c>
      <c r="I20" s="2" t="n">
        <v>45795</v>
      </c>
      <c r="J20" s="1" t="n">
        <v>969</v>
      </c>
      <c r="K20" s="1" t="n">
        <v>3870</v>
      </c>
      <c r="L20" s="1">
        <f>L19+J20</f>
        <v/>
      </c>
      <c r="M20" s="1">
        <f>K20-L20</f>
        <v/>
      </c>
      <c r="N20" s="1" t="n">
        <v>0</v>
      </c>
      <c r="O20" s="1" t="inlineStr">
        <is>
          <t>Vested</t>
        </is>
      </c>
    </row>
    <row r="21">
      <c r="A21" s="1" t="inlineStr">
        <is>
          <t>GR-2024-4004</t>
        </is>
      </c>
      <c r="B21" s="1" t="inlineStr">
        <is>
          <t>Camila Duarte</t>
        </is>
      </c>
      <c r="C21" s="1" t="inlineStr">
        <is>
          <t>Incentive stock option</t>
        </is>
      </c>
      <c r="D21" s="2" t="n">
        <v>45611</v>
      </c>
      <c r="E21" s="2" t="n">
        <v>45527</v>
      </c>
      <c r="F21" s="1" t="n">
        <v>12</v>
      </c>
      <c r="G21" s="1" t="inlineStr">
        <is>
          <t>48 months monthly after a 12-month cliff</t>
        </is>
      </c>
      <c r="H21" s="1" t="n">
        <v>1</v>
      </c>
      <c r="I21" s="2" t="n">
        <v>45892</v>
      </c>
      <c r="J21" s="1" t="n">
        <v>11534</v>
      </c>
      <c r="K21" s="1" t="n">
        <v>57672</v>
      </c>
      <c r="L21" s="1">
        <f>J21</f>
        <v/>
      </c>
      <c r="M21" s="1">
        <f>K21-L21</f>
        <v/>
      </c>
      <c r="N21" s="1" t="n">
        <v>0</v>
      </c>
      <c r="O21" s="1" t="inlineStr">
        <is>
          <t>Vested</t>
        </is>
      </c>
    </row>
    <row r="22">
      <c r="A22" s="1" t="inlineStr">
        <is>
          <t>GR-2024-4004</t>
        </is>
      </c>
      <c r="B22" s="1" t="inlineStr">
        <is>
          <t>Camila Duarte</t>
        </is>
      </c>
      <c r="C22" s="1" t="inlineStr">
        <is>
          <t>Incentive stock option</t>
        </is>
      </c>
      <c r="D22" s="2" t="n">
        <v>45611</v>
      </c>
      <c r="E22" s="2" t="n">
        <v>45527</v>
      </c>
      <c r="F22" s="1" t="n">
        <v>12</v>
      </c>
      <c r="G22" s="1" t="inlineStr">
        <is>
          <t>48 months monthly after a 12-month cliff</t>
        </is>
      </c>
      <c r="H22" s="1" t="n">
        <v>2</v>
      </c>
      <c r="I22" s="2" t="n">
        <v>45984</v>
      </c>
      <c r="J22" s="1" t="n">
        <v>11534</v>
      </c>
      <c r="K22" s="1" t="n">
        <v>57672</v>
      </c>
      <c r="L22" s="1">
        <f>L21+J22</f>
        <v/>
      </c>
      <c r="M22" s="1">
        <f>K22-L22</f>
        <v/>
      </c>
      <c r="N22" s="1" t="n">
        <v>0</v>
      </c>
      <c r="O22" s="1" t="inlineStr">
        <is>
          <t>Vested</t>
        </is>
      </c>
    </row>
    <row r="23">
      <c r="A23" s="1" t="inlineStr">
        <is>
          <t>GR-2024-4004</t>
        </is>
      </c>
      <c r="B23" s="1" t="inlineStr">
        <is>
          <t>Camila Duarte</t>
        </is>
      </c>
      <c r="C23" s="1" t="inlineStr">
        <is>
          <t>Incentive stock option</t>
        </is>
      </c>
      <c r="D23" s="2" t="n">
        <v>45611</v>
      </c>
      <c r="E23" s="2" t="n">
        <v>45527</v>
      </c>
      <c r="F23" s="1" t="n">
        <v>12</v>
      </c>
      <c r="G23" s="1" t="inlineStr">
        <is>
          <t>48 months monthly after a 12-month cliff</t>
        </is>
      </c>
      <c r="H23" s="1" t="n">
        <v>3</v>
      </c>
      <c r="I23" s="2" t="n">
        <v>46076</v>
      </c>
      <c r="J23" s="1" t="n">
        <v>11534</v>
      </c>
      <c r="K23" s="1" t="n">
        <v>57672</v>
      </c>
      <c r="L23" s="1">
        <f>L22+J23</f>
        <v/>
      </c>
      <c r="M23" s="1">
        <f>K23-L23</f>
        <v/>
      </c>
      <c r="N23" s="1" t="n">
        <v>0</v>
      </c>
      <c r="O23" s="1" t="inlineStr">
        <is>
          <t>Vested</t>
        </is>
      </c>
    </row>
    <row r="24">
      <c r="A24" s="1" t="inlineStr">
        <is>
          <t>GR-2024-4004</t>
        </is>
      </c>
      <c r="B24" s="1" t="inlineStr">
        <is>
          <t>Camila Duarte</t>
        </is>
      </c>
      <c r="C24" s="1" t="inlineStr">
        <is>
          <t>Incentive stock option</t>
        </is>
      </c>
      <c r="D24" s="2" t="n">
        <v>45611</v>
      </c>
      <c r="E24" s="2" t="n">
        <v>45527</v>
      </c>
      <c r="F24" s="1" t="n">
        <v>12</v>
      </c>
      <c r="G24" s="1" t="inlineStr">
        <is>
          <t>48 months monthly after a 12-month cliff</t>
        </is>
      </c>
      <c r="H24" s="1" t="n">
        <v>4</v>
      </c>
      <c r="I24" s="2" t="n">
        <v>46165</v>
      </c>
      <c r="J24" s="1" t="n">
        <v>11534</v>
      </c>
      <c r="K24" s="1" t="n">
        <v>57672</v>
      </c>
      <c r="L24" s="1">
        <f>L23+J24</f>
        <v/>
      </c>
      <c r="M24" s="1">
        <f>K24-L24</f>
        <v/>
      </c>
      <c r="N24" s="1" t="n">
        <v>0</v>
      </c>
      <c r="O24" s="1" t="inlineStr">
        <is>
          <t>Vested</t>
        </is>
      </c>
    </row>
    <row r="25">
      <c r="A25" s="1" t="inlineStr">
        <is>
          <t>GR-2024-4004</t>
        </is>
      </c>
      <c r="B25" s="1" t="inlineStr">
        <is>
          <t>Camila Duarte</t>
        </is>
      </c>
      <c r="C25" s="1" t="inlineStr">
        <is>
          <t>Incentive stock option</t>
        </is>
      </c>
      <c r="D25" s="2" t="n">
        <v>45611</v>
      </c>
      <c r="E25" s="2" t="n">
        <v>45527</v>
      </c>
      <c r="F25" s="1" t="n">
        <v>12</v>
      </c>
      <c r="G25" s="1" t="inlineStr">
        <is>
          <t>48 months monthly after a 12-month cliff</t>
        </is>
      </c>
      <c r="H25" s="1" t="n">
        <v>5</v>
      </c>
      <c r="I25" s="2" t="n">
        <v>46257</v>
      </c>
      <c r="J25" s="1" t="n">
        <v>11536</v>
      </c>
      <c r="K25" s="1" t="n">
        <v>57672</v>
      </c>
      <c r="L25" s="1">
        <f>L24+J25</f>
        <v/>
      </c>
      <c r="M25" s="1">
        <f>K25-L25</f>
        <v/>
      </c>
      <c r="N25" s="1" t="n">
        <v>0</v>
      </c>
      <c r="O25" s="1" t="inlineStr">
        <is>
          <t>Unvested</t>
        </is>
      </c>
    </row>
    <row r="26">
      <c r="A26" s="1" t="inlineStr">
        <is>
          <t>GR-2023-4005</t>
        </is>
      </c>
      <c r="B26" s="1" t="inlineStr">
        <is>
          <t>Sunniva Aalto</t>
        </is>
      </c>
      <c r="C26" s="1" t="inlineStr">
        <is>
          <t>Incentive stock option</t>
        </is>
      </c>
      <c r="D26" s="2" t="n">
        <v>45097</v>
      </c>
      <c r="E26" s="2" t="n">
        <v>45044</v>
      </c>
      <c r="F26" s="1" t="n">
        <v>6</v>
      </c>
      <c r="G26" s="1" t="inlineStr">
        <is>
          <t>36 months monthly, no cliff</t>
        </is>
      </c>
      <c r="H26" s="1" t="n">
        <v>1</v>
      </c>
      <c r="I26" s="2" t="n">
        <v>45227</v>
      </c>
      <c r="J26" s="1" t="n">
        <v>4299</v>
      </c>
      <c r="K26" s="1" t="n">
        <v>34398</v>
      </c>
      <c r="L26" s="1">
        <f>J26</f>
        <v/>
      </c>
      <c r="M26" s="1">
        <f>K26-L26</f>
        <v/>
      </c>
      <c r="N26" s="1" t="n">
        <v>0</v>
      </c>
      <c r="O26" s="1" t="inlineStr">
        <is>
          <t>Vested</t>
        </is>
      </c>
    </row>
    <row r="27">
      <c r="A27" s="1" t="inlineStr">
        <is>
          <t>GR-2023-4005</t>
        </is>
      </c>
      <c r="B27" s="1" t="inlineStr">
        <is>
          <t>Sunniva Aalto</t>
        </is>
      </c>
      <c r="C27" s="1" t="inlineStr">
        <is>
          <t>Incentive stock option</t>
        </is>
      </c>
      <c r="D27" s="2" t="n">
        <v>45097</v>
      </c>
      <c r="E27" s="2" t="n">
        <v>45044</v>
      </c>
      <c r="F27" s="1" t="n">
        <v>6</v>
      </c>
      <c r="G27" s="1" t="inlineStr">
        <is>
          <t>36 months monthly, no cliff</t>
        </is>
      </c>
      <c r="H27" s="1" t="n">
        <v>2</v>
      </c>
      <c r="I27" s="2" t="n">
        <v>45319</v>
      </c>
      <c r="J27" s="1" t="n">
        <v>4299</v>
      </c>
      <c r="K27" s="1" t="n">
        <v>34398</v>
      </c>
      <c r="L27" s="1">
        <f>L26+J27</f>
        <v/>
      </c>
      <c r="M27" s="1">
        <f>K27-L27</f>
        <v/>
      </c>
      <c r="N27" s="1" t="n">
        <v>0</v>
      </c>
      <c r="O27" s="1" t="inlineStr">
        <is>
          <t>Vested</t>
        </is>
      </c>
    </row>
    <row r="28">
      <c r="A28" s="1" t="inlineStr">
        <is>
          <t>GR-2023-4005</t>
        </is>
      </c>
      <c r="B28" s="1" t="inlineStr">
        <is>
          <t>Sunniva Aalto</t>
        </is>
      </c>
      <c r="C28" s="1" t="inlineStr">
        <is>
          <t>Incentive stock option</t>
        </is>
      </c>
      <c r="D28" s="2" t="n">
        <v>45097</v>
      </c>
      <c r="E28" s="2" t="n">
        <v>45044</v>
      </c>
      <c r="F28" s="1" t="n">
        <v>6</v>
      </c>
      <c r="G28" s="1" t="inlineStr">
        <is>
          <t>36 months monthly, no cliff</t>
        </is>
      </c>
      <c r="H28" s="1" t="n">
        <v>3</v>
      </c>
      <c r="I28" s="2" t="n">
        <v>45410</v>
      </c>
      <c r="J28" s="1" t="n">
        <v>4299</v>
      </c>
      <c r="K28" s="1" t="n">
        <v>34398</v>
      </c>
      <c r="L28" s="1">
        <f>L27+J28</f>
        <v/>
      </c>
      <c r="M28" s="1">
        <f>K28-L28</f>
        <v/>
      </c>
      <c r="N28" s="1" t="n">
        <v>0</v>
      </c>
      <c r="O28" s="1" t="inlineStr">
        <is>
          <t>Vested</t>
        </is>
      </c>
    </row>
    <row r="29">
      <c r="A29" s="1" t="inlineStr">
        <is>
          <t>GR-2023-4005</t>
        </is>
      </c>
      <c r="B29" s="1" t="inlineStr">
        <is>
          <t>Sunniva Aalto</t>
        </is>
      </c>
      <c r="C29" s="1" t="inlineStr">
        <is>
          <t>Incentive stock option</t>
        </is>
      </c>
      <c r="D29" s="2" t="n">
        <v>45097</v>
      </c>
      <c r="E29" s="2" t="n">
        <v>45044</v>
      </c>
      <c r="F29" s="1" t="n">
        <v>6</v>
      </c>
      <c r="G29" s="1" t="inlineStr">
        <is>
          <t>36 months monthly, no cliff</t>
        </is>
      </c>
      <c r="H29" s="1" t="n">
        <v>4</v>
      </c>
      <c r="I29" s="2" t="n">
        <v>45501</v>
      </c>
      <c r="J29" s="1" t="n">
        <v>4299</v>
      </c>
      <c r="K29" s="1" t="n">
        <v>34398</v>
      </c>
      <c r="L29" s="1">
        <f>L28+J29</f>
        <v/>
      </c>
      <c r="M29" s="1">
        <f>K29-L29</f>
        <v/>
      </c>
      <c r="N29" s="1" t="n">
        <v>0</v>
      </c>
      <c r="O29" s="1" t="inlineStr">
        <is>
          <t>Vested</t>
        </is>
      </c>
    </row>
    <row r="30">
      <c r="A30" s="1" t="inlineStr">
        <is>
          <t>GR-2023-4005</t>
        </is>
      </c>
      <c r="B30" s="1" t="inlineStr">
        <is>
          <t>Sunniva Aalto</t>
        </is>
      </c>
      <c r="C30" s="1" t="inlineStr">
        <is>
          <t>Incentive stock option</t>
        </is>
      </c>
      <c r="D30" s="2" t="n">
        <v>45097</v>
      </c>
      <c r="E30" s="2" t="n">
        <v>45044</v>
      </c>
      <c r="F30" s="1" t="n">
        <v>6</v>
      </c>
      <c r="G30" s="1" t="inlineStr">
        <is>
          <t>36 months monthly, no cliff</t>
        </is>
      </c>
      <c r="H30" s="1" t="n">
        <v>5</v>
      </c>
      <c r="I30" s="2" t="n">
        <v>45593</v>
      </c>
      <c r="J30" s="1" t="n">
        <v>4299</v>
      </c>
      <c r="K30" s="1" t="n">
        <v>34398</v>
      </c>
      <c r="L30" s="1">
        <f>L29+J30</f>
        <v/>
      </c>
      <c r="M30" s="1">
        <f>K30-L30</f>
        <v/>
      </c>
      <c r="N30" s="1" t="n">
        <v>0</v>
      </c>
      <c r="O30" s="1" t="inlineStr">
        <is>
          <t>Vested</t>
        </is>
      </c>
    </row>
    <row r="31">
      <c r="A31" s="1" t="inlineStr">
        <is>
          <t>GR-2023-4005</t>
        </is>
      </c>
      <c r="B31" s="1" t="inlineStr">
        <is>
          <t>Sunniva Aalto</t>
        </is>
      </c>
      <c r="C31" s="1" t="inlineStr">
        <is>
          <t>Incentive stock option</t>
        </is>
      </c>
      <c r="D31" s="2" t="n">
        <v>45097</v>
      </c>
      <c r="E31" s="2" t="n">
        <v>45044</v>
      </c>
      <c r="F31" s="1" t="n">
        <v>6</v>
      </c>
      <c r="G31" s="1" t="inlineStr">
        <is>
          <t>36 months monthly, no cliff</t>
        </is>
      </c>
      <c r="H31" s="1" t="n">
        <v>6</v>
      </c>
      <c r="I31" s="2" t="n">
        <v>45685</v>
      </c>
      <c r="J31" s="1" t="n">
        <v>4299</v>
      </c>
      <c r="K31" s="1" t="n">
        <v>34398</v>
      </c>
      <c r="L31" s="1">
        <f>L30+J31</f>
        <v/>
      </c>
      <c r="M31" s="1">
        <f>K31-L31</f>
        <v/>
      </c>
      <c r="N31" s="1" t="n">
        <v>0</v>
      </c>
      <c r="O31" s="1" t="inlineStr">
        <is>
          <t>Vested</t>
        </is>
      </c>
    </row>
    <row r="32">
      <c r="A32" s="1" t="inlineStr">
        <is>
          <t>GR-2023-4005</t>
        </is>
      </c>
      <c r="B32" s="1" t="inlineStr">
        <is>
          <t>Sunniva Aalto</t>
        </is>
      </c>
      <c r="C32" s="1" t="inlineStr">
        <is>
          <t>Incentive stock option</t>
        </is>
      </c>
      <c r="D32" s="2" t="n">
        <v>45097</v>
      </c>
      <c r="E32" s="2" t="n">
        <v>45044</v>
      </c>
      <c r="F32" s="1" t="n">
        <v>6</v>
      </c>
      <c r="G32" s="1" t="inlineStr">
        <is>
          <t>36 months monthly, no cliff</t>
        </is>
      </c>
      <c r="H32" s="1" t="n">
        <v>7</v>
      </c>
      <c r="I32" s="2" t="n">
        <v>45775</v>
      </c>
      <c r="J32" s="1" t="n">
        <v>4299</v>
      </c>
      <c r="K32" s="1" t="n">
        <v>34398</v>
      </c>
      <c r="L32" s="1">
        <f>L31+J32</f>
        <v/>
      </c>
      <c r="M32" s="1">
        <f>K32-L32</f>
        <v/>
      </c>
      <c r="N32" s="1" t="n">
        <v>0</v>
      </c>
      <c r="O32" s="1" t="inlineStr">
        <is>
          <t>Vested</t>
        </is>
      </c>
    </row>
    <row r="33">
      <c r="A33" s="1" t="inlineStr">
        <is>
          <t>GR-2023-4005</t>
        </is>
      </c>
      <c r="B33" s="1" t="inlineStr">
        <is>
          <t>Sunniva Aalto</t>
        </is>
      </c>
      <c r="C33" s="1" t="inlineStr">
        <is>
          <t>Incentive stock option</t>
        </is>
      </c>
      <c r="D33" s="2" t="n">
        <v>45097</v>
      </c>
      <c r="E33" s="2" t="n">
        <v>45044</v>
      </c>
      <c r="F33" s="1" t="n">
        <v>6</v>
      </c>
      <c r="G33" s="1" t="inlineStr">
        <is>
          <t>36 months monthly, no cliff</t>
        </is>
      </c>
      <c r="H33" s="1" t="n">
        <v>8</v>
      </c>
      <c r="I33" s="2" t="n">
        <v>45866</v>
      </c>
      <c r="J33" s="1" t="n">
        <v>4305</v>
      </c>
      <c r="K33" s="1" t="n">
        <v>34398</v>
      </c>
      <c r="L33" s="1">
        <f>L32+J33</f>
        <v/>
      </c>
      <c r="M33" s="1">
        <f>K33-L33</f>
        <v/>
      </c>
      <c r="N33" s="1" t="n">
        <v>0</v>
      </c>
      <c r="O33" s="1" t="inlineStr">
        <is>
          <t>Vested</t>
        </is>
      </c>
    </row>
    <row r="34">
      <c r="A34" s="1" t="inlineStr">
        <is>
          <t>GR-2022-4006</t>
        </is>
      </c>
      <c r="B34" s="1" t="inlineStr">
        <is>
          <t>Yuki Sandoval</t>
        </is>
      </c>
      <c r="C34" s="1" t="inlineStr">
        <is>
          <t>Restricted stock unit</t>
        </is>
      </c>
      <c r="D34" s="2" t="n">
        <v>44824</v>
      </c>
      <c r="E34" s="2" t="n">
        <v>44821</v>
      </c>
      <c r="F34" s="1" t="n">
        <v>12</v>
      </c>
      <c r="G34" s="1" t="inlineStr">
        <is>
          <t>Performance tranches on board certification</t>
        </is>
      </c>
      <c r="H34" s="1" t="n">
        <v>1</v>
      </c>
      <c r="I34" s="2" t="n">
        <v>45186</v>
      </c>
      <c r="J34" s="1" t="n">
        <v>21586</v>
      </c>
      <c r="K34" s="1" t="n">
        <v>86346</v>
      </c>
      <c r="L34" s="1">
        <f>J34</f>
        <v/>
      </c>
      <c r="M34" s="1">
        <f>K34-L34</f>
        <v/>
      </c>
      <c r="N34" s="1" t="n">
        <v>0</v>
      </c>
      <c r="O34" s="1" t="inlineStr">
        <is>
          <t>Vested</t>
        </is>
      </c>
    </row>
    <row r="35">
      <c r="A35" s="1" t="inlineStr">
        <is>
          <t>GR-2022-4006</t>
        </is>
      </c>
      <c r="B35" s="1" t="inlineStr">
        <is>
          <t>Yuki Sandoval</t>
        </is>
      </c>
      <c r="C35" s="1" t="inlineStr">
        <is>
          <t>Restricted stock unit</t>
        </is>
      </c>
      <c r="D35" s="2" t="n">
        <v>44824</v>
      </c>
      <c r="E35" s="2" t="n">
        <v>44821</v>
      </c>
      <c r="F35" s="1" t="n">
        <v>12</v>
      </c>
      <c r="G35" s="1" t="inlineStr">
        <is>
          <t>Performance tranches on board certification</t>
        </is>
      </c>
      <c r="H35" s="1" t="n">
        <v>2</v>
      </c>
      <c r="I35" s="2" t="n">
        <v>45277</v>
      </c>
      <c r="J35" s="1" t="n">
        <v>21586</v>
      </c>
      <c r="K35" s="1" t="n">
        <v>86346</v>
      </c>
      <c r="L35" s="1">
        <f>L34+J35</f>
        <v/>
      </c>
      <c r="M35" s="1">
        <f>K35-L35</f>
        <v/>
      </c>
      <c r="N35" s="1" t="n">
        <v>0</v>
      </c>
      <c r="O35" s="1" t="inlineStr">
        <is>
          <t>Vested</t>
        </is>
      </c>
    </row>
    <row r="36">
      <c r="A36" s="1" t="inlineStr">
        <is>
          <t>GR-2022-4006</t>
        </is>
      </c>
      <c r="B36" s="1" t="inlineStr">
        <is>
          <t>Yuki Sandoval</t>
        </is>
      </c>
      <c r="C36" s="1" t="inlineStr">
        <is>
          <t>Restricted stock unit</t>
        </is>
      </c>
      <c r="D36" s="2" t="n">
        <v>44824</v>
      </c>
      <c r="E36" s="2" t="n">
        <v>44821</v>
      </c>
      <c r="F36" s="1" t="n">
        <v>12</v>
      </c>
      <c r="G36" s="1" t="inlineStr">
        <is>
          <t>Performance tranches on board certification</t>
        </is>
      </c>
      <c r="H36" s="1" t="n">
        <v>3</v>
      </c>
      <c r="I36" s="2" t="n">
        <v>45368</v>
      </c>
      <c r="J36" s="1" t="n">
        <v>21586</v>
      </c>
      <c r="K36" s="1" t="n">
        <v>86346</v>
      </c>
      <c r="L36" s="1">
        <f>L35+J36</f>
        <v/>
      </c>
      <c r="M36" s="1">
        <f>K36-L36</f>
        <v/>
      </c>
      <c r="N36" s="1" t="n">
        <v>0</v>
      </c>
      <c r="O36" s="1" t="inlineStr">
        <is>
          <t>Vested</t>
        </is>
      </c>
    </row>
    <row r="37">
      <c r="A37" s="1" t="inlineStr">
        <is>
          <t>GR-2022-4006</t>
        </is>
      </c>
      <c r="B37" s="1" t="inlineStr">
        <is>
          <t>Yuki Sandoval</t>
        </is>
      </c>
      <c r="C37" s="1" t="inlineStr">
        <is>
          <t>Restricted stock unit</t>
        </is>
      </c>
      <c r="D37" s="2" t="n">
        <v>44824</v>
      </c>
      <c r="E37" s="2" t="n">
        <v>44821</v>
      </c>
      <c r="F37" s="1" t="n">
        <v>12</v>
      </c>
      <c r="G37" s="1" t="inlineStr">
        <is>
          <t>Performance tranches on board certification</t>
        </is>
      </c>
      <c r="H37" s="1" t="n">
        <v>4</v>
      </c>
      <c r="I37" s="2" t="n">
        <v>45460</v>
      </c>
      <c r="J37" s="1" t="n">
        <v>21588</v>
      </c>
      <c r="K37" s="1" t="n">
        <v>86346</v>
      </c>
      <c r="L37" s="1">
        <f>L36+J37</f>
        <v/>
      </c>
      <c r="M37" s="1">
        <f>K37-L37</f>
        <v/>
      </c>
      <c r="N37" s="1" t="n">
        <v>0</v>
      </c>
      <c r="O37" s="1" t="inlineStr">
        <is>
          <t>Vested</t>
        </is>
      </c>
    </row>
    <row r="38">
      <c r="A38" s="1" t="inlineStr">
        <is>
          <t>GR-2023-4007</t>
        </is>
      </c>
      <c r="B38" s="1" t="inlineStr">
        <is>
          <t>Devraj Iyer</t>
        </is>
      </c>
      <c r="C38" s="1" t="inlineStr">
        <is>
          <t>Performance stock unit</t>
        </is>
      </c>
      <c r="D38" s="2" t="n">
        <v>45225</v>
      </c>
      <c r="E38" s="2" t="n">
        <v>45197</v>
      </c>
      <c r="F38" s="1" t="n">
        <v>12</v>
      </c>
      <c r="G38" s="1" t="inlineStr">
        <is>
          <t>16 quarterly tranches</t>
        </is>
      </c>
      <c r="H38" s="1" t="n">
        <v>1</v>
      </c>
      <c r="I38" s="2" t="n">
        <v>45563</v>
      </c>
      <c r="J38" s="1" t="n">
        <v>15036</v>
      </c>
      <c r="K38" s="1" t="n">
        <v>75180</v>
      </c>
      <c r="L38" s="1">
        <f>J38</f>
        <v/>
      </c>
      <c r="M38" s="1">
        <f>K38-L38</f>
        <v/>
      </c>
      <c r="N38" s="1" t="n">
        <v>0</v>
      </c>
      <c r="O38" s="1" t="inlineStr">
        <is>
          <t>Vested</t>
        </is>
      </c>
    </row>
    <row r="39">
      <c r="A39" s="1" t="inlineStr">
        <is>
          <t>GR-2023-4007</t>
        </is>
      </c>
      <c r="B39" s="1" t="inlineStr">
        <is>
          <t>Devraj Iyer</t>
        </is>
      </c>
      <c r="C39" s="1" t="inlineStr">
        <is>
          <t>Performance stock unit</t>
        </is>
      </c>
      <c r="D39" s="2" t="n">
        <v>45225</v>
      </c>
      <c r="E39" s="2" t="n">
        <v>45197</v>
      </c>
      <c r="F39" s="1" t="n">
        <v>12</v>
      </c>
      <c r="G39" s="1" t="inlineStr">
        <is>
          <t>16 quarterly tranches</t>
        </is>
      </c>
      <c r="H39" s="1" t="n">
        <v>2</v>
      </c>
      <c r="I39" s="2" t="n">
        <v>45654</v>
      </c>
      <c r="J39" s="1" t="n">
        <v>15036</v>
      </c>
      <c r="K39" s="1" t="n">
        <v>75180</v>
      </c>
      <c r="L39" s="1">
        <f>L38+J39</f>
        <v/>
      </c>
      <c r="M39" s="1">
        <f>K39-L39</f>
        <v/>
      </c>
      <c r="N39" s="1" t="n">
        <v>0</v>
      </c>
      <c r="O39" s="1" t="inlineStr">
        <is>
          <t>Vested</t>
        </is>
      </c>
    </row>
    <row r="40">
      <c r="A40" s="1" t="inlineStr">
        <is>
          <t>GR-2023-4007</t>
        </is>
      </c>
      <c r="B40" s="1" t="inlineStr">
        <is>
          <t>Devraj Iyer</t>
        </is>
      </c>
      <c r="C40" s="1" t="inlineStr">
        <is>
          <t>Performance stock unit</t>
        </is>
      </c>
      <c r="D40" s="2" t="n">
        <v>45225</v>
      </c>
      <c r="E40" s="2" t="n">
        <v>45197</v>
      </c>
      <c r="F40" s="1" t="n">
        <v>12</v>
      </c>
      <c r="G40" s="1" t="inlineStr">
        <is>
          <t>16 quarterly tranches</t>
        </is>
      </c>
      <c r="H40" s="1" t="n">
        <v>3</v>
      </c>
      <c r="I40" s="2" t="n">
        <v>45744</v>
      </c>
      <c r="J40" s="1" t="n">
        <v>15036</v>
      </c>
      <c r="K40" s="1" t="n">
        <v>75180</v>
      </c>
      <c r="L40" s="1">
        <f>L39+J40</f>
        <v/>
      </c>
      <c r="M40" s="1">
        <f>K40-L40</f>
        <v/>
      </c>
      <c r="N40" s="1" t="n">
        <v>0</v>
      </c>
      <c r="O40" s="1" t="inlineStr">
        <is>
          <t>Vested</t>
        </is>
      </c>
    </row>
    <row r="41">
      <c r="A41" s="1" t="inlineStr">
        <is>
          <t>GR-2023-4007</t>
        </is>
      </c>
      <c r="B41" s="1" t="inlineStr">
        <is>
          <t>Devraj Iyer</t>
        </is>
      </c>
      <c r="C41" s="1" t="inlineStr">
        <is>
          <t>Performance stock unit</t>
        </is>
      </c>
      <c r="D41" s="2" t="n">
        <v>45225</v>
      </c>
      <c r="E41" s="2" t="n">
        <v>45197</v>
      </c>
      <c r="F41" s="1" t="n">
        <v>12</v>
      </c>
      <c r="G41" s="1" t="inlineStr">
        <is>
          <t>16 quarterly tranches</t>
        </is>
      </c>
      <c r="H41" s="1" t="n">
        <v>4</v>
      </c>
      <c r="I41" s="2" t="n">
        <v>45836</v>
      </c>
      <c r="J41" s="1" t="n">
        <v>15036</v>
      </c>
      <c r="K41" s="1" t="n">
        <v>75180</v>
      </c>
      <c r="L41" s="1">
        <f>L40+J41</f>
        <v/>
      </c>
      <c r="M41" s="1">
        <f>K41-L41</f>
        <v/>
      </c>
      <c r="N41" s="1" t="n">
        <v>0</v>
      </c>
      <c r="O41" s="1" t="inlineStr">
        <is>
          <t>Vested</t>
        </is>
      </c>
    </row>
    <row r="42">
      <c r="A42" s="1" t="inlineStr">
        <is>
          <t>GR-2023-4007</t>
        </is>
      </c>
      <c r="B42" s="1" t="inlineStr">
        <is>
          <t>Devraj Iyer</t>
        </is>
      </c>
      <c r="C42" s="1" t="inlineStr">
        <is>
          <t>Performance stock unit</t>
        </is>
      </c>
      <c r="D42" s="2" t="n">
        <v>45225</v>
      </c>
      <c r="E42" s="2" t="n">
        <v>45197</v>
      </c>
      <c r="F42" s="1" t="n">
        <v>12</v>
      </c>
      <c r="G42" s="1" t="inlineStr">
        <is>
          <t>16 quarterly tranches</t>
        </is>
      </c>
      <c r="H42" s="1" t="n">
        <v>5</v>
      </c>
      <c r="I42" s="2" t="n">
        <v>45928</v>
      </c>
      <c r="J42" s="1" t="n">
        <v>15036</v>
      </c>
      <c r="K42" s="1" t="n">
        <v>75180</v>
      </c>
      <c r="L42" s="1">
        <f>L41+J42</f>
        <v/>
      </c>
      <c r="M42" s="1">
        <f>K42-L42</f>
        <v/>
      </c>
      <c r="N42" s="1" t="n">
        <v>0</v>
      </c>
      <c r="O42" s="1" t="inlineStr">
        <is>
          <t>Vested</t>
        </is>
      </c>
    </row>
    <row r="43">
      <c r="A43" s="1" t="inlineStr">
        <is>
          <t>GR-2026-4008</t>
        </is>
      </c>
      <c r="B43" s="1" t="inlineStr">
        <is>
          <t>Hector Salcedo</t>
        </is>
      </c>
      <c r="C43" s="1" t="inlineStr">
        <is>
          <t>Performance stock unit</t>
        </is>
      </c>
      <c r="D43" s="2" t="n">
        <v>46063</v>
      </c>
      <c r="E43" s="2" t="n">
        <v>46056</v>
      </c>
      <c r="F43" s="1" t="n">
        <v>0</v>
      </c>
      <c r="G43" s="1" t="inlineStr">
        <is>
          <t>Performance tranches on board certification</t>
        </is>
      </c>
      <c r="H43" s="1" t="n">
        <v>1</v>
      </c>
      <c r="I43" s="2" t="n">
        <v>46056</v>
      </c>
      <c r="J43" s="1" t="n">
        <v>12341</v>
      </c>
      <c r="K43" s="1" t="n">
        <v>49366</v>
      </c>
      <c r="L43" s="1">
        <f>J43</f>
        <v/>
      </c>
      <c r="M43" s="1">
        <f>K43-L43</f>
        <v/>
      </c>
      <c r="N43" s="1" t="n">
        <v>0</v>
      </c>
      <c r="O43" s="1" t="inlineStr">
        <is>
          <t>Vested</t>
        </is>
      </c>
    </row>
    <row r="44">
      <c r="A44" s="1" t="inlineStr">
        <is>
          <t>GR-2026-4008</t>
        </is>
      </c>
      <c r="B44" s="1" t="inlineStr">
        <is>
          <t>Hector Salcedo</t>
        </is>
      </c>
      <c r="C44" s="1" t="inlineStr">
        <is>
          <t>Performance stock unit</t>
        </is>
      </c>
      <c r="D44" s="2" t="n">
        <v>46063</v>
      </c>
      <c r="E44" s="2" t="n">
        <v>46056</v>
      </c>
      <c r="F44" s="1" t="n">
        <v>0</v>
      </c>
      <c r="G44" s="1" t="inlineStr">
        <is>
          <t>Performance tranches on board certification</t>
        </is>
      </c>
      <c r="H44" s="1" t="n">
        <v>2</v>
      </c>
      <c r="I44" s="2" t="n">
        <v>46145</v>
      </c>
      <c r="J44" s="1" t="n">
        <v>12341</v>
      </c>
      <c r="K44" s="1" t="n">
        <v>49366</v>
      </c>
      <c r="L44" s="1">
        <f>L43+J44</f>
        <v/>
      </c>
      <c r="M44" s="1">
        <f>K44-L44</f>
        <v/>
      </c>
      <c r="N44" s="1" t="n">
        <v>0</v>
      </c>
      <c r="O44" s="1" t="inlineStr">
        <is>
          <t>Vested</t>
        </is>
      </c>
    </row>
    <row r="45">
      <c r="A45" s="1" t="inlineStr">
        <is>
          <t>GR-2026-4008</t>
        </is>
      </c>
      <c r="B45" s="1" t="inlineStr">
        <is>
          <t>Hector Salcedo</t>
        </is>
      </c>
      <c r="C45" s="1" t="inlineStr">
        <is>
          <t>Performance stock unit</t>
        </is>
      </c>
      <c r="D45" s="2" t="n">
        <v>46063</v>
      </c>
      <c r="E45" s="2" t="n">
        <v>46056</v>
      </c>
      <c r="F45" s="1" t="n">
        <v>0</v>
      </c>
      <c r="G45" s="1" t="inlineStr">
        <is>
          <t>Performance tranches on board certification</t>
        </is>
      </c>
      <c r="H45" s="1" t="n">
        <v>3</v>
      </c>
      <c r="I45" s="2" t="n">
        <v>46237</v>
      </c>
      <c r="J45" s="1" t="n">
        <v>12341</v>
      </c>
      <c r="K45" s="1" t="n">
        <v>49366</v>
      </c>
      <c r="L45" s="1">
        <f>L44+J45</f>
        <v/>
      </c>
      <c r="M45" s="1">
        <f>K45-L45</f>
        <v/>
      </c>
      <c r="N45" s="1" t="n">
        <v>0</v>
      </c>
      <c r="O45" s="1" t="inlineStr">
        <is>
          <t>Unvested</t>
        </is>
      </c>
    </row>
    <row r="46">
      <c r="A46" s="1" t="inlineStr">
        <is>
          <t>GR-2026-4008</t>
        </is>
      </c>
      <c r="B46" s="1" t="inlineStr">
        <is>
          <t>Hector Salcedo</t>
        </is>
      </c>
      <c r="C46" s="1" t="inlineStr">
        <is>
          <t>Performance stock unit</t>
        </is>
      </c>
      <c r="D46" s="2" t="n">
        <v>46063</v>
      </c>
      <c r="E46" s="2" t="n">
        <v>46056</v>
      </c>
      <c r="F46" s="1" t="n">
        <v>0</v>
      </c>
      <c r="G46" s="1" t="inlineStr">
        <is>
          <t>Performance tranches on board certification</t>
        </is>
      </c>
      <c r="H46" s="1" t="n">
        <v>4</v>
      </c>
      <c r="I46" s="2" t="n">
        <v>46329</v>
      </c>
      <c r="J46" s="1" t="n">
        <v>12343</v>
      </c>
      <c r="K46" s="1" t="n">
        <v>49366</v>
      </c>
      <c r="L46" s="1">
        <f>L45+J46</f>
        <v/>
      </c>
      <c r="M46" s="1">
        <f>K46-L46</f>
        <v/>
      </c>
      <c r="N46" s="1" t="n">
        <v>0</v>
      </c>
      <c r="O46" s="1" t="inlineStr">
        <is>
          <t>Unvested</t>
        </is>
      </c>
    </row>
    <row r="47">
      <c r="A47" s="1" t="inlineStr">
        <is>
          <t>GR-2024-4009</t>
        </is>
      </c>
      <c r="B47" s="1" t="inlineStr">
        <is>
          <t>Bartholomew Ng</t>
        </is>
      </c>
      <c r="C47" s="1" t="inlineStr">
        <is>
          <t>Restricted stock unit</t>
        </is>
      </c>
      <c r="D47" s="2" t="n">
        <v>45639</v>
      </c>
      <c r="E47" s="2" t="n">
        <v>45582</v>
      </c>
      <c r="F47" s="1" t="n">
        <v>12</v>
      </c>
      <c r="G47" s="1" t="inlineStr">
        <is>
          <t>Performance tranches on board certification</t>
        </is>
      </c>
      <c r="H47" s="1" t="n">
        <v>1</v>
      </c>
      <c r="I47" s="2" t="n">
        <v>45947</v>
      </c>
      <c r="J47" s="1" t="n">
        <v>7398</v>
      </c>
      <c r="K47" s="1" t="n">
        <v>59190</v>
      </c>
      <c r="L47" s="1">
        <f>J47</f>
        <v/>
      </c>
      <c r="M47" s="1">
        <f>K47-L47</f>
        <v/>
      </c>
      <c r="N47" s="1" t="n">
        <v>0</v>
      </c>
      <c r="O47" s="1" t="inlineStr">
        <is>
          <t>Vested</t>
        </is>
      </c>
    </row>
    <row r="48">
      <c r="A48" s="1" t="inlineStr">
        <is>
          <t>GR-2024-4009</t>
        </is>
      </c>
      <c r="B48" s="1" t="inlineStr">
        <is>
          <t>Bartholomew Ng</t>
        </is>
      </c>
      <c r="C48" s="1" t="inlineStr">
        <is>
          <t>Restricted stock unit</t>
        </is>
      </c>
      <c r="D48" s="2" t="n">
        <v>45639</v>
      </c>
      <c r="E48" s="2" t="n">
        <v>45582</v>
      </c>
      <c r="F48" s="1" t="n">
        <v>12</v>
      </c>
      <c r="G48" s="1" t="inlineStr">
        <is>
          <t>Performance tranches on board certification</t>
        </is>
      </c>
      <c r="H48" s="1" t="n">
        <v>2</v>
      </c>
      <c r="I48" s="2" t="n">
        <v>46039</v>
      </c>
      <c r="J48" s="1" t="n">
        <v>7398</v>
      </c>
      <c r="K48" s="1" t="n">
        <v>59190</v>
      </c>
      <c r="L48" s="1">
        <f>L47+J48</f>
        <v/>
      </c>
      <c r="M48" s="1">
        <f>K48-L48</f>
        <v/>
      </c>
      <c r="N48" s="1" t="n">
        <v>0</v>
      </c>
      <c r="O48" s="1" t="inlineStr">
        <is>
          <t>Vested</t>
        </is>
      </c>
    </row>
    <row r="49">
      <c r="A49" s="1" t="inlineStr">
        <is>
          <t>GR-2024-4009</t>
        </is>
      </c>
      <c r="B49" s="1" t="inlineStr">
        <is>
          <t>Bartholomew Ng</t>
        </is>
      </c>
      <c r="C49" s="1" t="inlineStr">
        <is>
          <t>Restricted stock unit</t>
        </is>
      </c>
      <c r="D49" s="2" t="n">
        <v>45639</v>
      </c>
      <c r="E49" s="2" t="n">
        <v>45582</v>
      </c>
      <c r="F49" s="1" t="n">
        <v>12</v>
      </c>
      <c r="G49" s="1" t="inlineStr">
        <is>
          <t>Performance tranches on board certification</t>
        </is>
      </c>
      <c r="H49" s="1" t="n">
        <v>3</v>
      </c>
      <c r="I49" s="2" t="n">
        <v>46129</v>
      </c>
      <c r="J49" s="1" t="n">
        <v>7398</v>
      </c>
      <c r="K49" s="1" t="n">
        <v>59190</v>
      </c>
      <c r="L49" s="1">
        <f>L48+J49</f>
        <v/>
      </c>
      <c r="M49" s="1">
        <f>K49-L49</f>
        <v/>
      </c>
      <c r="N49" s="1" t="n">
        <v>0</v>
      </c>
      <c r="O49" s="1" t="inlineStr">
        <is>
          <t>Vested</t>
        </is>
      </c>
    </row>
    <row r="50">
      <c r="A50" s="1" t="inlineStr">
        <is>
          <t>GR-2024-4009</t>
        </is>
      </c>
      <c r="B50" s="1" t="inlineStr">
        <is>
          <t>Bartholomew Ng</t>
        </is>
      </c>
      <c r="C50" s="1" t="inlineStr">
        <is>
          <t>Restricted stock unit</t>
        </is>
      </c>
      <c r="D50" s="2" t="n">
        <v>45639</v>
      </c>
      <c r="E50" s="2" t="n">
        <v>45582</v>
      </c>
      <c r="F50" s="1" t="n">
        <v>12</v>
      </c>
      <c r="G50" s="1" t="inlineStr">
        <is>
          <t>Performance tranches on board certification</t>
        </is>
      </c>
      <c r="H50" s="1" t="n">
        <v>4</v>
      </c>
      <c r="I50" s="2" t="n">
        <v>46220</v>
      </c>
      <c r="J50" s="1" t="n">
        <v>7398</v>
      </c>
      <c r="K50" s="1" t="n">
        <v>59190</v>
      </c>
      <c r="L50" s="1">
        <f>L49+J50</f>
        <v/>
      </c>
      <c r="M50" s="1">
        <f>K50-L50</f>
        <v/>
      </c>
      <c r="N50" s="1" t="n">
        <v>0</v>
      </c>
      <c r="O50" s="1" t="inlineStr">
        <is>
          <t>Vested</t>
        </is>
      </c>
    </row>
    <row r="51">
      <c r="A51" s="1" t="inlineStr">
        <is>
          <t>GR-2024-4009</t>
        </is>
      </c>
      <c r="B51" s="1" t="inlineStr">
        <is>
          <t>Bartholomew Ng</t>
        </is>
      </c>
      <c r="C51" s="1" t="inlineStr">
        <is>
          <t>Restricted stock unit</t>
        </is>
      </c>
      <c r="D51" s="2" t="n">
        <v>45639</v>
      </c>
      <c r="E51" s="2" t="n">
        <v>45582</v>
      </c>
      <c r="F51" s="1" t="n">
        <v>12</v>
      </c>
      <c r="G51" s="1" t="inlineStr">
        <is>
          <t>Performance tranches on board certification</t>
        </is>
      </c>
      <c r="H51" s="1" t="n">
        <v>5</v>
      </c>
      <c r="I51" s="2" t="n">
        <v>46312</v>
      </c>
      <c r="J51" s="1" t="n">
        <v>7398</v>
      </c>
      <c r="K51" s="1" t="n">
        <v>59190</v>
      </c>
      <c r="L51" s="1">
        <f>L50+J51</f>
        <v/>
      </c>
      <c r="M51" s="1">
        <f>K51-L51</f>
        <v/>
      </c>
      <c r="N51" s="1" t="n">
        <v>0</v>
      </c>
      <c r="O51" s="1" t="inlineStr">
        <is>
          <t>Unvested</t>
        </is>
      </c>
    </row>
    <row r="52">
      <c r="A52" s="1" t="inlineStr">
        <is>
          <t>GR-2024-4009</t>
        </is>
      </c>
      <c r="B52" s="1" t="inlineStr">
        <is>
          <t>Bartholomew Ng</t>
        </is>
      </c>
      <c r="C52" s="1" t="inlineStr">
        <is>
          <t>Restricted stock unit</t>
        </is>
      </c>
      <c r="D52" s="2" t="n">
        <v>45639</v>
      </c>
      <c r="E52" s="2" t="n">
        <v>45582</v>
      </c>
      <c r="F52" s="1" t="n">
        <v>12</v>
      </c>
      <c r="G52" s="1" t="inlineStr">
        <is>
          <t>Performance tranches on board certification</t>
        </is>
      </c>
      <c r="H52" s="1" t="n">
        <v>6</v>
      </c>
      <c r="I52" s="2" t="n">
        <v>46404</v>
      </c>
      <c r="J52" s="1" t="n">
        <v>7398</v>
      </c>
      <c r="K52" s="1" t="n">
        <v>59190</v>
      </c>
      <c r="L52" s="1">
        <f>L51+J52</f>
        <v/>
      </c>
      <c r="M52" s="1">
        <f>K52-L52</f>
        <v/>
      </c>
      <c r="N52" s="1" t="n">
        <v>0</v>
      </c>
      <c r="O52" s="1" t="inlineStr">
        <is>
          <t>Unvested</t>
        </is>
      </c>
    </row>
    <row r="53">
      <c r="A53" s="1" t="inlineStr">
        <is>
          <t>GR-2024-4009</t>
        </is>
      </c>
      <c r="B53" s="1" t="inlineStr">
        <is>
          <t>Bartholomew Ng</t>
        </is>
      </c>
      <c r="C53" s="1" t="inlineStr">
        <is>
          <t>Restricted stock unit</t>
        </is>
      </c>
      <c r="D53" s="2" t="n">
        <v>45639</v>
      </c>
      <c r="E53" s="2" t="n">
        <v>45582</v>
      </c>
      <c r="F53" s="1" t="n">
        <v>12</v>
      </c>
      <c r="G53" s="1" t="inlineStr">
        <is>
          <t>Performance tranches on board certification</t>
        </is>
      </c>
      <c r="H53" s="1" t="n">
        <v>7</v>
      </c>
      <c r="I53" s="2" t="n">
        <v>46494</v>
      </c>
      <c r="J53" s="1" t="n">
        <v>7398</v>
      </c>
      <c r="K53" s="1" t="n">
        <v>59190</v>
      </c>
      <c r="L53" s="1">
        <f>L52+J53</f>
        <v/>
      </c>
      <c r="M53" s="1">
        <f>K53-L53</f>
        <v/>
      </c>
      <c r="N53" s="1" t="n">
        <v>0</v>
      </c>
      <c r="O53" s="1" t="inlineStr">
        <is>
          <t>Unvested</t>
        </is>
      </c>
    </row>
    <row r="54">
      <c r="A54" s="1" t="inlineStr">
        <is>
          <t>GR-2024-4009</t>
        </is>
      </c>
      <c r="B54" s="1" t="inlineStr">
        <is>
          <t>Bartholomew Ng</t>
        </is>
      </c>
      <c r="C54" s="1" t="inlineStr">
        <is>
          <t>Restricted stock unit</t>
        </is>
      </c>
      <c r="D54" s="2" t="n">
        <v>45639</v>
      </c>
      <c r="E54" s="2" t="n">
        <v>45582</v>
      </c>
      <c r="F54" s="1" t="n">
        <v>12</v>
      </c>
      <c r="G54" s="1" t="inlineStr">
        <is>
          <t>Performance tranches on board certification</t>
        </is>
      </c>
      <c r="H54" s="1" t="n">
        <v>8</v>
      </c>
      <c r="I54" s="2" t="n">
        <v>46585</v>
      </c>
      <c r="J54" s="1" t="n">
        <v>7404</v>
      </c>
      <c r="K54" s="1" t="n">
        <v>59190</v>
      </c>
      <c r="L54" s="1">
        <f>L53+J54</f>
        <v/>
      </c>
      <c r="M54" s="1">
        <f>K54-L54</f>
        <v/>
      </c>
      <c r="N54" s="1" t="n">
        <v>0</v>
      </c>
      <c r="O54" s="1" t="inlineStr">
        <is>
          <t>Unvested</t>
        </is>
      </c>
    </row>
    <row r="55">
      <c r="A55" s="1" t="inlineStr">
        <is>
          <t>GR-2025-4010</t>
        </is>
      </c>
      <c r="B55" s="1" t="inlineStr">
        <is>
          <t>Owen Brackenbury</t>
        </is>
      </c>
      <c r="C55" s="1" t="inlineStr">
        <is>
          <t>Restricted stock unit</t>
        </is>
      </c>
      <c r="D55" s="2" t="n">
        <v>45681</v>
      </c>
      <c r="E55" s="2" t="n">
        <v>45659</v>
      </c>
      <c r="F55" s="1" t="n">
        <v>0</v>
      </c>
      <c r="G55" s="1" t="inlineStr">
        <is>
          <t>Performance tranches on board certification</t>
        </is>
      </c>
      <c r="H55" s="1" t="n">
        <v>1</v>
      </c>
      <c r="I55" s="2" t="n">
        <v>45659</v>
      </c>
      <c r="J55" s="1" t="n">
        <v>4248</v>
      </c>
      <c r="K55" s="1" t="n">
        <v>16994</v>
      </c>
      <c r="L55" s="1">
        <f>J55</f>
        <v/>
      </c>
      <c r="M55" s="1">
        <f>K55-L55</f>
        <v/>
      </c>
      <c r="N55" s="1" t="n">
        <v>0</v>
      </c>
      <c r="O55" s="1" t="inlineStr">
        <is>
          <t>Vested</t>
        </is>
      </c>
    </row>
    <row r="56">
      <c r="A56" s="1" t="inlineStr">
        <is>
          <t>GR-2025-4010</t>
        </is>
      </c>
      <c r="B56" s="1" t="inlineStr">
        <is>
          <t>Owen Brackenbury</t>
        </is>
      </c>
      <c r="C56" s="1" t="inlineStr">
        <is>
          <t>Restricted stock unit</t>
        </is>
      </c>
      <c r="D56" s="2" t="n">
        <v>45681</v>
      </c>
      <c r="E56" s="2" t="n">
        <v>45659</v>
      </c>
      <c r="F56" s="1" t="n">
        <v>0</v>
      </c>
      <c r="G56" s="1" t="inlineStr">
        <is>
          <t>Performance tranches on board certification</t>
        </is>
      </c>
      <c r="H56" s="1" t="n">
        <v>2</v>
      </c>
      <c r="I56" s="2" t="n">
        <v>45749</v>
      </c>
      <c r="J56" s="1" t="n">
        <v>4248</v>
      </c>
      <c r="K56" s="1" t="n">
        <v>16994</v>
      </c>
      <c r="L56" s="1">
        <f>L55+J56</f>
        <v/>
      </c>
      <c r="M56" s="1">
        <f>K56-L56</f>
        <v/>
      </c>
      <c r="N56" s="1" t="n">
        <v>0</v>
      </c>
      <c r="O56" s="1" t="inlineStr">
        <is>
          <t>Vested</t>
        </is>
      </c>
    </row>
    <row r="57">
      <c r="A57" s="1" t="inlineStr">
        <is>
          <t>GR-2025-4010</t>
        </is>
      </c>
      <c r="B57" s="1" t="inlineStr">
        <is>
          <t>Owen Brackenbury</t>
        </is>
      </c>
      <c r="C57" s="1" t="inlineStr">
        <is>
          <t>Restricted stock unit</t>
        </is>
      </c>
      <c r="D57" s="2" t="n">
        <v>45681</v>
      </c>
      <c r="E57" s="2" t="n">
        <v>45659</v>
      </c>
      <c r="F57" s="1" t="n">
        <v>0</v>
      </c>
      <c r="G57" s="1" t="inlineStr">
        <is>
          <t>Performance tranches on board certification</t>
        </is>
      </c>
      <c r="H57" s="1" t="n">
        <v>3</v>
      </c>
      <c r="I57" s="2" t="n">
        <v>45840</v>
      </c>
      <c r="J57" s="1" t="n">
        <v>4248</v>
      </c>
      <c r="K57" s="1" t="n">
        <v>16994</v>
      </c>
      <c r="L57" s="1">
        <f>L56+J57</f>
        <v/>
      </c>
      <c r="M57" s="1">
        <f>K57-L57</f>
        <v/>
      </c>
      <c r="N57" s="1" t="n">
        <v>0</v>
      </c>
      <c r="O57" s="1" t="inlineStr">
        <is>
          <t>Vested</t>
        </is>
      </c>
    </row>
    <row r="58">
      <c r="A58" s="1" t="inlineStr">
        <is>
          <t>GR-2025-4010</t>
        </is>
      </c>
      <c r="B58" s="1" t="inlineStr">
        <is>
          <t>Owen Brackenbury</t>
        </is>
      </c>
      <c r="C58" s="1" t="inlineStr">
        <is>
          <t>Restricted stock unit</t>
        </is>
      </c>
      <c r="D58" s="2" t="n">
        <v>45681</v>
      </c>
      <c r="E58" s="2" t="n">
        <v>45659</v>
      </c>
      <c r="F58" s="1" t="n">
        <v>0</v>
      </c>
      <c r="G58" s="1" t="inlineStr">
        <is>
          <t>Performance tranches on board certification</t>
        </is>
      </c>
      <c r="H58" s="1" t="n">
        <v>4</v>
      </c>
      <c r="I58" s="2" t="n">
        <v>45932</v>
      </c>
      <c r="J58" s="1" t="n">
        <v>4250</v>
      </c>
      <c r="K58" s="1" t="n">
        <v>16994</v>
      </c>
      <c r="L58" s="1">
        <f>L57+J58</f>
        <v/>
      </c>
      <c r="M58" s="1">
        <f>K58-L58</f>
        <v/>
      </c>
      <c r="N58" s="1" t="n">
        <v>0</v>
      </c>
      <c r="O58" s="1" t="inlineStr">
        <is>
          <t>Vested</t>
        </is>
      </c>
    </row>
    <row r="59">
      <c r="A59" s="1" t="inlineStr">
        <is>
          <t>GR-2022-4011</t>
        </is>
      </c>
      <c r="B59" s="1" t="inlineStr">
        <is>
          <t>Delia Mwangi</t>
        </is>
      </c>
      <c r="C59" s="1" t="inlineStr">
        <is>
          <t>Performance stock unit</t>
        </is>
      </c>
      <c r="D59" s="2" t="n">
        <v>44855</v>
      </c>
      <c r="E59" s="2" t="n">
        <v>44845</v>
      </c>
      <c r="F59" s="1" t="n">
        <v>6</v>
      </c>
      <c r="G59" s="1" t="inlineStr">
        <is>
          <t>16 quarterly tranches</t>
        </is>
      </c>
      <c r="H59" s="1" t="n">
        <v>1</v>
      </c>
      <c r="I59" s="2" t="n">
        <v>45027</v>
      </c>
      <c r="J59" s="1" t="n">
        <v>7950</v>
      </c>
      <c r="K59" s="1" t="n">
        <v>31803</v>
      </c>
      <c r="L59" s="1">
        <f>J59</f>
        <v/>
      </c>
      <c r="M59" s="1">
        <f>K59-L59</f>
        <v/>
      </c>
      <c r="N59" s="1" t="n">
        <v>0</v>
      </c>
      <c r="O59" s="1" t="inlineStr">
        <is>
          <t>Vested</t>
        </is>
      </c>
    </row>
    <row r="60">
      <c r="A60" s="1" t="inlineStr">
        <is>
          <t>GR-2022-4011</t>
        </is>
      </c>
      <c r="B60" s="1" t="inlineStr">
        <is>
          <t>Delia Mwangi</t>
        </is>
      </c>
      <c r="C60" s="1" t="inlineStr">
        <is>
          <t>Performance stock unit</t>
        </is>
      </c>
      <c r="D60" s="2" t="n">
        <v>44855</v>
      </c>
      <c r="E60" s="2" t="n">
        <v>44845</v>
      </c>
      <c r="F60" s="1" t="n">
        <v>6</v>
      </c>
      <c r="G60" s="1" t="inlineStr">
        <is>
          <t>16 quarterly tranches</t>
        </is>
      </c>
      <c r="H60" s="1" t="n">
        <v>2</v>
      </c>
      <c r="I60" s="2" t="n">
        <v>45118</v>
      </c>
      <c r="J60" s="1" t="n">
        <v>7950</v>
      </c>
      <c r="K60" s="1" t="n">
        <v>31803</v>
      </c>
      <c r="L60" s="1">
        <f>L59+J60</f>
        <v/>
      </c>
      <c r="M60" s="1">
        <f>K60-L60</f>
        <v/>
      </c>
      <c r="N60" s="1" t="n">
        <v>0</v>
      </c>
      <c r="O60" s="1" t="inlineStr">
        <is>
          <t>Vested</t>
        </is>
      </c>
    </row>
    <row r="61">
      <c r="A61" s="1" t="inlineStr">
        <is>
          <t>GR-2022-4011</t>
        </is>
      </c>
      <c r="B61" s="1" t="inlineStr">
        <is>
          <t>Delia Mwangi</t>
        </is>
      </c>
      <c r="C61" s="1" t="inlineStr">
        <is>
          <t>Performance stock unit</t>
        </is>
      </c>
      <c r="D61" s="2" t="n">
        <v>44855</v>
      </c>
      <c r="E61" s="2" t="n">
        <v>44845</v>
      </c>
      <c r="F61" s="1" t="n">
        <v>6</v>
      </c>
      <c r="G61" s="1" t="inlineStr">
        <is>
          <t>16 quarterly tranches</t>
        </is>
      </c>
      <c r="H61" s="1" t="n">
        <v>3</v>
      </c>
      <c r="I61" s="2" t="n">
        <v>45210</v>
      </c>
      <c r="J61" s="1" t="n">
        <v>7950</v>
      </c>
      <c r="K61" s="1" t="n">
        <v>31803</v>
      </c>
      <c r="L61" s="1">
        <f>L60+J61</f>
        <v/>
      </c>
      <c r="M61" s="1">
        <f>K61-L61</f>
        <v/>
      </c>
      <c r="N61" s="1" t="n">
        <v>0</v>
      </c>
      <c r="O61" s="1" t="inlineStr">
        <is>
          <t>Vested</t>
        </is>
      </c>
    </row>
    <row r="62">
      <c r="A62" s="1" t="inlineStr">
        <is>
          <t>GR-2022-4011</t>
        </is>
      </c>
      <c r="B62" s="1" t="inlineStr">
        <is>
          <t>Delia Mwangi</t>
        </is>
      </c>
      <c r="C62" s="1" t="inlineStr">
        <is>
          <t>Performance stock unit</t>
        </is>
      </c>
      <c r="D62" s="2" t="n">
        <v>44855</v>
      </c>
      <c r="E62" s="2" t="n">
        <v>44845</v>
      </c>
      <c r="F62" s="1" t="n">
        <v>6</v>
      </c>
      <c r="G62" s="1" t="inlineStr">
        <is>
          <t>16 quarterly tranches</t>
        </is>
      </c>
      <c r="H62" s="1" t="n">
        <v>4</v>
      </c>
      <c r="I62" s="2" t="n">
        <v>45302</v>
      </c>
      <c r="J62" s="1" t="n">
        <v>7953</v>
      </c>
      <c r="K62" s="1" t="n">
        <v>31803</v>
      </c>
      <c r="L62" s="1">
        <f>L61+J62</f>
        <v/>
      </c>
      <c r="M62" s="1">
        <f>K62-L62</f>
        <v/>
      </c>
      <c r="N62" s="1" t="n">
        <v>0</v>
      </c>
      <c r="O62" s="1" t="inlineStr">
        <is>
          <t>Vested</t>
        </is>
      </c>
    </row>
    <row r="63">
      <c r="A63" s="1" t="inlineStr">
        <is>
          <t>GR-2025-4012</t>
        </is>
      </c>
      <c r="B63" s="1" t="inlineStr">
        <is>
          <t>Elias Moreno</t>
        </is>
      </c>
      <c r="C63" s="1" t="inlineStr">
        <is>
          <t>Performance stock unit</t>
        </is>
      </c>
      <c r="D63" s="2" t="n">
        <v>45849</v>
      </c>
      <c r="E63" s="2" t="n">
        <v>45815</v>
      </c>
      <c r="F63" s="1" t="n">
        <v>12</v>
      </c>
      <c r="G63" s="1" t="inlineStr">
        <is>
          <t>48 months monthly after a 12-month cliff</t>
        </is>
      </c>
      <c r="H63" s="1" t="n">
        <v>1</v>
      </c>
      <c r="I63" s="2" t="n">
        <v>46180</v>
      </c>
      <c r="J63" s="1" t="n">
        <v>16314</v>
      </c>
      <c r="K63" s="1" t="n">
        <v>65259</v>
      </c>
      <c r="L63" s="1">
        <f>J63</f>
        <v/>
      </c>
      <c r="M63" s="1">
        <f>K63-L63</f>
        <v/>
      </c>
      <c r="N63" s="1" t="n">
        <v>0</v>
      </c>
      <c r="O63" s="1" t="inlineStr">
        <is>
          <t>Vested</t>
        </is>
      </c>
    </row>
    <row r="64">
      <c r="A64" s="1" t="inlineStr">
        <is>
          <t>GR-2025-4012</t>
        </is>
      </c>
      <c r="B64" s="1" t="inlineStr">
        <is>
          <t>Elias Moreno</t>
        </is>
      </c>
      <c r="C64" s="1" t="inlineStr">
        <is>
          <t>Performance stock unit</t>
        </is>
      </c>
      <c r="D64" s="2" t="n">
        <v>45849</v>
      </c>
      <c r="E64" s="2" t="n">
        <v>45815</v>
      </c>
      <c r="F64" s="1" t="n">
        <v>12</v>
      </c>
      <c r="G64" s="1" t="inlineStr">
        <is>
          <t>48 months monthly after a 12-month cliff</t>
        </is>
      </c>
      <c r="H64" s="1" t="n">
        <v>2</v>
      </c>
      <c r="I64" s="2" t="n">
        <v>46272</v>
      </c>
      <c r="J64" s="1" t="n">
        <v>16314</v>
      </c>
      <c r="K64" s="1" t="n">
        <v>65259</v>
      </c>
      <c r="L64" s="1">
        <f>L63+J64</f>
        <v/>
      </c>
      <c r="M64" s="1">
        <f>K64-L64</f>
        <v/>
      </c>
      <c r="N64" s="1" t="n">
        <v>0</v>
      </c>
      <c r="O64" s="1" t="inlineStr">
        <is>
          <t>Unvested</t>
        </is>
      </c>
    </row>
    <row r="65">
      <c r="A65" s="1" t="inlineStr">
        <is>
          <t>GR-2025-4012</t>
        </is>
      </c>
      <c r="B65" s="1" t="inlineStr">
        <is>
          <t>Elias Moreno</t>
        </is>
      </c>
      <c r="C65" s="1" t="inlineStr">
        <is>
          <t>Performance stock unit</t>
        </is>
      </c>
      <c r="D65" s="2" t="n">
        <v>45849</v>
      </c>
      <c r="E65" s="2" t="n">
        <v>45815</v>
      </c>
      <c r="F65" s="1" t="n">
        <v>12</v>
      </c>
      <c r="G65" s="1" t="inlineStr">
        <is>
          <t>48 months monthly after a 12-month cliff</t>
        </is>
      </c>
      <c r="H65" s="1" t="n">
        <v>3</v>
      </c>
      <c r="I65" s="2" t="n">
        <v>46363</v>
      </c>
      <c r="J65" s="1" t="n">
        <v>16314</v>
      </c>
      <c r="K65" s="1" t="n">
        <v>65259</v>
      </c>
      <c r="L65" s="1">
        <f>L64+J65</f>
        <v/>
      </c>
      <c r="M65" s="1">
        <f>K65-L65</f>
        <v/>
      </c>
      <c r="N65" s="1" t="n">
        <v>0</v>
      </c>
      <c r="O65" s="1" t="inlineStr">
        <is>
          <t>Unvested</t>
        </is>
      </c>
    </row>
    <row r="66">
      <c r="A66" s="1" t="inlineStr">
        <is>
          <t>GR-2025-4012</t>
        </is>
      </c>
      <c r="B66" s="1" t="inlineStr">
        <is>
          <t>Elias Moreno</t>
        </is>
      </c>
      <c r="C66" s="1" t="inlineStr">
        <is>
          <t>Performance stock unit</t>
        </is>
      </c>
      <c r="D66" s="2" t="n">
        <v>45849</v>
      </c>
      <c r="E66" s="2" t="n">
        <v>45815</v>
      </c>
      <c r="F66" s="1" t="n">
        <v>12</v>
      </c>
      <c r="G66" s="1" t="inlineStr">
        <is>
          <t>48 months monthly after a 12-month cliff</t>
        </is>
      </c>
      <c r="H66" s="1" t="n">
        <v>4</v>
      </c>
      <c r="I66" s="2" t="n">
        <v>46453</v>
      </c>
      <c r="J66" s="1" t="n">
        <v>16317</v>
      </c>
      <c r="K66" s="1" t="n">
        <v>65259</v>
      </c>
      <c r="L66" s="1">
        <f>L65+J66</f>
        <v/>
      </c>
      <c r="M66" s="1">
        <f>K66-L66</f>
        <v/>
      </c>
      <c r="N66" s="1" t="n">
        <v>0</v>
      </c>
      <c r="O66" s="1" t="inlineStr">
        <is>
          <t>Unvested</t>
        </is>
      </c>
    </row>
    <row r="67">
      <c r="A67" s="1" t="inlineStr">
        <is>
          <t>GR-2024-4013</t>
        </is>
      </c>
      <c r="B67" s="1" t="inlineStr">
        <is>
          <t>Gideon Marsh</t>
        </is>
      </c>
      <c r="C67" s="1" t="inlineStr">
        <is>
          <t>Performance stock unit</t>
        </is>
      </c>
      <c r="D67" s="2" t="n">
        <v>45548</v>
      </c>
      <c r="E67" s="2" t="n">
        <v>45496</v>
      </c>
      <c r="F67" s="1" t="n">
        <v>12</v>
      </c>
      <c r="G67" s="1" t="inlineStr">
        <is>
          <t>48 months monthly after a 12-month cliff</t>
        </is>
      </c>
      <c r="H67" s="1" t="n">
        <v>1</v>
      </c>
      <c r="I67" s="2" t="n">
        <v>45861</v>
      </c>
      <c r="J67" s="1" t="n">
        <v>10018</v>
      </c>
      <c r="K67" s="1" t="n">
        <v>30055</v>
      </c>
      <c r="L67" s="1">
        <f>J67</f>
        <v/>
      </c>
      <c r="M67" s="1">
        <f>K67-L67</f>
        <v/>
      </c>
      <c r="N67" s="1" t="n">
        <v>0</v>
      </c>
      <c r="O67" s="1" t="inlineStr">
        <is>
          <t>Vested</t>
        </is>
      </c>
    </row>
    <row r="68">
      <c r="A68" s="1" t="inlineStr">
        <is>
          <t>GR-2024-4013</t>
        </is>
      </c>
      <c r="B68" s="1" t="inlineStr">
        <is>
          <t>Gideon Marsh</t>
        </is>
      </c>
      <c r="C68" s="1" t="inlineStr">
        <is>
          <t>Performance stock unit</t>
        </is>
      </c>
      <c r="D68" s="2" t="n">
        <v>45548</v>
      </c>
      <c r="E68" s="2" t="n">
        <v>45496</v>
      </c>
      <c r="F68" s="1" t="n">
        <v>12</v>
      </c>
      <c r="G68" s="1" t="inlineStr">
        <is>
          <t>48 months monthly after a 12-month cliff</t>
        </is>
      </c>
      <c r="H68" s="1" t="n">
        <v>2</v>
      </c>
      <c r="I68" s="2" t="n">
        <v>45953</v>
      </c>
      <c r="J68" s="1" t="n">
        <v>10018</v>
      </c>
      <c r="K68" s="1" t="n">
        <v>30055</v>
      </c>
      <c r="L68" s="1">
        <f>L67+J68</f>
        <v/>
      </c>
      <c r="M68" s="1">
        <f>K68-L68</f>
        <v/>
      </c>
      <c r="N68" s="1" t="n">
        <v>0</v>
      </c>
      <c r="O68" s="1" t="inlineStr">
        <is>
          <t>Vested</t>
        </is>
      </c>
    </row>
    <row r="69">
      <c r="A69" s="1" t="inlineStr">
        <is>
          <t>GR-2024-4013</t>
        </is>
      </c>
      <c r="B69" s="1" t="inlineStr">
        <is>
          <t>Gideon Marsh</t>
        </is>
      </c>
      <c r="C69" s="1" t="inlineStr">
        <is>
          <t>Performance stock unit</t>
        </is>
      </c>
      <c r="D69" s="2" t="n">
        <v>45548</v>
      </c>
      <c r="E69" s="2" t="n">
        <v>45496</v>
      </c>
      <c r="F69" s="1" t="n">
        <v>12</v>
      </c>
      <c r="G69" s="1" t="inlineStr">
        <is>
          <t>48 months monthly after a 12-month cliff</t>
        </is>
      </c>
      <c r="H69" s="1" t="n">
        <v>3</v>
      </c>
      <c r="I69" s="2" t="n">
        <v>46045</v>
      </c>
      <c r="J69" s="1" t="n">
        <v>10019</v>
      </c>
      <c r="K69" s="1" t="n">
        <v>30055</v>
      </c>
      <c r="L69" s="1">
        <f>L68+J69</f>
        <v/>
      </c>
      <c r="M69" s="1">
        <f>K69-L69</f>
        <v/>
      </c>
      <c r="N69" s="1" t="n">
        <v>0</v>
      </c>
      <c r="O69" s="1" t="inlineStr">
        <is>
          <t>Vested</t>
        </is>
      </c>
    </row>
    <row r="70">
      <c r="A70" s="1" t="inlineStr">
        <is>
          <t>GR-2025-4014</t>
        </is>
      </c>
      <c r="B70" s="1" t="inlineStr">
        <is>
          <t>Kwame Asante</t>
        </is>
      </c>
      <c r="C70" s="1" t="inlineStr">
        <is>
          <t>Incentive stock option</t>
        </is>
      </c>
      <c r="D70" s="2" t="n">
        <v>45954</v>
      </c>
      <c r="E70" s="2" t="n">
        <v>45940</v>
      </c>
      <c r="F70" s="1" t="n">
        <v>6</v>
      </c>
      <c r="G70" s="1" t="inlineStr">
        <is>
          <t>16 quarterly tranches</t>
        </is>
      </c>
      <c r="H70" s="1" t="n">
        <v>1</v>
      </c>
      <c r="I70" s="2" t="n">
        <v>46122</v>
      </c>
      <c r="J70" s="1" t="n">
        <v>15491</v>
      </c>
      <c r="K70" s="1" t="n">
        <v>92949</v>
      </c>
      <c r="L70" s="1">
        <f>J70</f>
        <v/>
      </c>
      <c r="M70" s="1">
        <f>K70-L70</f>
        <v/>
      </c>
      <c r="N70" s="1" t="n">
        <v>0</v>
      </c>
      <c r="O70" s="1" t="inlineStr">
        <is>
          <t>Vested</t>
        </is>
      </c>
    </row>
    <row r="71">
      <c r="A71" s="1" t="inlineStr">
        <is>
          <t>GR-2025-4014</t>
        </is>
      </c>
      <c r="B71" s="1" t="inlineStr">
        <is>
          <t>Kwame Asante</t>
        </is>
      </c>
      <c r="C71" s="1" t="inlineStr">
        <is>
          <t>Incentive stock option</t>
        </is>
      </c>
      <c r="D71" s="2" t="n">
        <v>45954</v>
      </c>
      <c r="E71" s="2" t="n">
        <v>45940</v>
      </c>
      <c r="F71" s="1" t="n">
        <v>6</v>
      </c>
      <c r="G71" s="1" t="inlineStr">
        <is>
          <t>16 quarterly tranches</t>
        </is>
      </c>
      <c r="H71" s="1" t="n">
        <v>2</v>
      </c>
      <c r="I71" s="2" t="n">
        <v>46213</v>
      </c>
      <c r="J71" s="1" t="n">
        <v>15491</v>
      </c>
      <c r="K71" s="1" t="n">
        <v>92949</v>
      </c>
      <c r="L71" s="1">
        <f>L70+J71</f>
        <v/>
      </c>
      <c r="M71" s="1">
        <f>K71-L71</f>
        <v/>
      </c>
      <c r="N71" s="1" t="n">
        <v>0</v>
      </c>
      <c r="O71" s="1" t="inlineStr">
        <is>
          <t>Vested</t>
        </is>
      </c>
    </row>
    <row r="72">
      <c r="A72" s="1" t="inlineStr">
        <is>
          <t>GR-2025-4014</t>
        </is>
      </c>
      <c r="B72" s="1" t="inlineStr">
        <is>
          <t>Kwame Asante</t>
        </is>
      </c>
      <c r="C72" s="1" t="inlineStr">
        <is>
          <t>Incentive stock option</t>
        </is>
      </c>
      <c r="D72" s="2" t="n">
        <v>45954</v>
      </c>
      <c r="E72" s="2" t="n">
        <v>45940</v>
      </c>
      <c r="F72" s="1" t="n">
        <v>6</v>
      </c>
      <c r="G72" s="1" t="inlineStr">
        <is>
          <t>16 quarterly tranches</t>
        </is>
      </c>
      <c r="H72" s="1" t="n">
        <v>3</v>
      </c>
      <c r="I72" s="2" t="n">
        <v>46305</v>
      </c>
      <c r="J72" s="1" t="n">
        <v>15491</v>
      </c>
      <c r="K72" s="1" t="n">
        <v>92949</v>
      </c>
      <c r="L72" s="1">
        <f>L71+J72</f>
        <v/>
      </c>
      <c r="M72" s="1">
        <f>K72-L72</f>
        <v/>
      </c>
      <c r="N72" s="1" t="n">
        <v>0</v>
      </c>
      <c r="O72" s="1" t="inlineStr">
        <is>
          <t>Unvested</t>
        </is>
      </c>
    </row>
    <row r="73">
      <c r="A73" s="1" t="inlineStr">
        <is>
          <t>GR-2025-4014</t>
        </is>
      </c>
      <c r="B73" s="1" t="inlineStr">
        <is>
          <t>Kwame Asante</t>
        </is>
      </c>
      <c r="C73" s="1" t="inlineStr">
        <is>
          <t>Incentive stock option</t>
        </is>
      </c>
      <c r="D73" s="2" t="n">
        <v>45954</v>
      </c>
      <c r="E73" s="2" t="n">
        <v>45940</v>
      </c>
      <c r="F73" s="1" t="n">
        <v>6</v>
      </c>
      <c r="G73" s="1" t="inlineStr">
        <is>
          <t>16 quarterly tranches</t>
        </is>
      </c>
      <c r="H73" s="1" t="n">
        <v>4</v>
      </c>
      <c r="I73" s="2" t="n">
        <v>46397</v>
      </c>
      <c r="J73" s="1" t="n">
        <v>15491</v>
      </c>
      <c r="K73" s="1" t="n">
        <v>92949</v>
      </c>
      <c r="L73" s="1">
        <f>L72+J73</f>
        <v/>
      </c>
      <c r="M73" s="1">
        <f>K73-L73</f>
        <v/>
      </c>
      <c r="N73" s="1" t="n">
        <v>0</v>
      </c>
      <c r="O73" s="1" t="inlineStr">
        <is>
          <t>Unvested</t>
        </is>
      </c>
    </row>
    <row r="74">
      <c r="A74" s="1" t="inlineStr">
        <is>
          <t>GR-2025-4014</t>
        </is>
      </c>
      <c r="B74" s="1" t="inlineStr">
        <is>
          <t>Kwame Asante</t>
        </is>
      </c>
      <c r="C74" s="1" t="inlineStr">
        <is>
          <t>Incentive stock option</t>
        </is>
      </c>
      <c r="D74" s="2" t="n">
        <v>45954</v>
      </c>
      <c r="E74" s="2" t="n">
        <v>45940</v>
      </c>
      <c r="F74" s="1" t="n">
        <v>6</v>
      </c>
      <c r="G74" s="1" t="inlineStr">
        <is>
          <t>16 quarterly tranches</t>
        </is>
      </c>
      <c r="H74" s="1" t="n">
        <v>5</v>
      </c>
      <c r="I74" s="2" t="n">
        <v>46487</v>
      </c>
      <c r="J74" s="1" t="n">
        <v>15491</v>
      </c>
      <c r="K74" s="1" t="n">
        <v>92949</v>
      </c>
      <c r="L74" s="1">
        <f>L73+J74</f>
        <v/>
      </c>
      <c r="M74" s="1">
        <f>K74-L74</f>
        <v/>
      </c>
      <c r="N74" s="1" t="n">
        <v>0</v>
      </c>
      <c r="O74" s="1" t="inlineStr">
        <is>
          <t>Unvested</t>
        </is>
      </c>
    </row>
    <row r="75">
      <c r="A75" s="1" t="inlineStr">
        <is>
          <t>GR-2025-4014</t>
        </is>
      </c>
      <c r="B75" s="1" t="inlineStr">
        <is>
          <t>Kwame Asante</t>
        </is>
      </c>
      <c r="C75" s="1" t="inlineStr">
        <is>
          <t>Incentive stock option</t>
        </is>
      </c>
      <c r="D75" s="2" t="n">
        <v>45954</v>
      </c>
      <c r="E75" s="2" t="n">
        <v>45940</v>
      </c>
      <c r="F75" s="1" t="n">
        <v>6</v>
      </c>
      <c r="G75" s="1" t="inlineStr">
        <is>
          <t>16 quarterly tranches</t>
        </is>
      </c>
      <c r="H75" s="1" t="n">
        <v>6</v>
      </c>
      <c r="I75" s="2" t="n">
        <v>46578</v>
      </c>
      <c r="J75" s="1" t="n">
        <v>15494</v>
      </c>
      <c r="K75" s="1" t="n">
        <v>92949</v>
      </c>
      <c r="L75" s="1">
        <f>L74+J75</f>
        <v/>
      </c>
      <c r="M75" s="1">
        <f>K75-L75</f>
        <v/>
      </c>
      <c r="N75" s="1" t="n">
        <v>0</v>
      </c>
      <c r="O75" s="1" t="inlineStr">
        <is>
          <t>Unvested</t>
        </is>
      </c>
    </row>
    <row r="76">
      <c r="A76" s="1" t="inlineStr">
        <is>
          <t>GR-2024-4015</t>
        </is>
      </c>
      <c r="B76" s="1" t="inlineStr">
        <is>
          <t>Marcus Oyelaran</t>
        </is>
      </c>
      <c r="C76" s="1" t="inlineStr">
        <is>
          <t>Nonqualified stock option</t>
        </is>
      </c>
      <c r="D76" s="2" t="n">
        <v>45561</v>
      </c>
      <c r="E76" s="2" t="n">
        <v>45472</v>
      </c>
      <c r="F76" s="1" t="n">
        <v>6</v>
      </c>
      <c r="G76" s="1" t="inlineStr">
        <is>
          <t>Performance tranches on board certification</t>
        </is>
      </c>
      <c r="H76" s="1" t="n">
        <v>1</v>
      </c>
      <c r="I76" s="2" t="n">
        <v>45655</v>
      </c>
      <c r="J76" s="1" t="n">
        <v>18778</v>
      </c>
      <c r="K76" s="1" t="n">
        <v>93893</v>
      </c>
      <c r="L76" s="1">
        <f>J76</f>
        <v/>
      </c>
      <c r="M76" s="1">
        <f>K76-L76</f>
        <v/>
      </c>
      <c r="N76" s="1" t="n">
        <v>0</v>
      </c>
      <c r="O76" s="1" t="inlineStr">
        <is>
          <t>Vested</t>
        </is>
      </c>
    </row>
    <row r="77">
      <c r="A77" s="1" t="inlineStr">
        <is>
          <t>GR-2024-4015</t>
        </is>
      </c>
      <c r="B77" s="1" t="inlineStr">
        <is>
          <t>Marcus Oyelaran</t>
        </is>
      </c>
      <c r="C77" s="1" t="inlineStr">
        <is>
          <t>Nonqualified stock option</t>
        </is>
      </c>
      <c r="D77" s="2" t="n">
        <v>45561</v>
      </c>
      <c r="E77" s="2" t="n">
        <v>45472</v>
      </c>
      <c r="F77" s="1" t="n">
        <v>6</v>
      </c>
      <c r="G77" s="1" t="inlineStr">
        <is>
          <t>Performance tranches on board certification</t>
        </is>
      </c>
      <c r="H77" s="1" t="n">
        <v>2</v>
      </c>
      <c r="I77" s="2" t="n">
        <v>45745</v>
      </c>
      <c r="J77" s="1" t="n">
        <v>18778</v>
      </c>
      <c r="K77" s="1" t="n">
        <v>93893</v>
      </c>
      <c r="L77" s="1">
        <f>L76+J77</f>
        <v/>
      </c>
      <c r="M77" s="1">
        <f>K77-L77</f>
        <v/>
      </c>
      <c r="N77" s="1" t="n">
        <v>0</v>
      </c>
      <c r="O77" s="1" t="inlineStr">
        <is>
          <t>Vested</t>
        </is>
      </c>
    </row>
    <row r="78">
      <c r="A78" s="1" t="inlineStr">
        <is>
          <t>GR-2024-4015</t>
        </is>
      </c>
      <c r="B78" s="1" t="inlineStr">
        <is>
          <t>Marcus Oyelaran</t>
        </is>
      </c>
      <c r="C78" s="1" t="inlineStr">
        <is>
          <t>Nonqualified stock option</t>
        </is>
      </c>
      <c r="D78" s="2" t="n">
        <v>45561</v>
      </c>
      <c r="E78" s="2" t="n">
        <v>45472</v>
      </c>
      <c r="F78" s="1" t="n">
        <v>6</v>
      </c>
      <c r="G78" s="1" t="inlineStr">
        <is>
          <t>Performance tranches on board certification</t>
        </is>
      </c>
      <c r="H78" s="1" t="n">
        <v>3</v>
      </c>
      <c r="I78" s="2" t="n">
        <v>45837</v>
      </c>
      <c r="J78" s="1" t="n">
        <v>18778</v>
      </c>
      <c r="K78" s="1" t="n">
        <v>93893</v>
      </c>
      <c r="L78" s="1">
        <f>L77+J78</f>
        <v/>
      </c>
      <c r="M78" s="1">
        <f>K78-L78</f>
        <v/>
      </c>
      <c r="N78" s="1" t="n">
        <v>0</v>
      </c>
      <c r="O78" s="1" t="inlineStr">
        <is>
          <t>Vested</t>
        </is>
      </c>
    </row>
    <row r="79">
      <c r="A79" s="1" t="inlineStr">
        <is>
          <t>GR-2024-4015</t>
        </is>
      </c>
      <c r="B79" s="1" t="inlineStr">
        <is>
          <t>Marcus Oyelaran</t>
        </is>
      </c>
      <c r="C79" s="1" t="inlineStr">
        <is>
          <t>Nonqualified stock option</t>
        </is>
      </c>
      <c r="D79" s="2" t="n">
        <v>45561</v>
      </c>
      <c r="E79" s="2" t="n">
        <v>45472</v>
      </c>
      <c r="F79" s="1" t="n">
        <v>6</v>
      </c>
      <c r="G79" s="1" t="inlineStr">
        <is>
          <t>Performance tranches on board certification</t>
        </is>
      </c>
      <c r="H79" s="1" t="n">
        <v>4</v>
      </c>
      <c r="I79" s="2" t="n">
        <v>45929</v>
      </c>
      <c r="J79" s="1" t="n">
        <v>18778</v>
      </c>
      <c r="K79" s="1" t="n">
        <v>93893</v>
      </c>
      <c r="L79" s="1">
        <f>L78+J79</f>
        <v/>
      </c>
      <c r="M79" s="1">
        <f>K79-L79</f>
        <v/>
      </c>
      <c r="N79" s="1" t="n">
        <v>0</v>
      </c>
      <c r="O79" s="1" t="inlineStr">
        <is>
          <t>Vested</t>
        </is>
      </c>
    </row>
    <row r="80">
      <c r="A80" s="1" t="inlineStr">
        <is>
          <t>GR-2024-4015</t>
        </is>
      </c>
      <c r="B80" s="1" t="inlineStr">
        <is>
          <t>Marcus Oyelaran</t>
        </is>
      </c>
      <c r="C80" s="1" t="inlineStr">
        <is>
          <t>Nonqualified stock option</t>
        </is>
      </c>
      <c r="D80" s="2" t="n">
        <v>45561</v>
      </c>
      <c r="E80" s="2" t="n">
        <v>45472</v>
      </c>
      <c r="F80" s="1" t="n">
        <v>6</v>
      </c>
      <c r="G80" s="1" t="inlineStr">
        <is>
          <t>Performance tranches on board certification</t>
        </is>
      </c>
      <c r="H80" s="1" t="n">
        <v>5</v>
      </c>
      <c r="I80" s="2" t="n">
        <v>46020</v>
      </c>
      <c r="J80" s="1" t="n">
        <v>18781</v>
      </c>
      <c r="K80" s="1" t="n">
        <v>93893</v>
      </c>
      <c r="L80" s="1">
        <f>L79+J80</f>
        <v/>
      </c>
      <c r="M80" s="1">
        <f>K80-L80</f>
        <v/>
      </c>
      <c r="N80" s="1" t="n">
        <v>0</v>
      </c>
      <c r="O80" s="1" t="inlineStr">
        <is>
          <t>Vested</t>
        </is>
      </c>
    </row>
    <row r="81">
      <c r="A81" s="1" t="inlineStr">
        <is>
          <t>GR-2023-4016</t>
        </is>
      </c>
      <c r="B81" s="1" t="inlineStr">
        <is>
          <t>Odile Bergstrom</t>
        </is>
      </c>
      <c r="C81" s="1" t="inlineStr">
        <is>
          <t>Restricted stock unit</t>
        </is>
      </c>
      <c r="D81" s="2" t="n">
        <v>45058</v>
      </c>
      <c r="E81" s="2" t="n">
        <v>45054</v>
      </c>
      <c r="F81" s="1" t="n">
        <v>12</v>
      </c>
      <c r="G81" s="1" t="inlineStr">
        <is>
          <t>16 quarterly tranches</t>
        </is>
      </c>
      <c r="H81" s="1" t="n">
        <v>1</v>
      </c>
      <c r="I81" s="2" t="n">
        <v>45420</v>
      </c>
      <c r="J81" s="1" t="n">
        <v>13321</v>
      </c>
      <c r="K81" s="1" t="n">
        <v>53286</v>
      </c>
      <c r="L81" s="1">
        <f>J81</f>
        <v/>
      </c>
      <c r="M81" s="1">
        <f>K81-L81</f>
        <v/>
      </c>
      <c r="N81" s="1" t="n">
        <v>0</v>
      </c>
      <c r="O81" s="1" t="inlineStr">
        <is>
          <t>Vested</t>
        </is>
      </c>
    </row>
    <row r="82">
      <c r="A82" s="1" t="inlineStr">
        <is>
          <t>GR-2023-4016</t>
        </is>
      </c>
      <c r="B82" s="1" t="inlineStr">
        <is>
          <t>Odile Bergstrom</t>
        </is>
      </c>
      <c r="C82" s="1" t="inlineStr">
        <is>
          <t>Restricted stock unit</t>
        </is>
      </c>
      <c r="D82" s="2" t="n">
        <v>45058</v>
      </c>
      <c r="E82" s="2" t="n">
        <v>45054</v>
      </c>
      <c r="F82" s="1" t="n">
        <v>12</v>
      </c>
      <c r="G82" s="1" t="inlineStr">
        <is>
          <t>16 quarterly tranches</t>
        </is>
      </c>
      <c r="H82" s="1" t="n">
        <v>2</v>
      </c>
      <c r="I82" s="2" t="n">
        <v>45512</v>
      </c>
      <c r="J82" s="1" t="n">
        <v>13321</v>
      </c>
      <c r="K82" s="1" t="n">
        <v>53286</v>
      </c>
      <c r="L82" s="1">
        <f>L81+J82</f>
        <v/>
      </c>
      <c r="M82" s="1">
        <f>K82-L82</f>
        <v/>
      </c>
      <c r="N82" s="1" t="n">
        <v>0</v>
      </c>
      <c r="O82" s="1" t="inlineStr">
        <is>
          <t>Vested</t>
        </is>
      </c>
    </row>
    <row r="83">
      <c r="A83" s="1" t="inlineStr">
        <is>
          <t>GR-2023-4016</t>
        </is>
      </c>
      <c r="B83" s="1" t="inlineStr">
        <is>
          <t>Odile Bergstrom</t>
        </is>
      </c>
      <c r="C83" s="1" t="inlineStr">
        <is>
          <t>Restricted stock unit</t>
        </is>
      </c>
      <c r="D83" s="2" t="n">
        <v>45058</v>
      </c>
      <c r="E83" s="2" t="n">
        <v>45054</v>
      </c>
      <c r="F83" s="1" t="n">
        <v>12</v>
      </c>
      <c r="G83" s="1" t="inlineStr">
        <is>
          <t>16 quarterly tranches</t>
        </is>
      </c>
      <c r="H83" s="1" t="n">
        <v>3</v>
      </c>
      <c r="I83" s="2" t="n">
        <v>45604</v>
      </c>
      <c r="J83" s="1" t="n">
        <v>13321</v>
      </c>
      <c r="K83" s="1" t="n">
        <v>53286</v>
      </c>
      <c r="L83" s="1">
        <f>L82+J83</f>
        <v/>
      </c>
      <c r="M83" s="1">
        <f>K83-L83</f>
        <v/>
      </c>
      <c r="N83" s="1" t="n">
        <v>0</v>
      </c>
      <c r="O83" s="1" t="inlineStr">
        <is>
          <t>Vested</t>
        </is>
      </c>
    </row>
    <row r="84">
      <c r="A84" s="1" t="inlineStr">
        <is>
          <t>GR-2023-4016</t>
        </is>
      </c>
      <c r="B84" s="1" t="inlineStr">
        <is>
          <t>Odile Bergstrom</t>
        </is>
      </c>
      <c r="C84" s="1" t="inlineStr">
        <is>
          <t>Restricted stock unit</t>
        </is>
      </c>
      <c r="D84" s="2" t="n">
        <v>45058</v>
      </c>
      <c r="E84" s="2" t="n">
        <v>45054</v>
      </c>
      <c r="F84" s="1" t="n">
        <v>12</v>
      </c>
      <c r="G84" s="1" t="inlineStr">
        <is>
          <t>16 quarterly tranches</t>
        </is>
      </c>
      <c r="H84" s="1" t="n">
        <v>4</v>
      </c>
      <c r="I84" s="2" t="n">
        <v>45696</v>
      </c>
      <c r="J84" s="1" t="n">
        <v>13323</v>
      </c>
      <c r="K84" s="1" t="n">
        <v>53286</v>
      </c>
      <c r="L84" s="1">
        <f>L83+J84</f>
        <v/>
      </c>
      <c r="M84" s="1">
        <f>K84-L84</f>
        <v/>
      </c>
      <c r="N84" s="1" t="n">
        <v>0</v>
      </c>
      <c r="O84" s="1" t="inlineStr">
        <is>
          <t>Vested</t>
        </is>
      </c>
    </row>
    <row r="85">
      <c r="A85" s="1" t="inlineStr">
        <is>
          <t>GR-2023-4017</t>
        </is>
      </c>
      <c r="B85" s="1" t="inlineStr">
        <is>
          <t>Beatrix Sorensen</t>
        </is>
      </c>
      <c r="C85" s="1" t="inlineStr">
        <is>
          <t>Nonqualified stock option</t>
        </is>
      </c>
      <c r="D85" s="2" t="n">
        <v>45217</v>
      </c>
      <c r="E85" s="2" t="n">
        <v>45173</v>
      </c>
      <c r="F85" s="1" t="n">
        <v>0</v>
      </c>
      <c r="G85" s="1" t="inlineStr">
        <is>
          <t>48 months monthly after a 12-month cliff</t>
        </is>
      </c>
      <c r="H85" s="1" t="n">
        <v>1</v>
      </c>
      <c r="I85" s="2" t="n">
        <v>45173</v>
      </c>
      <c r="J85" s="1" t="n">
        <v>14984</v>
      </c>
      <c r="K85" s="1" t="n">
        <v>89904</v>
      </c>
      <c r="L85" s="1">
        <f>J85</f>
        <v/>
      </c>
      <c r="M85" s="1">
        <f>K85-L85</f>
        <v/>
      </c>
      <c r="N85" s="1" t="n">
        <v>0</v>
      </c>
      <c r="O85" s="1" t="inlineStr">
        <is>
          <t>Vested</t>
        </is>
      </c>
    </row>
    <row r="86">
      <c r="A86" s="1" t="inlineStr">
        <is>
          <t>GR-2023-4017</t>
        </is>
      </c>
      <c r="B86" s="1" t="inlineStr">
        <is>
          <t>Beatrix Sorensen</t>
        </is>
      </c>
      <c r="C86" s="1" t="inlineStr">
        <is>
          <t>Nonqualified stock option</t>
        </is>
      </c>
      <c r="D86" s="2" t="n">
        <v>45217</v>
      </c>
      <c r="E86" s="2" t="n">
        <v>45173</v>
      </c>
      <c r="F86" s="1" t="n">
        <v>0</v>
      </c>
      <c r="G86" s="1" t="inlineStr">
        <is>
          <t>48 months monthly after a 12-month cliff</t>
        </is>
      </c>
      <c r="H86" s="1" t="n">
        <v>2</v>
      </c>
      <c r="I86" s="2" t="n">
        <v>45264</v>
      </c>
      <c r="J86" s="1" t="n">
        <v>14984</v>
      </c>
      <c r="K86" s="1" t="n">
        <v>89904</v>
      </c>
      <c r="L86" s="1">
        <f>L85+J86</f>
        <v/>
      </c>
      <c r="M86" s="1">
        <f>K86-L86</f>
        <v/>
      </c>
      <c r="N86" s="1" t="n">
        <v>0</v>
      </c>
      <c r="O86" s="1" t="inlineStr">
        <is>
          <t>Vested</t>
        </is>
      </c>
    </row>
    <row r="87">
      <c r="A87" s="1" t="inlineStr">
        <is>
          <t>GR-2023-4017</t>
        </is>
      </c>
      <c r="B87" s="1" t="inlineStr">
        <is>
          <t>Beatrix Sorensen</t>
        </is>
      </c>
      <c r="C87" s="1" t="inlineStr">
        <is>
          <t>Nonqualified stock option</t>
        </is>
      </c>
      <c r="D87" s="2" t="n">
        <v>45217</v>
      </c>
      <c r="E87" s="2" t="n">
        <v>45173</v>
      </c>
      <c r="F87" s="1" t="n">
        <v>0</v>
      </c>
      <c r="G87" s="1" t="inlineStr">
        <is>
          <t>48 months monthly after a 12-month cliff</t>
        </is>
      </c>
      <c r="H87" s="1" t="n">
        <v>3</v>
      </c>
      <c r="I87" s="2" t="n">
        <v>45355</v>
      </c>
      <c r="J87" s="1" t="n">
        <v>14984</v>
      </c>
      <c r="K87" s="1" t="n">
        <v>89904</v>
      </c>
      <c r="L87" s="1">
        <f>L86+J87</f>
        <v/>
      </c>
      <c r="M87" s="1">
        <f>K87-L87</f>
        <v/>
      </c>
      <c r="N87" s="1" t="n">
        <v>0</v>
      </c>
      <c r="O87" s="1" t="inlineStr">
        <is>
          <t>Vested</t>
        </is>
      </c>
    </row>
    <row r="88">
      <c r="A88" s="1" t="inlineStr">
        <is>
          <t>GR-2023-4017</t>
        </is>
      </c>
      <c r="B88" s="1" t="inlineStr">
        <is>
          <t>Beatrix Sorensen</t>
        </is>
      </c>
      <c r="C88" s="1" t="inlineStr">
        <is>
          <t>Nonqualified stock option</t>
        </is>
      </c>
      <c r="D88" s="2" t="n">
        <v>45217</v>
      </c>
      <c r="E88" s="2" t="n">
        <v>45173</v>
      </c>
      <c r="F88" s="1" t="n">
        <v>0</v>
      </c>
      <c r="G88" s="1" t="inlineStr">
        <is>
          <t>48 months monthly after a 12-month cliff</t>
        </is>
      </c>
      <c r="H88" s="1" t="n">
        <v>4</v>
      </c>
      <c r="I88" s="2" t="n">
        <v>45447</v>
      </c>
      <c r="J88" s="1" t="n">
        <v>14984</v>
      </c>
      <c r="K88" s="1" t="n">
        <v>89904</v>
      </c>
      <c r="L88" s="1">
        <f>L87+J88</f>
        <v/>
      </c>
      <c r="M88" s="1">
        <f>K88-L88</f>
        <v/>
      </c>
      <c r="N88" s="1" t="n">
        <v>0</v>
      </c>
      <c r="O88" s="1" t="inlineStr">
        <is>
          <t>Vested</t>
        </is>
      </c>
    </row>
    <row r="89">
      <c r="A89" s="1" t="inlineStr">
        <is>
          <t>GR-2023-4017</t>
        </is>
      </c>
      <c r="B89" s="1" t="inlineStr">
        <is>
          <t>Beatrix Sorensen</t>
        </is>
      </c>
      <c r="C89" s="1" t="inlineStr">
        <is>
          <t>Nonqualified stock option</t>
        </is>
      </c>
      <c r="D89" s="2" t="n">
        <v>45217</v>
      </c>
      <c r="E89" s="2" t="n">
        <v>45173</v>
      </c>
      <c r="F89" s="1" t="n">
        <v>0</v>
      </c>
      <c r="G89" s="1" t="inlineStr">
        <is>
          <t>48 months monthly after a 12-month cliff</t>
        </is>
      </c>
      <c r="H89" s="1" t="n">
        <v>5</v>
      </c>
      <c r="I89" s="2" t="n">
        <v>45539</v>
      </c>
      <c r="J89" s="1" t="n">
        <v>14984</v>
      </c>
      <c r="K89" s="1" t="n">
        <v>89904</v>
      </c>
      <c r="L89" s="1">
        <f>L88+J89</f>
        <v/>
      </c>
      <c r="M89" s="1">
        <f>K89-L89</f>
        <v/>
      </c>
      <c r="N89" s="1" t="n">
        <v>0</v>
      </c>
      <c r="O89" s="1" t="inlineStr">
        <is>
          <t>Vested</t>
        </is>
      </c>
    </row>
    <row r="90">
      <c r="A90" s="1" t="inlineStr">
        <is>
          <t>GR-2023-4017</t>
        </is>
      </c>
      <c r="B90" s="1" t="inlineStr">
        <is>
          <t>Beatrix Sorensen</t>
        </is>
      </c>
      <c r="C90" s="1" t="inlineStr">
        <is>
          <t>Nonqualified stock option</t>
        </is>
      </c>
      <c r="D90" s="2" t="n">
        <v>45217</v>
      </c>
      <c r="E90" s="2" t="n">
        <v>45173</v>
      </c>
      <c r="F90" s="1" t="n">
        <v>0</v>
      </c>
      <c r="G90" s="1" t="inlineStr">
        <is>
          <t>48 months monthly after a 12-month cliff</t>
        </is>
      </c>
      <c r="H90" s="1" t="n">
        <v>6</v>
      </c>
      <c r="I90" s="2" t="n">
        <v>45630</v>
      </c>
      <c r="J90" s="1" t="n">
        <v>14984</v>
      </c>
      <c r="K90" s="1" t="n">
        <v>89904</v>
      </c>
      <c r="L90" s="1">
        <f>L89+J90</f>
        <v/>
      </c>
      <c r="M90" s="1">
        <f>K90-L90</f>
        <v/>
      </c>
      <c r="N90" s="1" t="n">
        <v>0</v>
      </c>
      <c r="O90" s="1" t="inlineStr">
        <is>
          <t>Vested</t>
        </is>
      </c>
    </row>
    <row r="91">
      <c r="A91" s="1" t="inlineStr">
        <is>
          <t>GR-2024-4018</t>
        </is>
      </c>
      <c r="B91" s="1" t="inlineStr">
        <is>
          <t>Tomas Ferreira</t>
        </is>
      </c>
      <c r="C91" s="1" t="inlineStr">
        <is>
          <t>Incentive stock option</t>
        </is>
      </c>
      <c r="D91" s="2" t="n">
        <v>45560</v>
      </c>
      <c r="E91" s="2" t="n">
        <v>45487</v>
      </c>
      <c r="F91" s="1" t="n">
        <v>12</v>
      </c>
      <c r="G91" s="1" t="inlineStr">
        <is>
          <t>Performance tranches on board certification</t>
        </is>
      </c>
      <c r="H91" s="1" t="n">
        <v>1</v>
      </c>
      <c r="I91" s="2" t="n">
        <v>45852</v>
      </c>
      <c r="J91" s="1" t="n">
        <v>22744</v>
      </c>
      <c r="K91" s="1" t="n">
        <v>90976</v>
      </c>
      <c r="L91" s="1">
        <f>J91</f>
        <v/>
      </c>
      <c r="M91" s="1">
        <f>K91-L91</f>
        <v/>
      </c>
      <c r="N91" s="1" t="n">
        <v>0</v>
      </c>
      <c r="O91" s="1" t="inlineStr">
        <is>
          <t>Vested</t>
        </is>
      </c>
    </row>
    <row r="92">
      <c r="A92" s="1" t="inlineStr">
        <is>
          <t>GR-2024-4018</t>
        </is>
      </c>
      <c r="B92" s="1" t="inlineStr">
        <is>
          <t>Tomas Ferreira</t>
        </is>
      </c>
      <c r="C92" s="1" t="inlineStr">
        <is>
          <t>Incentive stock option</t>
        </is>
      </c>
      <c r="D92" s="2" t="n">
        <v>45560</v>
      </c>
      <c r="E92" s="2" t="n">
        <v>45487</v>
      </c>
      <c r="F92" s="1" t="n">
        <v>12</v>
      </c>
      <c r="G92" s="1" t="inlineStr">
        <is>
          <t>Performance tranches on board certification</t>
        </is>
      </c>
      <c r="H92" s="1" t="n">
        <v>2</v>
      </c>
      <c r="I92" s="2" t="n">
        <v>45944</v>
      </c>
      <c r="J92" s="1" t="n">
        <v>22744</v>
      </c>
      <c r="K92" s="1" t="n">
        <v>90976</v>
      </c>
      <c r="L92" s="1">
        <f>L91+J92</f>
        <v/>
      </c>
      <c r="M92" s="1">
        <f>K92-L92</f>
        <v/>
      </c>
      <c r="N92" s="1" t="n">
        <v>0</v>
      </c>
      <c r="O92" s="1" t="inlineStr">
        <is>
          <t>Vested</t>
        </is>
      </c>
    </row>
    <row r="93">
      <c r="A93" s="1" t="inlineStr">
        <is>
          <t>GR-2024-4018</t>
        </is>
      </c>
      <c r="B93" s="1" t="inlineStr">
        <is>
          <t>Tomas Ferreira</t>
        </is>
      </c>
      <c r="C93" s="1" t="inlineStr">
        <is>
          <t>Incentive stock option</t>
        </is>
      </c>
      <c r="D93" s="2" t="n">
        <v>45560</v>
      </c>
      <c r="E93" s="2" t="n">
        <v>45487</v>
      </c>
      <c r="F93" s="1" t="n">
        <v>12</v>
      </c>
      <c r="G93" s="1" t="inlineStr">
        <is>
          <t>Performance tranches on board certification</t>
        </is>
      </c>
      <c r="H93" s="1" t="n">
        <v>3</v>
      </c>
      <c r="I93" s="2" t="n">
        <v>46036</v>
      </c>
      <c r="J93" s="1" t="n">
        <v>22744</v>
      </c>
      <c r="K93" s="1" t="n">
        <v>90976</v>
      </c>
      <c r="L93" s="1">
        <f>L92+J93</f>
        <v/>
      </c>
      <c r="M93" s="1">
        <f>K93-L93</f>
        <v/>
      </c>
      <c r="N93" s="1" t="n">
        <v>0</v>
      </c>
      <c r="O93" s="1" t="inlineStr">
        <is>
          <t>Vested</t>
        </is>
      </c>
    </row>
    <row r="94">
      <c r="A94" s="1" t="inlineStr">
        <is>
          <t>GR-2024-4018</t>
        </is>
      </c>
      <c r="B94" s="1" t="inlineStr">
        <is>
          <t>Tomas Ferreira</t>
        </is>
      </c>
      <c r="C94" s="1" t="inlineStr">
        <is>
          <t>Incentive stock option</t>
        </is>
      </c>
      <c r="D94" s="2" t="n">
        <v>45560</v>
      </c>
      <c r="E94" s="2" t="n">
        <v>45487</v>
      </c>
      <c r="F94" s="1" t="n">
        <v>12</v>
      </c>
      <c r="G94" s="1" t="inlineStr">
        <is>
          <t>Performance tranches on board certification</t>
        </is>
      </c>
      <c r="H94" s="1" t="n">
        <v>4</v>
      </c>
      <c r="I94" s="2" t="n">
        <v>46126</v>
      </c>
      <c r="J94" s="1" t="n">
        <v>22744</v>
      </c>
      <c r="K94" s="1" t="n">
        <v>90976</v>
      </c>
      <c r="L94" s="1">
        <f>L93+J94</f>
        <v/>
      </c>
      <c r="M94" s="1">
        <f>K94-L94</f>
        <v/>
      </c>
      <c r="N94" s="1" t="n">
        <v>0</v>
      </c>
      <c r="O94" s="1" t="inlineStr">
        <is>
          <t>Vested</t>
        </is>
      </c>
    </row>
    <row r="95">
      <c r="A95" s="1" t="inlineStr">
        <is>
          <t>GR-2025-4019</t>
        </is>
      </c>
      <c r="B95" s="1" t="inlineStr">
        <is>
          <t>Sasha Lindqvist</t>
        </is>
      </c>
      <c r="C95" s="1" t="inlineStr">
        <is>
          <t>Nonqualified stock option</t>
        </is>
      </c>
      <c r="D95" s="2" t="n">
        <v>46007</v>
      </c>
      <c r="E95" s="2" t="n">
        <v>45948</v>
      </c>
      <c r="F95" s="1" t="n">
        <v>6</v>
      </c>
      <c r="G95" s="1" t="inlineStr">
        <is>
          <t>Performance tranches on board certification</t>
        </is>
      </c>
      <c r="H95" s="1" t="n">
        <v>1</v>
      </c>
      <c r="I95" s="2" t="n">
        <v>46130</v>
      </c>
      <c r="J95" s="1" t="n">
        <v>18569</v>
      </c>
      <c r="K95" s="1" t="n">
        <v>55708</v>
      </c>
      <c r="L95" s="1">
        <f>J95</f>
        <v/>
      </c>
      <c r="M95" s="1">
        <f>K95-L95</f>
        <v/>
      </c>
      <c r="N95" s="1" t="n">
        <v>0</v>
      </c>
      <c r="O95" s="1" t="inlineStr">
        <is>
          <t>Vested</t>
        </is>
      </c>
    </row>
    <row r="96">
      <c r="A96" s="1" t="inlineStr">
        <is>
          <t>GR-2025-4019</t>
        </is>
      </c>
      <c r="B96" s="1" t="inlineStr">
        <is>
          <t>Sasha Lindqvist</t>
        </is>
      </c>
      <c r="C96" s="1" t="inlineStr">
        <is>
          <t>Nonqualified stock option</t>
        </is>
      </c>
      <c r="D96" s="2" t="n">
        <v>46007</v>
      </c>
      <c r="E96" s="2" t="n">
        <v>45948</v>
      </c>
      <c r="F96" s="1" t="n">
        <v>6</v>
      </c>
      <c r="G96" s="1" t="inlineStr">
        <is>
          <t>Performance tranches on board certification</t>
        </is>
      </c>
      <c r="H96" s="1" t="n">
        <v>2</v>
      </c>
      <c r="I96" s="2" t="n">
        <v>46221</v>
      </c>
      <c r="J96" s="1" t="n">
        <v>18569</v>
      </c>
      <c r="K96" s="1" t="n">
        <v>55708</v>
      </c>
      <c r="L96" s="1">
        <f>L95+J96</f>
        <v/>
      </c>
      <c r="M96" s="1">
        <f>K96-L96</f>
        <v/>
      </c>
      <c r="N96" s="1" t="n">
        <v>0</v>
      </c>
      <c r="O96" s="1" t="inlineStr">
        <is>
          <t>Vested</t>
        </is>
      </c>
    </row>
    <row r="97">
      <c r="A97" s="1" t="inlineStr">
        <is>
          <t>GR-2025-4019</t>
        </is>
      </c>
      <c r="B97" s="1" t="inlineStr">
        <is>
          <t>Sasha Lindqvist</t>
        </is>
      </c>
      <c r="C97" s="1" t="inlineStr">
        <is>
          <t>Nonqualified stock option</t>
        </is>
      </c>
      <c r="D97" s="2" t="n">
        <v>46007</v>
      </c>
      <c r="E97" s="2" t="n">
        <v>45948</v>
      </c>
      <c r="F97" s="1" t="n">
        <v>6</v>
      </c>
      <c r="G97" s="1" t="inlineStr">
        <is>
          <t>Performance tranches on board certification</t>
        </is>
      </c>
      <c r="H97" s="1" t="n">
        <v>3</v>
      </c>
      <c r="I97" s="2" t="n">
        <v>46313</v>
      </c>
      <c r="J97" s="1" t="n">
        <v>18570</v>
      </c>
      <c r="K97" s="1" t="n">
        <v>55708</v>
      </c>
      <c r="L97" s="1">
        <f>L96+J97</f>
        <v/>
      </c>
      <c r="M97" s="1">
        <f>K97-L97</f>
        <v/>
      </c>
      <c r="N97" s="1" t="n">
        <v>0</v>
      </c>
      <c r="O97" s="1" t="inlineStr">
        <is>
          <t>Unvested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grant_id</t>
        </is>
      </c>
      <c r="B1" s="1" t="inlineStr">
        <is>
          <t>holder</t>
        </is>
      </c>
      <c r="C1" s="1" t="inlineStr">
        <is>
          <t>award_type</t>
        </is>
      </c>
      <c r="D1" s="1" t="inlineStr">
        <is>
          <t>grant_date</t>
        </is>
      </c>
      <c r="E1" s="1" t="inlineStr">
        <is>
          <t>vest_start</t>
        </is>
      </c>
      <c r="F1" s="1" t="inlineStr">
        <is>
          <t>cliff_months</t>
        </is>
      </c>
      <c r="G1" s="1" t="inlineStr">
        <is>
          <t>schedule</t>
        </is>
      </c>
      <c r="H1" s="1" t="inlineStr">
        <is>
          <t>tranche_no</t>
        </is>
      </c>
      <c r="I1" s="1" t="inlineStr">
        <is>
          <t>tranche_date</t>
        </is>
      </c>
      <c r="J1" s="1" t="inlineStr">
        <is>
          <t>tranche_quantity</t>
        </is>
      </c>
      <c r="K1" s="1" t="inlineStr">
        <is>
          <t>grant_quantity</t>
        </is>
      </c>
      <c r="L1" s="1" t="inlineStr">
        <is>
          <t>cumulative_vested</t>
        </is>
      </c>
      <c r="M1" s="1" t="inlineStr">
        <is>
          <t>unvested</t>
        </is>
      </c>
      <c r="N1" s="1" t="inlineStr">
        <is>
          <t>forfeited</t>
        </is>
      </c>
      <c r="O1" s="1" t="inlineStr">
        <is>
          <t>status</t>
        </is>
      </c>
    </row>
    <row r="2">
      <c r="A2" s="1" t="inlineStr">
        <is>
          <t>GR-2023-5001</t>
        </is>
      </c>
      <c r="B2" s="1" t="inlineStr">
        <is>
          <t>Hollis Ferrand</t>
        </is>
      </c>
      <c r="C2" s="1" t="inlineStr">
        <is>
          <t>Nonqualified stock option</t>
        </is>
      </c>
      <c r="D2" s="2" t="n">
        <v>45279</v>
      </c>
      <c r="E2" s="2" t="n">
        <v>45261</v>
      </c>
      <c r="F2" s="1" t="n">
        <v>6</v>
      </c>
      <c r="G2" s="1" t="inlineStr">
        <is>
          <t>16 quarterly tranches</t>
        </is>
      </c>
      <c r="H2" s="1" t="n">
        <v>1</v>
      </c>
      <c r="I2" s="2" t="n">
        <v>45444</v>
      </c>
      <c r="J2" s="1" t="n">
        <v>11976</v>
      </c>
      <c r="K2" s="1" t="n">
        <v>83837</v>
      </c>
      <c r="L2" s="1">
        <f>J2</f>
        <v/>
      </c>
      <c r="M2" s="1">
        <f>K2-L2</f>
        <v/>
      </c>
      <c r="N2" s="1" t="n">
        <v>0</v>
      </c>
      <c r="O2" s="1" t="inlineStr">
        <is>
          <t>Vested before termination</t>
        </is>
      </c>
    </row>
    <row r="3">
      <c r="A3" s="1" t="inlineStr">
        <is>
          <t>GR-2023-5001</t>
        </is>
      </c>
      <c r="B3" s="1" t="inlineStr">
        <is>
          <t>Hollis Ferrand</t>
        </is>
      </c>
      <c r="C3" s="1" t="inlineStr">
        <is>
          <t>Nonqualified stock option</t>
        </is>
      </c>
      <c r="D3" s="2" t="n">
        <v>45279</v>
      </c>
      <c r="E3" s="2" t="n">
        <v>45261</v>
      </c>
      <c r="F3" s="1" t="n">
        <v>6</v>
      </c>
      <c r="G3" s="1" t="inlineStr">
        <is>
          <t>16 quarterly tranches</t>
        </is>
      </c>
      <c r="H3" s="1" t="n">
        <v>2</v>
      </c>
      <c r="I3" s="2" t="n">
        <v>45536</v>
      </c>
      <c r="J3" s="1" t="n">
        <v>11976</v>
      </c>
      <c r="K3" s="1" t="n">
        <v>83837</v>
      </c>
      <c r="L3" s="1">
        <f>L2+J3</f>
        <v/>
      </c>
      <c r="M3" s="1">
        <f>K3-L3</f>
        <v/>
      </c>
      <c r="N3" s="1" t="n">
        <v>11976</v>
      </c>
      <c r="O3" s="1" t="inlineStr">
        <is>
          <t>Forfeited on termination</t>
        </is>
      </c>
    </row>
    <row r="4">
      <c r="A4" s="1" t="inlineStr">
        <is>
          <t>GR-2023-5001</t>
        </is>
      </c>
      <c r="B4" s="1" t="inlineStr">
        <is>
          <t>Hollis Ferrand</t>
        </is>
      </c>
      <c r="C4" s="1" t="inlineStr">
        <is>
          <t>Nonqualified stock option</t>
        </is>
      </c>
      <c r="D4" s="2" t="n">
        <v>45279</v>
      </c>
      <c r="E4" s="2" t="n">
        <v>45261</v>
      </c>
      <c r="F4" s="1" t="n">
        <v>6</v>
      </c>
      <c r="G4" s="1" t="inlineStr">
        <is>
          <t>16 quarterly tranches</t>
        </is>
      </c>
      <c r="H4" s="1" t="n">
        <v>3</v>
      </c>
      <c r="I4" s="2" t="n">
        <v>45627</v>
      </c>
      <c r="J4" s="1" t="n">
        <v>11976</v>
      </c>
      <c r="K4" s="1" t="n">
        <v>83837</v>
      </c>
      <c r="L4" s="1">
        <f>L3+J4</f>
        <v/>
      </c>
      <c r="M4" s="1">
        <f>K4-L4</f>
        <v/>
      </c>
      <c r="N4" s="1" t="n">
        <v>11976</v>
      </c>
      <c r="O4" s="1" t="inlineStr">
        <is>
          <t>Forfeited on termination</t>
        </is>
      </c>
    </row>
    <row r="5">
      <c r="A5" s="1" t="inlineStr">
        <is>
          <t>GR-2023-5001</t>
        </is>
      </c>
      <c r="B5" s="1" t="inlineStr">
        <is>
          <t>Hollis Ferrand</t>
        </is>
      </c>
      <c r="C5" s="1" t="inlineStr">
        <is>
          <t>Nonqualified stock option</t>
        </is>
      </c>
      <c r="D5" s="2" t="n">
        <v>45279</v>
      </c>
      <c r="E5" s="2" t="n">
        <v>45261</v>
      </c>
      <c r="F5" s="1" t="n">
        <v>6</v>
      </c>
      <c r="G5" s="1" t="inlineStr">
        <is>
          <t>16 quarterly tranches</t>
        </is>
      </c>
      <c r="H5" s="1" t="n">
        <v>4</v>
      </c>
      <c r="I5" s="2" t="n">
        <v>45717</v>
      </c>
      <c r="J5" s="1" t="n">
        <v>11976</v>
      </c>
      <c r="K5" s="1" t="n">
        <v>83837</v>
      </c>
      <c r="L5" s="1">
        <f>L4+J5</f>
        <v/>
      </c>
      <c r="M5" s="1">
        <f>K5-L5</f>
        <v/>
      </c>
      <c r="N5" s="1" t="n">
        <v>11976</v>
      </c>
      <c r="O5" s="1" t="inlineStr">
        <is>
          <t>Forfeited on termination</t>
        </is>
      </c>
    </row>
    <row r="6">
      <c r="A6" s="1" t="inlineStr">
        <is>
          <t>GR-2023-5001</t>
        </is>
      </c>
      <c r="B6" s="1" t="inlineStr">
        <is>
          <t>Hollis Ferrand</t>
        </is>
      </c>
      <c r="C6" s="1" t="inlineStr">
        <is>
          <t>Nonqualified stock option</t>
        </is>
      </c>
      <c r="D6" s="2" t="n">
        <v>45279</v>
      </c>
      <c r="E6" s="2" t="n">
        <v>45261</v>
      </c>
      <c r="F6" s="1" t="n">
        <v>6</v>
      </c>
      <c r="G6" s="1" t="inlineStr">
        <is>
          <t>16 quarterly tranches</t>
        </is>
      </c>
      <c r="H6" s="1" t="n">
        <v>5</v>
      </c>
      <c r="I6" s="2" t="n">
        <v>45809</v>
      </c>
      <c r="J6" s="1" t="n">
        <v>11976</v>
      </c>
      <c r="K6" s="1" t="n">
        <v>83837</v>
      </c>
      <c r="L6" s="1">
        <f>L5+J6</f>
        <v/>
      </c>
      <c r="M6" s="1">
        <f>K6-L6</f>
        <v/>
      </c>
      <c r="N6" s="1" t="n">
        <v>11976</v>
      </c>
      <c r="O6" s="1" t="inlineStr">
        <is>
          <t>Forfeited on termination</t>
        </is>
      </c>
    </row>
    <row r="7">
      <c r="A7" s="1" t="inlineStr">
        <is>
          <t>GR-2023-5001</t>
        </is>
      </c>
      <c r="B7" s="1" t="inlineStr">
        <is>
          <t>Hollis Ferrand</t>
        </is>
      </c>
      <c r="C7" s="1" t="inlineStr">
        <is>
          <t>Nonqualified stock option</t>
        </is>
      </c>
      <c r="D7" s="2" t="n">
        <v>45279</v>
      </c>
      <c r="E7" s="2" t="n">
        <v>45261</v>
      </c>
      <c r="F7" s="1" t="n">
        <v>6</v>
      </c>
      <c r="G7" s="1" t="inlineStr">
        <is>
          <t>16 quarterly tranches</t>
        </is>
      </c>
      <c r="H7" s="1" t="n">
        <v>6</v>
      </c>
      <c r="I7" s="2" t="n">
        <v>45901</v>
      </c>
      <c r="J7" s="1" t="n">
        <v>11976</v>
      </c>
      <c r="K7" s="1" t="n">
        <v>83837</v>
      </c>
      <c r="L7" s="1">
        <f>L6+J7</f>
        <v/>
      </c>
      <c r="M7" s="1">
        <f>K7-L7</f>
        <v/>
      </c>
      <c r="N7" s="1" t="n">
        <v>11976</v>
      </c>
      <c r="O7" s="1" t="inlineStr">
        <is>
          <t>Forfeited on termination</t>
        </is>
      </c>
    </row>
    <row r="8">
      <c r="A8" s="1" t="inlineStr">
        <is>
          <t>GR-2023-5001</t>
        </is>
      </c>
      <c r="B8" s="1" t="inlineStr">
        <is>
          <t>Hollis Ferrand</t>
        </is>
      </c>
      <c r="C8" s="1" t="inlineStr">
        <is>
          <t>Nonqualified stock option</t>
        </is>
      </c>
      <c r="D8" s="2" t="n">
        <v>45279</v>
      </c>
      <c r="E8" s="2" t="n">
        <v>45261</v>
      </c>
      <c r="F8" s="1" t="n">
        <v>6</v>
      </c>
      <c r="G8" s="1" t="inlineStr">
        <is>
          <t>16 quarterly tranches</t>
        </is>
      </c>
      <c r="H8" s="1" t="n">
        <v>7</v>
      </c>
      <c r="I8" s="2" t="n">
        <v>45992</v>
      </c>
      <c r="J8" s="1" t="n">
        <v>11981</v>
      </c>
      <c r="K8" s="1" t="n">
        <v>83837</v>
      </c>
      <c r="L8" s="1">
        <f>L7+J8</f>
        <v/>
      </c>
      <c r="M8" s="1">
        <f>K8-L8</f>
        <v/>
      </c>
      <c r="N8" s="1" t="n">
        <v>11981</v>
      </c>
      <c r="O8" s="1" t="inlineStr">
        <is>
          <t>Forfeited on termination</t>
        </is>
      </c>
    </row>
    <row r="9">
      <c r="A9" s="1" t="inlineStr">
        <is>
          <t>GR-2024-5002</t>
        </is>
      </c>
      <c r="B9" s="1" t="inlineStr">
        <is>
          <t>Tomas Ferreira</t>
        </is>
      </c>
      <c r="C9" s="1" t="inlineStr">
        <is>
          <t>Incentive stock option</t>
        </is>
      </c>
      <c r="D9" s="2" t="n">
        <v>45482</v>
      </c>
      <c r="E9" s="2" t="n">
        <v>45416</v>
      </c>
      <c r="F9" s="1" t="n">
        <v>12</v>
      </c>
      <c r="G9" s="1" t="inlineStr">
        <is>
          <t>16 quarterly tranches</t>
        </is>
      </c>
      <c r="H9" s="1" t="n">
        <v>1</v>
      </c>
      <c r="I9" s="2" t="n">
        <v>45781</v>
      </c>
      <c r="J9" s="1" t="n">
        <v>21251</v>
      </c>
      <c r="K9" s="1" t="n">
        <v>85006</v>
      </c>
      <c r="L9" s="1">
        <f>J9</f>
        <v/>
      </c>
      <c r="M9" s="1">
        <f>K9-L9</f>
        <v/>
      </c>
      <c r="N9" s="1" t="n">
        <v>0</v>
      </c>
      <c r="O9" s="1" t="inlineStr">
        <is>
          <t>Vested before termination</t>
        </is>
      </c>
    </row>
    <row r="10">
      <c r="A10" s="1" t="inlineStr">
        <is>
          <t>GR-2024-5002</t>
        </is>
      </c>
      <c r="B10" s="1" t="inlineStr">
        <is>
          <t>Tomas Ferreira</t>
        </is>
      </c>
      <c r="C10" s="1" t="inlineStr">
        <is>
          <t>Incentive stock option</t>
        </is>
      </c>
      <c r="D10" s="2" t="n">
        <v>45482</v>
      </c>
      <c r="E10" s="2" t="n">
        <v>45416</v>
      </c>
      <c r="F10" s="1" t="n">
        <v>12</v>
      </c>
      <c r="G10" s="1" t="inlineStr">
        <is>
          <t>16 quarterly tranches</t>
        </is>
      </c>
      <c r="H10" s="1" t="n">
        <v>2</v>
      </c>
      <c r="I10" s="2" t="n">
        <v>45873</v>
      </c>
      <c r="J10" s="1" t="n">
        <v>21251</v>
      </c>
      <c r="K10" s="1" t="n">
        <v>85006</v>
      </c>
      <c r="L10" s="1">
        <f>L9+J10</f>
        <v/>
      </c>
      <c r="M10" s="1">
        <f>K10-L10</f>
        <v/>
      </c>
      <c r="N10" s="1" t="n">
        <v>21251</v>
      </c>
      <c r="O10" s="1" t="inlineStr">
        <is>
          <t>Forfeited on termination</t>
        </is>
      </c>
    </row>
    <row r="11">
      <c r="A11" s="1" t="inlineStr">
        <is>
          <t>GR-2024-5002</t>
        </is>
      </c>
      <c r="B11" s="1" t="inlineStr">
        <is>
          <t>Tomas Ferreira</t>
        </is>
      </c>
      <c r="C11" s="1" t="inlineStr">
        <is>
          <t>Incentive stock option</t>
        </is>
      </c>
      <c r="D11" s="2" t="n">
        <v>45482</v>
      </c>
      <c r="E11" s="2" t="n">
        <v>45416</v>
      </c>
      <c r="F11" s="1" t="n">
        <v>12</v>
      </c>
      <c r="G11" s="1" t="inlineStr">
        <is>
          <t>16 quarterly tranches</t>
        </is>
      </c>
      <c r="H11" s="1" t="n">
        <v>3</v>
      </c>
      <c r="I11" s="2" t="n">
        <v>45965</v>
      </c>
      <c r="J11" s="1" t="n">
        <v>21251</v>
      </c>
      <c r="K11" s="1" t="n">
        <v>85006</v>
      </c>
      <c r="L11" s="1">
        <f>L10+J11</f>
        <v/>
      </c>
      <c r="M11" s="1">
        <f>K11-L11</f>
        <v/>
      </c>
      <c r="N11" s="1" t="n">
        <v>21251</v>
      </c>
      <c r="O11" s="1" t="inlineStr">
        <is>
          <t>Forfeited on termination</t>
        </is>
      </c>
    </row>
    <row r="12">
      <c r="A12" s="1" t="inlineStr">
        <is>
          <t>GR-2024-5002</t>
        </is>
      </c>
      <c r="B12" s="1" t="inlineStr">
        <is>
          <t>Tomas Ferreira</t>
        </is>
      </c>
      <c r="C12" s="1" t="inlineStr">
        <is>
          <t>Incentive stock option</t>
        </is>
      </c>
      <c r="D12" s="2" t="n">
        <v>45482</v>
      </c>
      <c r="E12" s="2" t="n">
        <v>45416</v>
      </c>
      <c r="F12" s="1" t="n">
        <v>12</v>
      </c>
      <c r="G12" s="1" t="inlineStr">
        <is>
          <t>16 quarterly tranches</t>
        </is>
      </c>
      <c r="H12" s="1" t="n">
        <v>4</v>
      </c>
      <c r="I12" s="2" t="n">
        <v>46057</v>
      </c>
      <c r="J12" s="1" t="n">
        <v>21253</v>
      </c>
      <c r="K12" s="1" t="n">
        <v>85006</v>
      </c>
      <c r="L12" s="1">
        <f>L11+J12</f>
        <v/>
      </c>
      <c r="M12" s="1">
        <f>K12-L12</f>
        <v/>
      </c>
      <c r="N12" s="1" t="n">
        <v>21253</v>
      </c>
      <c r="O12" s="1" t="inlineStr">
        <is>
          <t>Forfeited on termination</t>
        </is>
      </c>
    </row>
    <row r="13">
      <c r="A13" s="1" t="inlineStr">
        <is>
          <t>GR-2022-5003</t>
        </is>
      </c>
      <c r="B13" s="1" t="inlineStr">
        <is>
          <t>Nadia Berkovich</t>
        </is>
      </c>
      <c r="C13" s="1" t="inlineStr">
        <is>
          <t>Nonqualified stock option</t>
        </is>
      </c>
      <c r="D13" s="2" t="n">
        <v>44798</v>
      </c>
      <c r="E13" s="2" t="n">
        <v>44780</v>
      </c>
      <c r="F13" s="1" t="n">
        <v>12</v>
      </c>
      <c r="G13" s="1" t="inlineStr">
        <is>
          <t>36 months monthly, no cliff</t>
        </is>
      </c>
      <c r="H13" s="1" t="n">
        <v>1</v>
      </c>
      <c r="I13" s="2" t="n">
        <v>45145</v>
      </c>
      <c r="J13" s="1" t="n">
        <v>7433</v>
      </c>
      <c r="K13" s="1" t="n">
        <v>52036</v>
      </c>
      <c r="L13" s="1">
        <f>J13</f>
        <v/>
      </c>
      <c r="M13" s="1">
        <f>K13-L13</f>
        <v/>
      </c>
      <c r="N13" s="1" t="n">
        <v>0</v>
      </c>
      <c r="O13" s="1" t="inlineStr">
        <is>
          <t>Vested before termination</t>
        </is>
      </c>
    </row>
    <row r="14">
      <c r="A14" s="1" t="inlineStr">
        <is>
          <t>GR-2022-5003</t>
        </is>
      </c>
      <c r="B14" s="1" t="inlineStr">
        <is>
          <t>Nadia Berkovich</t>
        </is>
      </c>
      <c r="C14" s="1" t="inlineStr">
        <is>
          <t>Nonqualified stock option</t>
        </is>
      </c>
      <c r="D14" s="2" t="n">
        <v>44798</v>
      </c>
      <c r="E14" s="2" t="n">
        <v>44780</v>
      </c>
      <c r="F14" s="1" t="n">
        <v>12</v>
      </c>
      <c r="G14" s="1" t="inlineStr">
        <is>
          <t>36 months monthly, no cliff</t>
        </is>
      </c>
      <c r="H14" s="1" t="n">
        <v>2</v>
      </c>
      <c r="I14" s="2" t="n">
        <v>45237</v>
      </c>
      <c r="J14" s="1" t="n">
        <v>7433</v>
      </c>
      <c r="K14" s="1" t="n">
        <v>52036</v>
      </c>
      <c r="L14" s="1">
        <f>L13+J14</f>
        <v/>
      </c>
      <c r="M14" s="1">
        <f>K14-L14</f>
        <v/>
      </c>
      <c r="N14" s="1" t="n">
        <v>7433</v>
      </c>
      <c r="O14" s="1" t="inlineStr">
        <is>
          <t>Forfeited on termination</t>
        </is>
      </c>
    </row>
    <row r="15">
      <c r="A15" s="1" t="inlineStr">
        <is>
          <t>GR-2022-5003</t>
        </is>
      </c>
      <c r="B15" s="1" t="inlineStr">
        <is>
          <t>Nadia Berkovich</t>
        </is>
      </c>
      <c r="C15" s="1" t="inlineStr">
        <is>
          <t>Nonqualified stock option</t>
        </is>
      </c>
      <c r="D15" s="2" t="n">
        <v>44798</v>
      </c>
      <c r="E15" s="2" t="n">
        <v>44780</v>
      </c>
      <c r="F15" s="1" t="n">
        <v>12</v>
      </c>
      <c r="G15" s="1" t="inlineStr">
        <is>
          <t>36 months monthly, no cliff</t>
        </is>
      </c>
      <c r="H15" s="1" t="n">
        <v>3</v>
      </c>
      <c r="I15" s="2" t="n">
        <v>45329</v>
      </c>
      <c r="J15" s="1" t="n">
        <v>7433</v>
      </c>
      <c r="K15" s="1" t="n">
        <v>52036</v>
      </c>
      <c r="L15" s="1">
        <f>L14+J15</f>
        <v/>
      </c>
      <c r="M15" s="1">
        <f>K15-L15</f>
        <v/>
      </c>
      <c r="N15" s="1" t="n">
        <v>7433</v>
      </c>
      <c r="O15" s="1" t="inlineStr">
        <is>
          <t>Forfeited on termination</t>
        </is>
      </c>
    </row>
    <row r="16">
      <c r="A16" s="1" t="inlineStr">
        <is>
          <t>GR-2022-5003</t>
        </is>
      </c>
      <c r="B16" s="1" t="inlineStr">
        <is>
          <t>Nadia Berkovich</t>
        </is>
      </c>
      <c r="C16" s="1" t="inlineStr">
        <is>
          <t>Nonqualified stock option</t>
        </is>
      </c>
      <c r="D16" s="2" t="n">
        <v>44798</v>
      </c>
      <c r="E16" s="2" t="n">
        <v>44780</v>
      </c>
      <c r="F16" s="1" t="n">
        <v>12</v>
      </c>
      <c r="G16" s="1" t="inlineStr">
        <is>
          <t>36 months monthly, no cliff</t>
        </is>
      </c>
      <c r="H16" s="1" t="n">
        <v>4</v>
      </c>
      <c r="I16" s="2" t="n">
        <v>45419</v>
      </c>
      <c r="J16" s="1" t="n">
        <v>7433</v>
      </c>
      <c r="K16" s="1" t="n">
        <v>52036</v>
      </c>
      <c r="L16" s="1">
        <f>L15+J16</f>
        <v/>
      </c>
      <c r="M16" s="1">
        <f>K16-L16</f>
        <v/>
      </c>
      <c r="N16" s="1" t="n">
        <v>7433</v>
      </c>
      <c r="O16" s="1" t="inlineStr">
        <is>
          <t>Forfeited on termination</t>
        </is>
      </c>
    </row>
    <row r="17">
      <c r="A17" s="1" t="inlineStr">
        <is>
          <t>GR-2022-5003</t>
        </is>
      </c>
      <c r="B17" s="1" t="inlineStr">
        <is>
          <t>Nadia Berkovich</t>
        </is>
      </c>
      <c r="C17" s="1" t="inlineStr">
        <is>
          <t>Nonqualified stock option</t>
        </is>
      </c>
      <c r="D17" s="2" t="n">
        <v>44798</v>
      </c>
      <c r="E17" s="2" t="n">
        <v>44780</v>
      </c>
      <c r="F17" s="1" t="n">
        <v>12</v>
      </c>
      <c r="G17" s="1" t="inlineStr">
        <is>
          <t>36 months monthly, no cliff</t>
        </is>
      </c>
      <c r="H17" s="1" t="n">
        <v>5</v>
      </c>
      <c r="I17" s="2" t="n">
        <v>45511</v>
      </c>
      <c r="J17" s="1" t="n">
        <v>7433</v>
      </c>
      <c r="K17" s="1" t="n">
        <v>52036</v>
      </c>
      <c r="L17" s="1">
        <f>L16+J17</f>
        <v/>
      </c>
      <c r="M17" s="1">
        <f>K17-L17</f>
        <v/>
      </c>
      <c r="N17" s="1" t="n">
        <v>7433</v>
      </c>
      <c r="O17" s="1" t="inlineStr">
        <is>
          <t>Forfeited on termination</t>
        </is>
      </c>
    </row>
    <row r="18">
      <c r="A18" s="1" t="inlineStr">
        <is>
          <t>GR-2022-5003</t>
        </is>
      </c>
      <c r="B18" s="1" t="inlineStr">
        <is>
          <t>Nadia Berkovich</t>
        </is>
      </c>
      <c r="C18" s="1" t="inlineStr">
        <is>
          <t>Nonqualified stock option</t>
        </is>
      </c>
      <c r="D18" s="2" t="n">
        <v>44798</v>
      </c>
      <c r="E18" s="2" t="n">
        <v>44780</v>
      </c>
      <c r="F18" s="1" t="n">
        <v>12</v>
      </c>
      <c r="G18" s="1" t="inlineStr">
        <is>
          <t>36 months monthly, no cliff</t>
        </is>
      </c>
      <c r="H18" s="1" t="n">
        <v>6</v>
      </c>
      <c r="I18" s="2" t="n">
        <v>45603</v>
      </c>
      <c r="J18" s="1" t="n">
        <v>7433</v>
      </c>
      <c r="K18" s="1" t="n">
        <v>52036</v>
      </c>
      <c r="L18" s="1">
        <f>L17+J18</f>
        <v/>
      </c>
      <c r="M18" s="1">
        <f>K18-L18</f>
        <v/>
      </c>
      <c r="N18" s="1" t="n">
        <v>7433</v>
      </c>
      <c r="O18" s="1" t="inlineStr">
        <is>
          <t>Forfeited on termination</t>
        </is>
      </c>
    </row>
    <row r="19">
      <c r="A19" s="1" t="inlineStr">
        <is>
          <t>GR-2022-5003</t>
        </is>
      </c>
      <c r="B19" s="1" t="inlineStr">
        <is>
          <t>Nadia Berkovich</t>
        </is>
      </c>
      <c r="C19" s="1" t="inlineStr">
        <is>
          <t>Nonqualified stock option</t>
        </is>
      </c>
      <c r="D19" s="2" t="n">
        <v>44798</v>
      </c>
      <c r="E19" s="2" t="n">
        <v>44780</v>
      </c>
      <c r="F19" s="1" t="n">
        <v>12</v>
      </c>
      <c r="G19" s="1" t="inlineStr">
        <is>
          <t>36 months monthly, no cliff</t>
        </is>
      </c>
      <c r="H19" s="1" t="n">
        <v>7</v>
      </c>
      <c r="I19" s="2" t="n">
        <v>45695</v>
      </c>
      <c r="J19" s="1" t="n">
        <v>7438</v>
      </c>
      <c r="K19" s="1" t="n">
        <v>52036</v>
      </c>
      <c r="L19" s="1">
        <f>L18+J19</f>
        <v/>
      </c>
      <c r="M19" s="1">
        <f>K19-L19</f>
        <v/>
      </c>
      <c r="N19" s="1" t="n">
        <v>7438</v>
      </c>
      <c r="O19" s="1" t="inlineStr">
        <is>
          <t>Forfeited on termination</t>
        </is>
      </c>
    </row>
    <row r="20">
      <c r="A20" s="1" t="inlineStr">
        <is>
          <t>GR-2022-5004</t>
        </is>
      </c>
      <c r="B20" s="1" t="inlineStr">
        <is>
          <t>Kwame Asante</t>
        </is>
      </c>
      <c r="C20" s="1" t="inlineStr">
        <is>
          <t>Incentive stock option</t>
        </is>
      </c>
      <c r="D20" s="2" t="n">
        <v>44882</v>
      </c>
      <c r="E20" s="2" t="n">
        <v>44832</v>
      </c>
      <c r="F20" s="1" t="n">
        <v>12</v>
      </c>
      <c r="G20" s="1" t="inlineStr">
        <is>
          <t>4 annual tranches</t>
        </is>
      </c>
      <c r="H20" s="1" t="n">
        <v>1</v>
      </c>
      <c r="I20" s="2" t="n">
        <v>45197</v>
      </c>
      <c r="J20" s="1" t="n">
        <v>2225</v>
      </c>
      <c r="K20" s="1" t="n">
        <v>6677</v>
      </c>
      <c r="L20" s="1">
        <f>J20</f>
        <v/>
      </c>
      <c r="M20" s="1">
        <f>K20-L20</f>
        <v/>
      </c>
      <c r="N20" s="1" t="n">
        <v>0</v>
      </c>
      <c r="O20" s="1" t="inlineStr">
        <is>
          <t>Vested before termination</t>
        </is>
      </c>
    </row>
    <row r="21">
      <c r="A21" s="1" t="inlineStr">
        <is>
          <t>GR-2022-5004</t>
        </is>
      </c>
      <c r="B21" s="1" t="inlineStr">
        <is>
          <t>Kwame Asante</t>
        </is>
      </c>
      <c r="C21" s="1" t="inlineStr">
        <is>
          <t>Incentive stock option</t>
        </is>
      </c>
      <c r="D21" s="2" t="n">
        <v>44882</v>
      </c>
      <c r="E21" s="2" t="n">
        <v>44832</v>
      </c>
      <c r="F21" s="1" t="n">
        <v>12</v>
      </c>
      <c r="G21" s="1" t="inlineStr">
        <is>
          <t>4 annual tranches</t>
        </is>
      </c>
      <c r="H21" s="1" t="n">
        <v>2</v>
      </c>
      <c r="I21" s="2" t="n">
        <v>45288</v>
      </c>
      <c r="J21" s="1" t="n">
        <v>2225</v>
      </c>
      <c r="K21" s="1" t="n">
        <v>6677</v>
      </c>
      <c r="L21" s="1">
        <f>L20+J21</f>
        <v/>
      </c>
      <c r="M21" s="1">
        <f>K21-L21</f>
        <v/>
      </c>
      <c r="N21" s="1" t="n">
        <v>2225</v>
      </c>
      <c r="O21" s="1" t="inlineStr">
        <is>
          <t>Forfeited on termination</t>
        </is>
      </c>
    </row>
    <row r="22">
      <c r="A22" s="1" t="inlineStr">
        <is>
          <t>GR-2022-5004</t>
        </is>
      </c>
      <c r="B22" s="1" t="inlineStr">
        <is>
          <t>Kwame Asante</t>
        </is>
      </c>
      <c r="C22" s="1" t="inlineStr">
        <is>
          <t>Incentive stock option</t>
        </is>
      </c>
      <c r="D22" s="2" t="n">
        <v>44882</v>
      </c>
      <c r="E22" s="2" t="n">
        <v>44832</v>
      </c>
      <c r="F22" s="1" t="n">
        <v>12</v>
      </c>
      <c r="G22" s="1" t="inlineStr">
        <is>
          <t>4 annual tranches</t>
        </is>
      </c>
      <c r="H22" s="1" t="n">
        <v>3</v>
      </c>
      <c r="I22" s="2" t="n">
        <v>45379</v>
      </c>
      <c r="J22" s="1" t="n">
        <v>2227</v>
      </c>
      <c r="K22" s="1" t="n">
        <v>6677</v>
      </c>
      <c r="L22" s="1">
        <f>L21+J22</f>
        <v/>
      </c>
      <c r="M22" s="1">
        <f>K22-L22</f>
        <v/>
      </c>
      <c r="N22" s="1" t="n">
        <v>2227</v>
      </c>
      <c r="O22" s="1" t="inlineStr">
        <is>
          <t>Forfeited on termination</t>
        </is>
      </c>
    </row>
    <row r="23">
      <c r="A23" s="1" t="inlineStr">
        <is>
          <t>GR-2024-5005</t>
        </is>
      </c>
      <c r="B23" s="1" t="inlineStr">
        <is>
          <t>Cormac Bailey</t>
        </is>
      </c>
      <c r="C23" s="1" t="inlineStr">
        <is>
          <t>Performance stock unit</t>
        </is>
      </c>
      <c r="D23" s="2" t="n">
        <v>45450</v>
      </c>
      <c r="E23" s="2" t="n">
        <v>45440</v>
      </c>
      <c r="F23" s="1" t="n">
        <v>12</v>
      </c>
      <c r="G23" s="1" t="inlineStr">
        <is>
          <t>36 months monthly, no cliff</t>
        </is>
      </c>
      <c r="H23" s="1" t="n">
        <v>1</v>
      </c>
      <c r="I23" s="2" t="n">
        <v>45805</v>
      </c>
      <c r="J23" s="1" t="n">
        <v>23770</v>
      </c>
      <c r="K23" s="1" t="n">
        <v>95082</v>
      </c>
      <c r="L23" s="1">
        <f>J23</f>
        <v/>
      </c>
      <c r="M23" s="1">
        <f>K23-L23</f>
        <v/>
      </c>
      <c r="N23" s="1" t="n">
        <v>0</v>
      </c>
      <c r="O23" s="1" t="inlineStr">
        <is>
          <t>Vested before termination</t>
        </is>
      </c>
    </row>
    <row r="24">
      <c r="A24" s="1" t="inlineStr">
        <is>
          <t>GR-2024-5005</t>
        </is>
      </c>
      <c r="B24" s="1" t="inlineStr">
        <is>
          <t>Cormac Bailey</t>
        </is>
      </c>
      <c r="C24" s="1" t="inlineStr">
        <is>
          <t>Performance stock unit</t>
        </is>
      </c>
      <c r="D24" s="2" t="n">
        <v>45450</v>
      </c>
      <c r="E24" s="2" t="n">
        <v>45440</v>
      </c>
      <c r="F24" s="1" t="n">
        <v>12</v>
      </c>
      <c r="G24" s="1" t="inlineStr">
        <is>
          <t>36 months monthly, no cliff</t>
        </is>
      </c>
      <c r="H24" s="1" t="n">
        <v>2</v>
      </c>
      <c r="I24" s="2" t="n">
        <v>45897</v>
      </c>
      <c r="J24" s="1" t="n">
        <v>23770</v>
      </c>
      <c r="K24" s="1" t="n">
        <v>95082</v>
      </c>
      <c r="L24" s="1">
        <f>L23+J24</f>
        <v/>
      </c>
      <c r="M24" s="1">
        <f>K24-L24</f>
        <v/>
      </c>
      <c r="N24" s="1" t="n">
        <v>23770</v>
      </c>
      <c r="O24" s="1" t="inlineStr">
        <is>
          <t>Forfeited on termination</t>
        </is>
      </c>
    </row>
    <row r="25">
      <c r="A25" s="1" t="inlineStr">
        <is>
          <t>GR-2024-5005</t>
        </is>
      </c>
      <c r="B25" s="1" t="inlineStr">
        <is>
          <t>Cormac Bailey</t>
        </is>
      </c>
      <c r="C25" s="1" t="inlineStr">
        <is>
          <t>Performance stock unit</t>
        </is>
      </c>
      <c r="D25" s="2" t="n">
        <v>45450</v>
      </c>
      <c r="E25" s="2" t="n">
        <v>45440</v>
      </c>
      <c r="F25" s="1" t="n">
        <v>12</v>
      </c>
      <c r="G25" s="1" t="inlineStr">
        <is>
          <t>36 months monthly, no cliff</t>
        </is>
      </c>
      <c r="H25" s="1" t="n">
        <v>3</v>
      </c>
      <c r="I25" s="2" t="n">
        <v>45989</v>
      </c>
      <c r="J25" s="1" t="n">
        <v>23770</v>
      </c>
      <c r="K25" s="1" t="n">
        <v>95082</v>
      </c>
      <c r="L25" s="1">
        <f>L24+J25</f>
        <v/>
      </c>
      <c r="M25" s="1">
        <f>K25-L25</f>
        <v/>
      </c>
      <c r="N25" s="1" t="n">
        <v>23770</v>
      </c>
      <c r="O25" s="1" t="inlineStr">
        <is>
          <t>Forfeited on termination</t>
        </is>
      </c>
    </row>
    <row r="26">
      <c r="A26" s="1" t="inlineStr">
        <is>
          <t>GR-2024-5005</t>
        </is>
      </c>
      <c r="B26" s="1" t="inlineStr">
        <is>
          <t>Cormac Bailey</t>
        </is>
      </c>
      <c r="C26" s="1" t="inlineStr">
        <is>
          <t>Performance stock unit</t>
        </is>
      </c>
      <c r="D26" s="2" t="n">
        <v>45450</v>
      </c>
      <c r="E26" s="2" t="n">
        <v>45440</v>
      </c>
      <c r="F26" s="1" t="n">
        <v>12</v>
      </c>
      <c r="G26" s="1" t="inlineStr">
        <is>
          <t>36 months monthly, no cliff</t>
        </is>
      </c>
      <c r="H26" s="1" t="n">
        <v>4</v>
      </c>
      <c r="I26" s="2" t="n">
        <v>46081</v>
      </c>
      <c r="J26" s="1" t="n">
        <v>23772</v>
      </c>
      <c r="K26" s="1" t="n">
        <v>95082</v>
      </c>
      <c r="L26" s="1">
        <f>L25+J26</f>
        <v/>
      </c>
      <c r="M26" s="1">
        <f>K26-L26</f>
        <v/>
      </c>
      <c r="N26" s="1" t="n">
        <v>23772</v>
      </c>
      <c r="O26" s="1" t="inlineStr">
        <is>
          <t>Forfeited on termination</t>
        </is>
      </c>
    </row>
    <row r="27">
      <c r="A27" s="1" t="inlineStr">
        <is>
          <t>GR-2023-5006</t>
        </is>
      </c>
      <c r="B27" s="1" t="inlineStr">
        <is>
          <t>Ellis Trantham</t>
        </is>
      </c>
      <c r="C27" s="1" t="inlineStr">
        <is>
          <t>Incentive stock option</t>
        </is>
      </c>
      <c r="D27" s="2" t="n">
        <v>45236</v>
      </c>
      <c r="E27" s="2" t="n">
        <v>45226</v>
      </c>
      <c r="F27" s="1" t="n">
        <v>0</v>
      </c>
      <c r="G27" s="1" t="inlineStr">
        <is>
          <t>4 annual tranches</t>
        </is>
      </c>
      <c r="H27" s="1" t="n">
        <v>1</v>
      </c>
      <c r="I27" s="2" t="n">
        <v>45226</v>
      </c>
      <c r="J27" s="1" t="n">
        <v>8109</v>
      </c>
      <c r="K27" s="1" t="n">
        <v>64872</v>
      </c>
      <c r="L27" s="1">
        <f>J27</f>
        <v/>
      </c>
      <c r="M27" s="1">
        <f>K27-L27</f>
        <v/>
      </c>
      <c r="N27" s="1" t="n">
        <v>0</v>
      </c>
      <c r="O27" s="1" t="inlineStr">
        <is>
          <t>Vested before termination</t>
        </is>
      </c>
    </row>
    <row r="28">
      <c r="A28" s="1" t="inlineStr">
        <is>
          <t>GR-2023-5006</t>
        </is>
      </c>
      <c r="B28" s="1" t="inlineStr">
        <is>
          <t>Ellis Trantham</t>
        </is>
      </c>
      <c r="C28" s="1" t="inlineStr">
        <is>
          <t>Incentive stock option</t>
        </is>
      </c>
      <c r="D28" s="2" t="n">
        <v>45236</v>
      </c>
      <c r="E28" s="2" t="n">
        <v>45226</v>
      </c>
      <c r="F28" s="1" t="n">
        <v>0</v>
      </c>
      <c r="G28" s="1" t="inlineStr">
        <is>
          <t>4 annual tranches</t>
        </is>
      </c>
      <c r="H28" s="1" t="n">
        <v>2</v>
      </c>
      <c r="I28" s="2" t="n">
        <v>45318</v>
      </c>
      <c r="J28" s="1" t="n">
        <v>8109</v>
      </c>
      <c r="K28" s="1" t="n">
        <v>64872</v>
      </c>
      <c r="L28" s="1">
        <f>L27+J28</f>
        <v/>
      </c>
      <c r="M28" s="1">
        <f>K28-L28</f>
        <v/>
      </c>
      <c r="N28" s="1" t="n">
        <v>8109</v>
      </c>
      <c r="O28" s="1" t="inlineStr">
        <is>
          <t>Forfeited on termination</t>
        </is>
      </c>
    </row>
    <row r="29">
      <c r="A29" s="1" t="inlineStr">
        <is>
          <t>GR-2023-5006</t>
        </is>
      </c>
      <c r="B29" s="1" t="inlineStr">
        <is>
          <t>Ellis Trantham</t>
        </is>
      </c>
      <c r="C29" s="1" t="inlineStr">
        <is>
          <t>Incentive stock option</t>
        </is>
      </c>
      <c r="D29" s="2" t="n">
        <v>45236</v>
      </c>
      <c r="E29" s="2" t="n">
        <v>45226</v>
      </c>
      <c r="F29" s="1" t="n">
        <v>0</v>
      </c>
      <c r="G29" s="1" t="inlineStr">
        <is>
          <t>4 annual tranches</t>
        </is>
      </c>
      <c r="H29" s="1" t="n">
        <v>3</v>
      </c>
      <c r="I29" s="2" t="n">
        <v>45409</v>
      </c>
      <c r="J29" s="1" t="n">
        <v>8109</v>
      </c>
      <c r="K29" s="1" t="n">
        <v>64872</v>
      </c>
      <c r="L29" s="1">
        <f>L28+J29</f>
        <v/>
      </c>
      <c r="M29" s="1">
        <f>K29-L29</f>
        <v/>
      </c>
      <c r="N29" s="1" t="n">
        <v>8109</v>
      </c>
      <c r="O29" s="1" t="inlineStr">
        <is>
          <t>Forfeited on termination</t>
        </is>
      </c>
    </row>
    <row r="30">
      <c r="A30" s="1" t="inlineStr">
        <is>
          <t>GR-2023-5006</t>
        </is>
      </c>
      <c r="B30" s="1" t="inlineStr">
        <is>
          <t>Ellis Trantham</t>
        </is>
      </c>
      <c r="C30" s="1" t="inlineStr">
        <is>
          <t>Incentive stock option</t>
        </is>
      </c>
      <c r="D30" s="2" t="n">
        <v>45236</v>
      </c>
      <c r="E30" s="2" t="n">
        <v>45226</v>
      </c>
      <c r="F30" s="1" t="n">
        <v>0</v>
      </c>
      <c r="G30" s="1" t="inlineStr">
        <is>
          <t>4 annual tranches</t>
        </is>
      </c>
      <c r="H30" s="1" t="n">
        <v>4</v>
      </c>
      <c r="I30" s="2" t="n">
        <v>45500</v>
      </c>
      <c r="J30" s="1" t="n">
        <v>8109</v>
      </c>
      <c r="K30" s="1" t="n">
        <v>64872</v>
      </c>
      <c r="L30" s="1">
        <f>L29+J30</f>
        <v/>
      </c>
      <c r="M30" s="1">
        <f>K30-L30</f>
        <v/>
      </c>
      <c r="N30" s="1" t="n">
        <v>8109</v>
      </c>
      <c r="O30" s="1" t="inlineStr">
        <is>
          <t>Forfeited on termination</t>
        </is>
      </c>
    </row>
    <row r="31">
      <c r="A31" s="1" t="inlineStr">
        <is>
          <t>GR-2023-5006</t>
        </is>
      </c>
      <c r="B31" s="1" t="inlineStr">
        <is>
          <t>Ellis Trantham</t>
        </is>
      </c>
      <c r="C31" s="1" t="inlineStr">
        <is>
          <t>Incentive stock option</t>
        </is>
      </c>
      <c r="D31" s="2" t="n">
        <v>45236</v>
      </c>
      <c r="E31" s="2" t="n">
        <v>45226</v>
      </c>
      <c r="F31" s="1" t="n">
        <v>0</v>
      </c>
      <c r="G31" s="1" t="inlineStr">
        <is>
          <t>4 annual tranches</t>
        </is>
      </c>
      <c r="H31" s="1" t="n">
        <v>5</v>
      </c>
      <c r="I31" s="2" t="n">
        <v>45592</v>
      </c>
      <c r="J31" s="1" t="n">
        <v>8109</v>
      </c>
      <c r="K31" s="1" t="n">
        <v>64872</v>
      </c>
      <c r="L31" s="1">
        <f>L30+J31</f>
        <v/>
      </c>
      <c r="M31" s="1">
        <f>K31-L31</f>
        <v/>
      </c>
      <c r="N31" s="1" t="n">
        <v>8109</v>
      </c>
      <c r="O31" s="1" t="inlineStr">
        <is>
          <t>Forfeited on termination</t>
        </is>
      </c>
    </row>
    <row r="32">
      <c r="A32" s="1" t="inlineStr">
        <is>
          <t>GR-2023-5006</t>
        </is>
      </c>
      <c r="B32" s="1" t="inlineStr">
        <is>
          <t>Ellis Trantham</t>
        </is>
      </c>
      <c r="C32" s="1" t="inlineStr">
        <is>
          <t>Incentive stock option</t>
        </is>
      </c>
      <c r="D32" s="2" t="n">
        <v>45236</v>
      </c>
      <c r="E32" s="2" t="n">
        <v>45226</v>
      </c>
      <c r="F32" s="1" t="n">
        <v>0</v>
      </c>
      <c r="G32" s="1" t="inlineStr">
        <is>
          <t>4 annual tranches</t>
        </is>
      </c>
      <c r="H32" s="1" t="n">
        <v>6</v>
      </c>
      <c r="I32" s="2" t="n">
        <v>45684</v>
      </c>
      <c r="J32" s="1" t="n">
        <v>8109</v>
      </c>
      <c r="K32" s="1" t="n">
        <v>64872</v>
      </c>
      <c r="L32" s="1">
        <f>L31+J32</f>
        <v/>
      </c>
      <c r="M32" s="1">
        <f>K32-L32</f>
        <v/>
      </c>
      <c r="N32" s="1" t="n">
        <v>8109</v>
      </c>
      <c r="O32" s="1" t="inlineStr">
        <is>
          <t>Forfeited on termination</t>
        </is>
      </c>
    </row>
    <row r="33">
      <c r="A33" s="1" t="inlineStr">
        <is>
          <t>GR-2023-5006</t>
        </is>
      </c>
      <c r="B33" s="1" t="inlineStr">
        <is>
          <t>Ellis Trantham</t>
        </is>
      </c>
      <c r="C33" s="1" t="inlineStr">
        <is>
          <t>Incentive stock option</t>
        </is>
      </c>
      <c r="D33" s="2" t="n">
        <v>45236</v>
      </c>
      <c r="E33" s="2" t="n">
        <v>45226</v>
      </c>
      <c r="F33" s="1" t="n">
        <v>0</v>
      </c>
      <c r="G33" s="1" t="inlineStr">
        <is>
          <t>4 annual tranches</t>
        </is>
      </c>
      <c r="H33" s="1" t="n">
        <v>7</v>
      </c>
      <c r="I33" s="2" t="n">
        <v>45774</v>
      </c>
      <c r="J33" s="1" t="n">
        <v>8109</v>
      </c>
      <c r="K33" s="1" t="n">
        <v>64872</v>
      </c>
      <c r="L33" s="1">
        <f>L32+J33</f>
        <v/>
      </c>
      <c r="M33" s="1">
        <f>K33-L33</f>
        <v/>
      </c>
      <c r="N33" s="1" t="n">
        <v>8109</v>
      </c>
      <c r="O33" s="1" t="inlineStr">
        <is>
          <t>Forfeited on termination</t>
        </is>
      </c>
    </row>
    <row r="34">
      <c r="A34" s="1" t="inlineStr">
        <is>
          <t>GR-2023-5006</t>
        </is>
      </c>
      <c r="B34" s="1" t="inlineStr">
        <is>
          <t>Ellis Trantham</t>
        </is>
      </c>
      <c r="C34" s="1" t="inlineStr">
        <is>
          <t>Incentive stock option</t>
        </is>
      </c>
      <c r="D34" s="2" t="n">
        <v>45236</v>
      </c>
      <c r="E34" s="2" t="n">
        <v>45226</v>
      </c>
      <c r="F34" s="1" t="n">
        <v>0</v>
      </c>
      <c r="G34" s="1" t="inlineStr">
        <is>
          <t>4 annual tranches</t>
        </is>
      </c>
      <c r="H34" s="1" t="n">
        <v>8</v>
      </c>
      <c r="I34" s="2" t="n">
        <v>45865</v>
      </c>
      <c r="J34" s="1" t="n">
        <v>8109</v>
      </c>
      <c r="K34" s="1" t="n">
        <v>64872</v>
      </c>
      <c r="L34" s="1">
        <f>L33+J34</f>
        <v/>
      </c>
      <c r="M34" s="1">
        <f>K34-L34</f>
        <v/>
      </c>
      <c r="N34" s="1" t="n">
        <v>8109</v>
      </c>
      <c r="O34" s="1" t="inlineStr">
        <is>
          <t>Forfeited on termination</t>
        </is>
      </c>
    </row>
    <row r="35">
      <c r="A35" s="1" t="inlineStr">
        <is>
          <t>GR-2025-5007</t>
        </is>
      </c>
      <c r="B35" s="1" t="inlineStr">
        <is>
          <t>Fabien Roux</t>
        </is>
      </c>
      <c r="C35" s="1" t="inlineStr">
        <is>
          <t>Restricted stock unit</t>
        </is>
      </c>
      <c r="D35" s="2" t="n">
        <v>45912</v>
      </c>
      <c r="E35" s="2" t="n">
        <v>45891</v>
      </c>
      <c r="F35" s="1" t="n">
        <v>12</v>
      </c>
      <c r="G35" s="1" t="inlineStr">
        <is>
          <t>Performance tranches on board certification</t>
        </is>
      </c>
      <c r="H35" s="1" t="n">
        <v>1</v>
      </c>
      <c r="I35" s="2" t="n">
        <v>46256</v>
      </c>
      <c r="J35" s="1" t="n">
        <v>13484</v>
      </c>
      <c r="K35" s="1" t="n">
        <v>53939</v>
      </c>
      <c r="L35" s="1">
        <f>J35</f>
        <v/>
      </c>
      <c r="M35" s="1">
        <f>K35-L35</f>
        <v/>
      </c>
      <c r="N35" s="1" t="n">
        <v>0</v>
      </c>
      <c r="O35" s="1" t="inlineStr">
        <is>
          <t>Vested before termination</t>
        </is>
      </c>
    </row>
    <row r="36">
      <c r="A36" s="1" t="inlineStr">
        <is>
          <t>GR-2025-5007</t>
        </is>
      </c>
      <c r="B36" s="1" t="inlineStr">
        <is>
          <t>Fabien Roux</t>
        </is>
      </c>
      <c r="C36" s="1" t="inlineStr">
        <is>
          <t>Restricted stock unit</t>
        </is>
      </c>
      <c r="D36" s="2" t="n">
        <v>45912</v>
      </c>
      <c r="E36" s="2" t="n">
        <v>45891</v>
      </c>
      <c r="F36" s="1" t="n">
        <v>12</v>
      </c>
      <c r="G36" s="1" t="inlineStr">
        <is>
          <t>Performance tranches on board certification</t>
        </is>
      </c>
      <c r="H36" s="1" t="n">
        <v>2</v>
      </c>
      <c r="I36" s="2" t="n">
        <v>46348</v>
      </c>
      <c r="J36" s="1" t="n">
        <v>13484</v>
      </c>
      <c r="K36" s="1" t="n">
        <v>53939</v>
      </c>
      <c r="L36" s="1">
        <f>L35+J36</f>
        <v/>
      </c>
      <c r="M36" s="1">
        <f>K36-L36</f>
        <v/>
      </c>
      <c r="N36" s="1" t="n">
        <v>13484</v>
      </c>
      <c r="O36" s="1" t="inlineStr">
        <is>
          <t>Forfeited on termination</t>
        </is>
      </c>
    </row>
    <row r="37">
      <c r="A37" s="1" t="inlineStr">
        <is>
          <t>GR-2025-5007</t>
        </is>
      </c>
      <c r="B37" s="1" t="inlineStr">
        <is>
          <t>Fabien Roux</t>
        </is>
      </c>
      <c r="C37" s="1" t="inlineStr">
        <is>
          <t>Restricted stock unit</t>
        </is>
      </c>
      <c r="D37" s="2" t="n">
        <v>45912</v>
      </c>
      <c r="E37" s="2" t="n">
        <v>45891</v>
      </c>
      <c r="F37" s="1" t="n">
        <v>12</v>
      </c>
      <c r="G37" s="1" t="inlineStr">
        <is>
          <t>Performance tranches on board certification</t>
        </is>
      </c>
      <c r="H37" s="1" t="n">
        <v>3</v>
      </c>
      <c r="I37" s="2" t="n">
        <v>46440</v>
      </c>
      <c r="J37" s="1" t="n">
        <v>13484</v>
      </c>
      <c r="K37" s="1" t="n">
        <v>53939</v>
      </c>
      <c r="L37" s="1">
        <f>L36+J37</f>
        <v/>
      </c>
      <c r="M37" s="1">
        <f>K37-L37</f>
        <v/>
      </c>
      <c r="N37" s="1" t="n">
        <v>13484</v>
      </c>
      <c r="O37" s="1" t="inlineStr">
        <is>
          <t>Forfeited on termination</t>
        </is>
      </c>
    </row>
    <row r="38">
      <c r="A38" s="1" t="inlineStr">
        <is>
          <t>GR-2025-5007</t>
        </is>
      </c>
      <c r="B38" s="1" t="inlineStr">
        <is>
          <t>Fabien Roux</t>
        </is>
      </c>
      <c r="C38" s="1" t="inlineStr">
        <is>
          <t>Restricted stock unit</t>
        </is>
      </c>
      <c r="D38" s="2" t="n">
        <v>45912</v>
      </c>
      <c r="E38" s="2" t="n">
        <v>45891</v>
      </c>
      <c r="F38" s="1" t="n">
        <v>12</v>
      </c>
      <c r="G38" s="1" t="inlineStr">
        <is>
          <t>Performance tranches on board certification</t>
        </is>
      </c>
      <c r="H38" s="1" t="n">
        <v>4</v>
      </c>
      <c r="I38" s="2" t="n">
        <v>46529</v>
      </c>
      <c r="J38" s="1" t="n">
        <v>13487</v>
      </c>
      <c r="K38" s="1" t="n">
        <v>53939</v>
      </c>
      <c r="L38" s="1">
        <f>L37+J38</f>
        <v/>
      </c>
      <c r="M38" s="1">
        <f>K38-L38</f>
        <v/>
      </c>
      <c r="N38" s="1" t="n">
        <v>13487</v>
      </c>
      <c r="O38" s="1" t="inlineStr">
        <is>
          <t>Forfeited on termination</t>
        </is>
      </c>
    </row>
    <row r="39">
      <c r="A39" s="1" t="inlineStr">
        <is>
          <t>GR-2025-5008</t>
        </is>
      </c>
      <c r="B39" s="1" t="inlineStr">
        <is>
          <t>Odile Bergstrom</t>
        </is>
      </c>
      <c r="C39" s="1" t="inlineStr">
        <is>
          <t>Nonqualified stock option</t>
        </is>
      </c>
      <c r="D39" s="2" t="n">
        <v>45931</v>
      </c>
      <c r="E39" s="2" t="n">
        <v>45876</v>
      </c>
      <c r="F39" s="1" t="n">
        <v>0</v>
      </c>
      <c r="G39" s="1" t="inlineStr">
        <is>
          <t>16 quarterly tranches</t>
        </is>
      </c>
      <c r="H39" s="1" t="n">
        <v>1</v>
      </c>
      <c r="I39" s="2" t="n">
        <v>45876</v>
      </c>
      <c r="J39" s="1" t="n">
        <v>419</v>
      </c>
      <c r="K39" s="1" t="n">
        <v>2514</v>
      </c>
      <c r="L39" s="1">
        <f>J39</f>
        <v/>
      </c>
      <c r="M39" s="1">
        <f>K39-L39</f>
        <v/>
      </c>
      <c r="N39" s="1" t="n">
        <v>0</v>
      </c>
      <c r="O39" s="1" t="inlineStr">
        <is>
          <t>Vested before termination</t>
        </is>
      </c>
    </row>
    <row r="40">
      <c r="A40" s="1" t="inlineStr">
        <is>
          <t>GR-2025-5008</t>
        </is>
      </c>
      <c r="B40" s="1" t="inlineStr">
        <is>
          <t>Odile Bergstrom</t>
        </is>
      </c>
      <c r="C40" s="1" t="inlineStr">
        <is>
          <t>Nonqualified stock option</t>
        </is>
      </c>
      <c r="D40" s="2" t="n">
        <v>45931</v>
      </c>
      <c r="E40" s="2" t="n">
        <v>45876</v>
      </c>
      <c r="F40" s="1" t="n">
        <v>0</v>
      </c>
      <c r="G40" s="1" t="inlineStr">
        <is>
          <t>16 quarterly tranches</t>
        </is>
      </c>
      <c r="H40" s="1" t="n">
        <v>2</v>
      </c>
      <c r="I40" s="2" t="n">
        <v>45968</v>
      </c>
      <c r="J40" s="1" t="n">
        <v>419</v>
      </c>
      <c r="K40" s="1" t="n">
        <v>2514</v>
      </c>
      <c r="L40" s="1">
        <f>L39+J40</f>
        <v/>
      </c>
      <c r="M40" s="1">
        <f>K40-L40</f>
        <v/>
      </c>
      <c r="N40" s="1" t="n">
        <v>419</v>
      </c>
      <c r="O40" s="1" t="inlineStr">
        <is>
          <t>Forfeited on termination</t>
        </is>
      </c>
    </row>
    <row r="41">
      <c r="A41" s="1" t="inlineStr">
        <is>
          <t>GR-2025-5008</t>
        </is>
      </c>
      <c r="B41" s="1" t="inlineStr">
        <is>
          <t>Odile Bergstrom</t>
        </is>
      </c>
      <c r="C41" s="1" t="inlineStr">
        <is>
          <t>Nonqualified stock option</t>
        </is>
      </c>
      <c r="D41" s="2" t="n">
        <v>45931</v>
      </c>
      <c r="E41" s="2" t="n">
        <v>45876</v>
      </c>
      <c r="F41" s="1" t="n">
        <v>0</v>
      </c>
      <c r="G41" s="1" t="inlineStr">
        <is>
          <t>16 quarterly tranches</t>
        </is>
      </c>
      <c r="H41" s="1" t="n">
        <v>3</v>
      </c>
      <c r="I41" s="2" t="n">
        <v>46060</v>
      </c>
      <c r="J41" s="1" t="n">
        <v>419</v>
      </c>
      <c r="K41" s="1" t="n">
        <v>2514</v>
      </c>
      <c r="L41" s="1">
        <f>L40+J41</f>
        <v/>
      </c>
      <c r="M41" s="1">
        <f>K41-L41</f>
        <v/>
      </c>
      <c r="N41" s="1" t="n">
        <v>419</v>
      </c>
      <c r="O41" s="1" t="inlineStr">
        <is>
          <t>Forfeited on termination</t>
        </is>
      </c>
    </row>
    <row r="42">
      <c r="A42" s="1" t="inlineStr">
        <is>
          <t>GR-2025-5008</t>
        </is>
      </c>
      <c r="B42" s="1" t="inlineStr">
        <is>
          <t>Odile Bergstrom</t>
        </is>
      </c>
      <c r="C42" s="1" t="inlineStr">
        <is>
          <t>Nonqualified stock option</t>
        </is>
      </c>
      <c r="D42" s="2" t="n">
        <v>45931</v>
      </c>
      <c r="E42" s="2" t="n">
        <v>45876</v>
      </c>
      <c r="F42" s="1" t="n">
        <v>0</v>
      </c>
      <c r="G42" s="1" t="inlineStr">
        <is>
          <t>16 quarterly tranches</t>
        </is>
      </c>
      <c r="H42" s="1" t="n">
        <v>4</v>
      </c>
      <c r="I42" s="2" t="n">
        <v>46149</v>
      </c>
      <c r="J42" s="1" t="n">
        <v>419</v>
      </c>
      <c r="K42" s="1" t="n">
        <v>2514</v>
      </c>
      <c r="L42" s="1">
        <f>L41+J42</f>
        <v/>
      </c>
      <c r="M42" s="1">
        <f>K42-L42</f>
        <v/>
      </c>
      <c r="N42" s="1" t="n">
        <v>419</v>
      </c>
      <c r="O42" s="1" t="inlineStr">
        <is>
          <t>Forfeited on termination</t>
        </is>
      </c>
    </row>
    <row r="43">
      <c r="A43" s="1" t="inlineStr">
        <is>
          <t>GR-2025-5008</t>
        </is>
      </c>
      <c r="B43" s="1" t="inlineStr">
        <is>
          <t>Odile Bergstrom</t>
        </is>
      </c>
      <c r="C43" s="1" t="inlineStr">
        <is>
          <t>Nonqualified stock option</t>
        </is>
      </c>
      <c r="D43" s="2" t="n">
        <v>45931</v>
      </c>
      <c r="E43" s="2" t="n">
        <v>45876</v>
      </c>
      <c r="F43" s="1" t="n">
        <v>0</v>
      </c>
      <c r="G43" s="1" t="inlineStr">
        <is>
          <t>16 quarterly tranches</t>
        </is>
      </c>
      <c r="H43" s="1" t="n">
        <v>5</v>
      </c>
      <c r="I43" s="2" t="n">
        <v>46241</v>
      </c>
      <c r="J43" s="1" t="n">
        <v>419</v>
      </c>
      <c r="K43" s="1" t="n">
        <v>2514</v>
      </c>
      <c r="L43" s="1">
        <f>L42+J43</f>
        <v/>
      </c>
      <c r="M43" s="1">
        <f>K43-L43</f>
        <v/>
      </c>
      <c r="N43" s="1" t="n">
        <v>419</v>
      </c>
      <c r="O43" s="1" t="inlineStr">
        <is>
          <t>Forfeited on termination</t>
        </is>
      </c>
    </row>
    <row r="44">
      <c r="A44" s="1" t="inlineStr">
        <is>
          <t>GR-2025-5008</t>
        </is>
      </c>
      <c r="B44" s="1" t="inlineStr">
        <is>
          <t>Odile Bergstrom</t>
        </is>
      </c>
      <c r="C44" s="1" t="inlineStr">
        <is>
          <t>Nonqualified stock option</t>
        </is>
      </c>
      <c r="D44" s="2" t="n">
        <v>45931</v>
      </c>
      <c r="E44" s="2" t="n">
        <v>45876</v>
      </c>
      <c r="F44" s="1" t="n">
        <v>0</v>
      </c>
      <c r="G44" s="1" t="inlineStr">
        <is>
          <t>16 quarterly tranches</t>
        </is>
      </c>
      <c r="H44" s="1" t="n">
        <v>6</v>
      </c>
      <c r="I44" s="2" t="n">
        <v>46333</v>
      </c>
      <c r="J44" s="1" t="n">
        <v>419</v>
      </c>
      <c r="K44" s="1" t="n">
        <v>2514</v>
      </c>
      <c r="L44" s="1">
        <f>L43+J44</f>
        <v/>
      </c>
      <c r="M44" s="1">
        <f>K44-L44</f>
        <v/>
      </c>
      <c r="N44" s="1" t="n">
        <v>419</v>
      </c>
      <c r="O44" s="1" t="inlineStr">
        <is>
          <t>Forfeited on termination</t>
        </is>
      </c>
    </row>
    <row r="45">
      <c r="A45" s="1" t="inlineStr">
        <is>
          <t>GR-2026-5009</t>
        </is>
      </c>
      <c r="B45" s="1" t="inlineStr">
        <is>
          <t>Owen Brackenbury</t>
        </is>
      </c>
      <c r="C45" s="1" t="inlineStr">
        <is>
          <t>Nonqualified stock option</t>
        </is>
      </c>
      <c r="D45" s="2" t="n">
        <v>46051</v>
      </c>
      <c r="E45" s="2" t="n">
        <v>45981</v>
      </c>
      <c r="F45" s="1" t="n">
        <v>6</v>
      </c>
      <c r="G45" s="1" t="inlineStr">
        <is>
          <t>Performance tranches on board certification</t>
        </is>
      </c>
      <c r="H45" s="1" t="n">
        <v>1</v>
      </c>
      <c r="I45" s="2" t="n">
        <v>46162</v>
      </c>
      <c r="J45" s="1" t="n">
        <v>8684</v>
      </c>
      <c r="K45" s="1" t="n">
        <v>34737</v>
      </c>
      <c r="L45" s="1">
        <f>J45</f>
        <v/>
      </c>
      <c r="M45" s="1">
        <f>K45-L45</f>
        <v/>
      </c>
      <c r="N45" s="1" t="n">
        <v>0</v>
      </c>
      <c r="O45" s="1" t="inlineStr">
        <is>
          <t>Vested before termination</t>
        </is>
      </c>
    </row>
    <row r="46">
      <c r="A46" s="1" t="inlineStr">
        <is>
          <t>GR-2026-5009</t>
        </is>
      </c>
      <c r="B46" s="1" t="inlineStr">
        <is>
          <t>Owen Brackenbury</t>
        </is>
      </c>
      <c r="C46" s="1" t="inlineStr">
        <is>
          <t>Nonqualified stock option</t>
        </is>
      </c>
      <c r="D46" s="2" t="n">
        <v>46051</v>
      </c>
      <c r="E46" s="2" t="n">
        <v>45981</v>
      </c>
      <c r="F46" s="1" t="n">
        <v>6</v>
      </c>
      <c r="G46" s="1" t="inlineStr">
        <is>
          <t>Performance tranches on board certification</t>
        </is>
      </c>
      <c r="H46" s="1" t="n">
        <v>2</v>
      </c>
      <c r="I46" s="2" t="n">
        <v>46254</v>
      </c>
      <c r="J46" s="1" t="n">
        <v>8684</v>
      </c>
      <c r="K46" s="1" t="n">
        <v>34737</v>
      </c>
      <c r="L46" s="1">
        <f>L45+J46</f>
        <v/>
      </c>
      <c r="M46" s="1">
        <f>K46-L46</f>
        <v/>
      </c>
      <c r="N46" s="1" t="n">
        <v>8684</v>
      </c>
      <c r="O46" s="1" t="inlineStr">
        <is>
          <t>Forfeited on termination</t>
        </is>
      </c>
    </row>
    <row r="47">
      <c r="A47" s="1" t="inlineStr">
        <is>
          <t>GR-2026-5009</t>
        </is>
      </c>
      <c r="B47" s="1" t="inlineStr">
        <is>
          <t>Owen Brackenbury</t>
        </is>
      </c>
      <c r="C47" s="1" t="inlineStr">
        <is>
          <t>Nonqualified stock option</t>
        </is>
      </c>
      <c r="D47" s="2" t="n">
        <v>46051</v>
      </c>
      <c r="E47" s="2" t="n">
        <v>45981</v>
      </c>
      <c r="F47" s="1" t="n">
        <v>6</v>
      </c>
      <c r="G47" s="1" t="inlineStr">
        <is>
          <t>Performance tranches on board certification</t>
        </is>
      </c>
      <c r="H47" s="1" t="n">
        <v>3</v>
      </c>
      <c r="I47" s="2" t="n">
        <v>46346</v>
      </c>
      <c r="J47" s="1" t="n">
        <v>8684</v>
      </c>
      <c r="K47" s="1" t="n">
        <v>34737</v>
      </c>
      <c r="L47" s="1">
        <f>L46+J47</f>
        <v/>
      </c>
      <c r="M47" s="1">
        <f>K47-L47</f>
        <v/>
      </c>
      <c r="N47" s="1" t="n">
        <v>8684</v>
      </c>
      <c r="O47" s="1" t="inlineStr">
        <is>
          <t>Forfeited on termination</t>
        </is>
      </c>
    </row>
    <row r="48">
      <c r="A48" s="1" t="inlineStr">
        <is>
          <t>GR-2026-5009</t>
        </is>
      </c>
      <c r="B48" s="1" t="inlineStr">
        <is>
          <t>Owen Brackenbury</t>
        </is>
      </c>
      <c r="C48" s="1" t="inlineStr">
        <is>
          <t>Nonqualified stock option</t>
        </is>
      </c>
      <c r="D48" s="2" t="n">
        <v>46051</v>
      </c>
      <c r="E48" s="2" t="n">
        <v>45981</v>
      </c>
      <c r="F48" s="1" t="n">
        <v>6</v>
      </c>
      <c r="G48" s="1" t="inlineStr">
        <is>
          <t>Performance tranches on board certification</t>
        </is>
      </c>
      <c r="H48" s="1" t="n">
        <v>4</v>
      </c>
      <c r="I48" s="2" t="n">
        <v>46438</v>
      </c>
      <c r="J48" s="1" t="n">
        <v>8685</v>
      </c>
      <c r="K48" s="1" t="n">
        <v>34737</v>
      </c>
      <c r="L48" s="1">
        <f>L47+J48</f>
        <v/>
      </c>
      <c r="M48" s="1">
        <f>K48-L48</f>
        <v/>
      </c>
      <c r="N48" s="1" t="n">
        <v>8685</v>
      </c>
      <c r="O48" s="1" t="inlineStr">
        <is>
          <t>Forfeited on termination</t>
        </is>
      </c>
    </row>
    <row r="49">
      <c r="A49" s="1" t="inlineStr">
        <is>
          <t>GR-2025-5010</t>
        </is>
      </c>
      <c r="B49" s="1" t="inlineStr">
        <is>
          <t>Portia Nwosu</t>
        </is>
      </c>
      <c r="C49" s="1" t="inlineStr">
        <is>
          <t>Incentive stock option</t>
        </is>
      </c>
      <c r="D49" s="2" t="n">
        <v>45720</v>
      </c>
      <c r="E49" s="2" t="n">
        <v>45669</v>
      </c>
      <c r="F49" s="1" t="n">
        <v>12</v>
      </c>
      <c r="G49" s="1" t="inlineStr">
        <is>
          <t>36 months monthly, no cliff</t>
        </is>
      </c>
      <c r="H49" s="1" t="n">
        <v>1</v>
      </c>
      <c r="I49" s="2" t="n">
        <v>46034</v>
      </c>
      <c r="J49" s="1" t="n">
        <v>1139</v>
      </c>
      <c r="K49" s="1" t="n">
        <v>7977</v>
      </c>
      <c r="L49" s="1">
        <f>J49</f>
        <v/>
      </c>
      <c r="M49" s="1">
        <f>K49-L49</f>
        <v/>
      </c>
      <c r="N49" s="1" t="n">
        <v>0</v>
      </c>
      <c r="O49" s="1" t="inlineStr">
        <is>
          <t>Vested before termination</t>
        </is>
      </c>
    </row>
    <row r="50">
      <c r="A50" s="1" t="inlineStr">
        <is>
          <t>GR-2025-5010</t>
        </is>
      </c>
      <c r="B50" s="1" t="inlineStr">
        <is>
          <t>Portia Nwosu</t>
        </is>
      </c>
      <c r="C50" s="1" t="inlineStr">
        <is>
          <t>Incentive stock option</t>
        </is>
      </c>
      <c r="D50" s="2" t="n">
        <v>45720</v>
      </c>
      <c r="E50" s="2" t="n">
        <v>45669</v>
      </c>
      <c r="F50" s="1" t="n">
        <v>12</v>
      </c>
      <c r="G50" s="1" t="inlineStr">
        <is>
          <t>36 months monthly, no cliff</t>
        </is>
      </c>
      <c r="H50" s="1" t="n">
        <v>2</v>
      </c>
      <c r="I50" s="2" t="n">
        <v>46124</v>
      </c>
      <c r="J50" s="1" t="n">
        <v>1139</v>
      </c>
      <c r="K50" s="1" t="n">
        <v>7977</v>
      </c>
      <c r="L50" s="1">
        <f>L49+J50</f>
        <v/>
      </c>
      <c r="M50" s="1">
        <f>K50-L50</f>
        <v/>
      </c>
      <c r="N50" s="1" t="n">
        <v>1139</v>
      </c>
      <c r="O50" s="1" t="inlineStr">
        <is>
          <t>Forfeited on termination</t>
        </is>
      </c>
    </row>
    <row r="51">
      <c r="A51" s="1" t="inlineStr">
        <is>
          <t>GR-2025-5010</t>
        </is>
      </c>
      <c r="B51" s="1" t="inlineStr">
        <is>
          <t>Portia Nwosu</t>
        </is>
      </c>
      <c r="C51" s="1" t="inlineStr">
        <is>
          <t>Incentive stock option</t>
        </is>
      </c>
      <c r="D51" s="2" t="n">
        <v>45720</v>
      </c>
      <c r="E51" s="2" t="n">
        <v>45669</v>
      </c>
      <c r="F51" s="1" t="n">
        <v>12</v>
      </c>
      <c r="G51" s="1" t="inlineStr">
        <is>
          <t>36 months monthly, no cliff</t>
        </is>
      </c>
      <c r="H51" s="1" t="n">
        <v>3</v>
      </c>
      <c r="I51" s="2" t="n">
        <v>46215</v>
      </c>
      <c r="J51" s="1" t="n">
        <v>1139</v>
      </c>
      <c r="K51" s="1" t="n">
        <v>7977</v>
      </c>
      <c r="L51" s="1">
        <f>L50+J51</f>
        <v/>
      </c>
      <c r="M51" s="1">
        <f>K51-L51</f>
        <v/>
      </c>
      <c r="N51" s="1" t="n">
        <v>1139</v>
      </c>
      <c r="O51" s="1" t="inlineStr">
        <is>
          <t>Forfeited on termination</t>
        </is>
      </c>
    </row>
    <row r="52">
      <c r="A52" s="1" t="inlineStr">
        <is>
          <t>GR-2025-5010</t>
        </is>
      </c>
      <c r="B52" s="1" t="inlineStr">
        <is>
          <t>Portia Nwosu</t>
        </is>
      </c>
      <c r="C52" s="1" t="inlineStr">
        <is>
          <t>Incentive stock option</t>
        </is>
      </c>
      <c r="D52" s="2" t="n">
        <v>45720</v>
      </c>
      <c r="E52" s="2" t="n">
        <v>45669</v>
      </c>
      <c r="F52" s="1" t="n">
        <v>12</v>
      </c>
      <c r="G52" s="1" t="inlineStr">
        <is>
          <t>36 months monthly, no cliff</t>
        </is>
      </c>
      <c r="H52" s="1" t="n">
        <v>4</v>
      </c>
      <c r="I52" s="2" t="n">
        <v>46307</v>
      </c>
      <c r="J52" s="1" t="n">
        <v>1139</v>
      </c>
      <c r="K52" s="1" t="n">
        <v>7977</v>
      </c>
      <c r="L52" s="1">
        <f>L51+J52</f>
        <v/>
      </c>
      <c r="M52" s="1">
        <f>K52-L52</f>
        <v/>
      </c>
      <c r="N52" s="1" t="n">
        <v>1139</v>
      </c>
      <c r="O52" s="1" t="inlineStr">
        <is>
          <t>Forfeited on termination</t>
        </is>
      </c>
    </row>
    <row r="53">
      <c r="A53" s="1" t="inlineStr">
        <is>
          <t>GR-2025-5010</t>
        </is>
      </c>
      <c r="B53" s="1" t="inlineStr">
        <is>
          <t>Portia Nwosu</t>
        </is>
      </c>
      <c r="C53" s="1" t="inlineStr">
        <is>
          <t>Incentive stock option</t>
        </is>
      </c>
      <c r="D53" s="2" t="n">
        <v>45720</v>
      </c>
      <c r="E53" s="2" t="n">
        <v>45669</v>
      </c>
      <c r="F53" s="1" t="n">
        <v>12</v>
      </c>
      <c r="G53" s="1" t="inlineStr">
        <is>
          <t>36 months monthly, no cliff</t>
        </is>
      </c>
      <c r="H53" s="1" t="n">
        <v>5</v>
      </c>
      <c r="I53" s="2" t="n">
        <v>46399</v>
      </c>
      <c r="J53" s="1" t="n">
        <v>1139</v>
      </c>
      <c r="K53" s="1" t="n">
        <v>7977</v>
      </c>
      <c r="L53" s="1">
        <f>L52+J53</f>
        <v/>
      </c>
      <c r="M53" s="1">
        <f>K53-L53</f>
        <v/>
      </c>
      <c r="N53" s="1" t="n">
        <v>1139</v>
      </c>
      <c r="O53" s="1" t="inlineStr">
        <is>
          <t>Forfeited on termination</t>
        </is>
      </c>
    </row>
    <row r="54">
      <c r="A54" s="1" t="inlineStr">
        <is>
          <t>GR-2025-5010</t>
        </is>
      </c>
      <c r="B54" s="1" t="inlineStr">
        <is>
          <t>Portia Nwosu</t>
        </is>
      </c>
      <c r="C54" s="1" t="inlineStr">
        <is>
          <t>Incentive stock option</t>
        </is>
      </c>
      <c r="D54" s="2" t="n">
        <v>45720</v>
      </c>
      <c r="E54" s="2" t="n">
        <v>45669</v>
      </c>
      <c r="F54" s="1" t="n">
        <v>12</v>
      </c>
      <c r="G54" s="1" t="inlineStr">
        <is>
          <t>36 months monthly, no cliff</t>
        </is>
      </c>
      <c r="H54" s="1" t="n">
        <v>6</v>
      </c>
      <c r="I54" s="2" t="n">
        <v>46489</v>
      </c>
      <c r="J54" s="1" t="n">
        <v>1139</v>
      </c>
      <c r="K54" s="1" t="n">
        <v>7977</v>
      </c>
      <c r="L54" s="1">
        <f>L53+J54</f>
        <v/>
      </c>
      <c r="M54" s="1">
        <f>K54-L54</f>
        <v/>
      </c>
      <c r="N54" s="1" t="n">
        <v>1139</v>
      </c>
      <c r="O54" s="1" t="inlineStr">
        <is>
          <t>Forfeited on termination</t>
        </is>
      </c>
    </row>
    <row r="55">
      <c r="A55" s="1" t="inlineStr">
        <is>
          <t>GR-2025-5010</t>
        </is>
      </c>
      <c r="B55" s="1" t="inlineStr">
        <is>
          <t>Portia Nwosu</t>
        </is>
      </c>
      <c r="C55" s="1" t="inlineStr">
        <is>
          <t>Incentive stock option</t>
        </is>
      </c>
      <c r="D55" s="2" t="n">
        <v>45720</v>
      </c>
      <c r="E55" s="2" t="n">
        <v>45669</v>
      </c>
      <c r="F55" s="1" t="n">
        <v>12</v>
      </c>
      <c r="G55" s="1" t="inlineStr">
        <is>
          <t>36 months monthly, no cliff</t>
        </is>
      </c>
      <c r="H55" s="1" t="n">
        <v>7</v>
      </c>
      <c r="I55" s="2" t="n">
        <v>46580</v>
      </c>
      <c r="J55" s="1" t="n">
        <v>1143</v>
      </c>
      <c r="K55" s="1" t="n">
        <v>7977</v>
      </c>
      <c r="L55" s="1">
        <f>L54+J55</f>
        <v/>
      </c>
      <c r="M55" s="1">
        <f>K55-L55</f>
        <v/>
      </c>
      <c r="N55" s="1" t="n">
        <v>1143</v>
      </c>
      <c r="O55" s="1" t="inlineStr">
        <is>
          <t>Forfeited on termination</t>
        </is>
      </c>
    </row>
    <row r="56">
      <c r="A56" s="1" t="inlineStr">
        <is>
          <t>GR-2024-5011</t>
        </is>
      </c>
      <c r="B56" s="1" t="inlineStr">
        <is>
          <t>Rune Halvorsen</t>
        </is>
      </c>
      <c r="C56" s="1" t="inlineStr">
        <is>
          <t>Incentive stock option</t>
        </is>
      </c>
      <c r="D56" s="2" t="n">
        <v>45303</v>
      </c>
      <c r="E56" s="2" t="n">
        <v>45279</v>
      </c>
      <c r="F56" s="1" t="n">
        <v>12</v>
      </c>
      <c r="G56" s="1" t="inlineStr">
        <is>
          <t>16 quarterly tranches</t>
        </is>
      </c>
      <c r="H56" s="1" t="n">
        <v>1</v>
      </c>
      <c r="I56" s="2" t="n">
        <v>45645</v>
      </c>
      <c r="J56" s="1" t="n">
        <v>9159</v>
      </c>
      <c r="K56" s="1" t="n">
        <v>45798</v>
      </c>
      <c r="L56" s="1">
        <f>J56</f>
        <v/>
      </c>
      <c r="M56" s="1">
        <f>K56-L56</f>
        <v/>
      </c>
      <c r="N56" s="1" t="n">
        <v>0</v>
      </c>
      <c r="O56" s="1" t="inlineStr">
        <is>
          <t>Vested before termination</t>
        </is>
      </c>
    </row>
    <row r="57">
      <c r="A57" s="1" t="inlineStr">
        <is>
          <t>GR-2024-5011</t>
        </is>
      </c>
      <c r="B57" s="1" t="inlineStr">
        <is>
          <t>Rune Halvorsen</t>
        </is>
      </c>
      <c r="C57" s="1" t="inlineStr">
        <is>
          <t>Incentive stock option</t>
        </is>
      </c>
      <c r="D57" s="2" t="n">
        <v>45303</v>
      </c>
      <c r="E57" s="2" t="n">
        <v>45279</v>
      </c>
      <c r="F57" s="1" t="n">
        <v>12</v>
      </c>
      <c r="G57" s="1" t="inlineStr">
        <is>
          <t>16 quarterly tranches</t>
        </is>
      </c>
      <c r="H57" s="1" t="n">
        <v>2</v>
      </c>
      <c r="I57" s="2" t="n">
        <v>45735</v>
      </c>
      <c r="J57" s="1" t="n">
        <v>9159</v>
      </c>
      <c r="K57" s="1" t="n">
        <v>45798</v>
      </c>
      <c r="L57" s="1">
        <f>L56+J57</f>
        <v/>
      </c>
      <c r="M57" s="1">
        <f>K57-L57</f>
        <v/>
      </c>
      <c r="N57" s="1" t="n">
        <v>9159</v>
      </c>
      <c r="O57" s="1" t="inlineStr">
        <is>
          <t>Forfeited on termination</t>
        </is>
      </c>
    </row>
    <row r="58">
      <c r="A58" s="1" t="inlineStr">
        <is>
          <t>GR-2024-5011</t>
        </is>
      </c>
      <c r="B58" s="1" t="inlineStr">
        <is>
          <t>Rune Halvorsen</t>
        </is>
      </c>
      <c r="C58" s="1" t="inlineStr">
        <is>
          <t>Incentive stock option</t>
        </is>
      </c>
      <c r="D58" s="2" t="n">
        <v>45303</v>
      </c>
      <c r="E58" s="2" t="n">
        <v>45279</v>
      </c>
      <c r="F58" s="1" t="n">
        <v>12</v>
      </c>
      <c r="G58" s="1" t="inlineStr">
        <is>
          <t>16 quarterly tranches</t>
        </is>
      </c>
      <c r="H58" s="1" t="n">
        <v>3</v>
      </c>
      <c r="I58" s="2" t="n">
        <v>45827</v>
      </c>
      <c r="J58" s="1" t="n">
        <v>9159</v>
      </c>
      <c r="K58" s="1" t="n">
        <v>45798</v>
      </c>
      <c r="L58" s="1">
        <f>L57+J58</f>
        <v/>
      </c>
      <c r="M58" s="1">
        <f>K58-L58</f>
        <v/>
      </c>
      <c r="N58" s="1" t="n">
        <v>9159</v>
      </c>
      <c r="O58" s="1" t="inlineStr">
        <is>
          <t>Forfeited on termination</t>
        </is>
      </c>
    </row>
    <row r="59">
      <c r="A59" s="1" t="inlineStr">
        <is>
          <t>GR-2024-5011</t>
        </is>
      </c>
      <c r="B59" s="1" t="inlineStr">
        <is>
          <t>Rune Halvorsen</t>
        </is>
      </c>
      <c r="C59" s="1" t="inlineStr">
        <is>
          <t>Incentive stock option</t>
        </is>
      </c>
      <c r="D59" s="2" t="n">
        <v>45303</v>
      </c>
      <c r="E59" s="2" t="n">
        <v>45279</v>
      </c>
      <c r="F59" s="1" t="n">
        <v>12</v>
      </c>
      <c r="G59" s="1" t="inlineStr">
        <is>
          <t>16 quarterly tranches</t>
        </is>
      </c>
      <c r="H59" s="1" t="n">
        <v>4</v>
      </c>
      <c r="I59" s="2" t="n">
        <v>45919</v>
      </c>
      <c r="J59" s="1" t="n">
        <v>9159</v>
      </c>
      <c r="K59" s="1" t="n">
        <v>45798</v>
      </c>
      <c r="L59" s="1">
        <f>L58+J59</f>
        <v/>
      </c>
      <c r="M59" s="1">
        <f>K59-L59</f>
        <v/>
      </c>
      <c r="N59" s="1" t="n">
        <v>9159</v>
      </c>
      <c r="O59" s="1" t="inlineStr">
        <is>
          <t>Forfeited on termination</t>
        </is>
      </c>
    </row>
    <row r="60">
      <c r="A60" s="1" t="inlineStr">
        <is>
          <t>GR-2024-5011</t>
        </is>
      </c>
      <c r="B60" s="1" t="inlineStr">
        <is>
          <t>Rune Halvorsen</t>
        </is>
      </c>
      <c r="C60" s="1" t="inlineStr">
        <is>
          <t>Incentive stock option</t>
        </is>
      </c>
      <c r="D60" s="2" t="n">
        <v>45303</v>
      </c>
      <c r="E60" s="2" t="n">
        <v>45279</v>
      </c>
      <c r="F60" s="1" t="n">
        <v>12</v>
      </c>
      <c r="G60" s="1" t="inlineStr">
        <is>
          <t>16 quarterly tranches</t>
        </is>
      </c>
      <c r="H60" s="1" t="n">
        <v>5</v>
      </c>
      <c r="I60" s="2" t="n">
        <v>46010</v>
      </c>
      <c r="J60" s="1" t="n">
        <v>9162</v>
      </c>
      <c r="K60" s="1" t="n">
        <v>45798</v>
      </c>
      <c r="L60" s="1">
        <f>L59+J60</f>
        <v/>
      </c>
      <c r="M60" s="1">
        <f>K60-L60</f>
        <v/>
      </c>
      <c r="N60" s="1" t="n">
        <v>9162</v>
      </c>
      <c r="O60" s="1" t="inlineStr">
        <is>
          <t>Forfeited on termination</t>
        </is>
      </c>
    </row>
    <row r="61">
      <c r="A61" s="1" t="inlineStr">
        <is>
          <t>GR-2024-5012</t>
        </is>
      </c>
      <c r="B61" s="1" t="inlineStr">
        <is>
          <t>Tomas Ferreira</t>
        </is>
      </c>
      <c r="C61" s="1" t="inlineStr">
        <is>
          <t>Performance stock unit</t>
        </is>
      </c>
      <c r="D61" s="2" t="n">
        <v>45435</v>
      </c>
      <c r="E61" s="2" t="n">
        <v>45380</v>
      </c>
      <c r="F61" s="1" t="n">
        <v>12</v>
      </c>
      <c r="G61" s="1" t="inlineStr">
        <is>
          <t>Performance tranches on board certification</t>
        </is>
      </c>
      <c r="H61" s="1" t="n">
        <v>1</v>
      </c>
      <c r="I61" s="2" t="n">
        <v>45745</v>
      </c>
      <c r="J61" s="1" t="n">
        <v>9197</v>
      </c>
      <c r="K61" s="1" t="n">
        <v>45989</v>
      </c>
      <c r="L61" s="1">
        <f>J61</f>
        <v/>
      </c>
      <c r="M61" s="1">
        <f>K61-L61</f>
        <v/>
      </c>
      <c r="N61" s="1" t="n">
        <v>0</v>
      </c>
      <c r="O61" s="1" t="inlineStr">
        <is>
          <t>Vested before termination</t>
        </is>
      </c>
    </row>
    <row r="62">
      <c r="A62" s="1" t="inlineStr">
        <is>
          <t>GR-2024-5012</t>
        </is>
      </c>
      <c r="B62" s="1" t="inlineStr">
        <is>
          <t>Tomas Ferreira</t>
        </is>
      </c>
      <c r="C62" s="1" t="inlineStr">
        <is>
          <t>Performance stock unit</t>
        </is>
      </c>
      <c r="D62" s="2" t="n">
        <v>45435</v>
      </c>
      <c r="E62" s="2" t="n">
        <v>45380</v>
      </c>
      <c r="F62" s="1" t="n">
        <v>12</v>
      </c>
      <c r="G62" s="1" t="inlineStr">
        <is>
          <t>Performance tranches on board certification</t>
        </is>
      </c>
      <c r="H62" s="1" t="n">
        <v>2</v>
      </c>
      <c r="I62" s="2" t="n">
        <v>45837</v>
      </c>
      <c r="J62" s="1" t="n">
        <v>9197</v>
      </c>
      <c r="K62" s="1" t="n">
        <v>45989</v>
      </c>
      <c r="L62" s="1">
        <f>L61+J62</f>
        <v/>
      </c>
      <c r="M62" s="1">
        <f>K62-L62</f>
        <v/>
      </c>
      <c r="N62" s="1" t="n">
        <v>9197</v>
      </c>
      <c r="O62" s="1" t="inlineStr">
        <is>
          <t>Forfeited on termination</t>
        </is>
      </c>
    </row>
    <row r="63">
      <c r="A63" s="1" t="inlineStr">
        <is>
          <t>GR-2024-5012</t>
        </is>
      </c>
      <c r="B63" s="1" t="inlineStr">
        <is>
          <t>Tomas Ferreira</t>
        </is>
      </c>
      <c r="C63" s="1" t="inlineStr">
        <is>
          <t>Performance stock unit</t>
        </is>
      </c>
      <c r="D63" s="2" t="n">
        <v>45435</v>
      </c>
      <c r="E63" s="2" t="n">
        <v>45380</v>
      </c>
      <c r="F63" s="1" t="n">
        <v>12</v>
      </c>
      <c r="G63" s="1" t="inlineStr">
        <is>
          <t>Performance tranches on board certification</t>
        </is>
      </c>
      <c r="H63" s="1" t="n">
        <v>3</v>
      </c>
      <c r="I63" s="2" t="n">
        <v>45929</v>
      </c>
      <c r="J63" s="1" t="n">
        <v>9197</v>
      </c>
      <c r="K63" s="1" t="n">
        <v>45989</v>
      </c>
      <c r="L63" s="1">
        <f>L62+J63</f>
        <v/>
      </c>
      <c r="M63" s="1">
        <f>K63-L63</f>
        <v/>
      </c>
      <c r="N63" s="1" t="n">
        <v>9197</v>
      </c>
      <c r="O63" s="1" t="inlineStr">
        <is>
          <t>Forfeited on termination</t>
        </is>
      </c>
    </row>
    <row r="64">
      <c r="A64" s="1" t="inlineStr">
        <is>
          <t>GR-2024-5012</t>
        </is>
      </c>
      <c r="B64" s="1" t="inlineStr">
        <is>
          <t>Tomas Ferreira</t>
        </is>
      </c>
      <c r="C64" s="1" t="inlineStr">
        <is>
          <t>Performance stock unit</t>
        </is>
      </c>
      <c r="D64" s="2" t="n">
        <v>45435</v>
      </c>
      <c r="E64" s="2" t="n">
        <v>45380</v>
      </c>
      <c r="F64" s="1" t="n">
        <v>12</v>
      </c>
      <c r="G64" s="1" t="inlineStr">
        <is>
          <t>Performance tranches on board certification</t>
        </is>
      </c>
      <c r="H64" s="1" t="n">
        <v>4</v>
      </c>
      <c r="I64" s="2" t="n">
        <v>46020</v>
      </c>
      <c r="J64" s="1" t="n">
        <v>9197</v>
      </c>
      <c r="K64" s="1" t="n">
        <v>45989</v>
      </c>
      <c r="L64" s="1">
        <f>L63+J64</f>
        <v/>
      </c>
      <c r="M64" s="1">
        <f>K64-L64</f>
        <v/>
      </c>
      <c r="N64" s="1" t="n">
        <v>9197</v>
      </c>
      <c r="O64" s="1" t="inlineStr">
        <is>
          <t>Forfeited on termination</t>
        </is>
      </c>
    </row>
    <row r="65">
      <c r="A65" s="1" t="inlineStr">
        <is>
          <t>GR-2024-5012</t>
        </is>
      </c>
      <c r="B65" s="1" t="inlineStr">
        <is>
          <t>Tomas Ferreira</t>
        </is>
      </c>
      <c r="C65" s="1" t="inlineStr">
        <is>
          <t>Performance stock unit</t>
        </is>
      </c>
      <c r="D65" s="2" t="n">
        <v>45435</v>
      </c>
      <c r="E65" s="2" t="n">
        <v>45380</v>
      </c>
      <c r="F65" s="1" t="n">
        <v>12</v>
      </c>
      <c r="G65" s="1" t="inlineStr">
        <is>
          <t>Performance tranches on board certification</t>
        </is>
      </c>
      <c r="H65" s="1" t="n">
        <v>5</v>
      </c>
      <c r="I65" s="2" t="n">
        <v>46110</v>
      </c>
      <c r="J65" s="1" t="n">
        <v>9201</v>
      </c>
      <c r="K65" s="1" t="n">
        <v>45989</v>
      </c>
      <c r="L65" s="1">
        <f>L64+J65</f>
        <v/>
      </c>
      <c r="M65" s="1">
        <f>K65-L65</f>
        <v/>
      </c>
      <c r="N65" s="1" t="n">
        <v>9201</v>
      </c>
      <c r="O65" s="1" t="inlineStr">
        <is>
          <t>Forfeited on termination</t>
        </is>
      </c>
    </row>
    <row r="66">
      <c r="A66" s="1" t="inlineStr">
        <is>
          <t>GR-2024-5013</t>
        </is>
      </c>
      <c r="B66" s="1" t="inlineStr">
        <is>
          <t>Hollis Ferrand</t>
        </is>
      </c>
      <c r="C66" s="1" t="inlineStr">
        <is>
          <t>Performance stock unit</t>
        </is>
      </c>
      <c r="D66" s="2" t="n">
        <v>45422</v>
      </c>
      <c r="E66" s="2" t="n">
        <v>45334</v>
      </c>
      <c r="F66" s="1" t="n">
        <v>12</v>
      </c>
      <c r="G66" s="1" t="inlineStr">
        <is>
          <t>48 months monthly after a 12-month cliff</t>
        </is>
      </c>
      <c r="H66" s="1" t="n">
        <v>1</v>
      </c>
      <c r="I66" s="2" t="n">
        <v>45700</v>
      </c>
      <c r="J66" s="1" t="n">
        <v>6794</v>
      </c>
      <c r="K66" s="1" t="n">
        <v>54358</v>
      </c>
      <c r="L66" s="1">
        <f>J66</f>
        <v/>
      </c>
      <c r="M66" s="1">
        <f>K66-L66</f>
        <v/>
      </c>
      <c r="N66" s="1" t="n">
        <v>0</v>
      </c>
      <c r="O66" s="1" t="inlineStr">
        <is>
          <t>Vested before termination</t>
        </is>
      </c>
    </row>
    <row r="67">
      <c r="A67" s="1" t="inlineStr">
        <is>
          <t>GR-2024-5013</t>
        </is>
      </c>
      <c r="B67" s="1" t="inlineStr">
        <is>
          <t>Hollis Ferrand</t>
        </is>
      </c>
      <c r="C67" s="1" t="inlineStr">
        <is>
          <t>Performance stock unit</t>
        </is>
      </c>
      <c r="D67" s="2" t="n">
        <v>45422</v>
      </c>
      <c r="E67" s="2" t="n">
        <v>45334</v>
      </c>
      <c r="F67" s="1" t="n">
        <v>12</v>
      </c>
      <c r="G67" s="1" t="inlineStr">
        <is>
          <t>48 months monthly after a 12-month cliff</t>
        </is>
      </c>
      <c r="H67" s="1" t="n">
        <v>2</v>
      </c>
      <c r="I67" s="2" t="n">
        <v>45789</v>
      </c>
      <c r="J67" s="1" t="n">
        <v>6794</v>
      </c>
      <c r="K67" s="1" t="n">
        <v>54358</v>
      </c>
      <c r="L67" s="1">
        <f>L66+J67</f>
        <v/>
      </c>
      <c r="M67" s="1">
        <f>K67-L67</f>
        <v/>
      </c>
      <c r="N67" s="1" t="n">
        <v>6794</v>
      </c>
      <c r="O67" s="1" t="inlineStr">
        <is>
          <t>Forfeited on termination</t>
        </is>
      </c>
    </row>
    <row r="68">
      <c r="A68" s="1" t="inlineStr">
        <is>
          <t>GR-2024-5013</t>
        </is>
      </c>
      <c r="B68" s="1" t="inlineStr">
        <is>
          <t>Hollis Ferrand</t>
        </is>
      </c>
      <c r="C68" s="1" t="inlineStr">
        <is>
          <t>Performance stock unit</t>
        </is>
      </c>
      <c r="D68" s="2" t="n">
        <v>45422</v>
      </c>
      <c r="E68" s="2" t="n">
        <v>45334</v>
      </c>
      <c r="F68" s="1" t="n">
        <v>12</v>
      </c>
      <c r="G68" s="1" t="inlineStr">
        <is>
          <t>48 months monthly after a 12-month cliff</t>
        </is>
      </c>
      <c r="H68" s="1" t="n">
        <v>3</v>
      </c>
      <c r="I68" s="2" t="n">
        <v>45881</v>
      </c>
      <c r="J68" s="1" t="n">
        <v>6794</v>
      </c>
      <c r="K68" s="1" t="n">
        <v>54358</v>
      </c>
      <c r="L68" s="1">
        <f>L67+J68</f>
        <v/>
      </c>
      <c r="M68" s="1">
        <f>K68-L68</f>
        <v/>
      </c>
      <c r="N68" s="1" t="n">
        <v>6794</v>
      </c>
      <c r="O68" s="1" t="inlineStr">
        <is>
          <t>Forfeited on termination</t>
        </is>
      </c>
    </row>
    <row r="69">
      <c r="A69" s="1" t="inlineStr">
        <is>
          <t>GR-2024-5013</t>
        </is>
      </c>
      <c r="B69" s="1" t="inlineStr">
        <is>
          <t>Hollis Ferrand</t>
        </is>
      </c>
      <c r="C69" s="1" t="inlineStr">
        <is>
          <t>Performance stock unit</t>
        </is>
      </c>
      <c r="D69" s="2" t="n">
        <v>45422</v>
      </c>
      <c r="E69" s="2" t="n">
        <v>45334</v>
      </c>
      <c r="F69" s="1" t="n">
        <v>12</v>
      </c>
      <c r="G69" s="1" t="inlineStr">
        <is>
          <t>48 months monthly after a 12-month cliff</t>
        </is>
      </c>
      <c r="H69" s="1" t="n">
        <v>4</v>
      </c>
      <c r="I69" s="2" t="n">
        <v>45973</v>
      </c>
      <c r="J69" s="1" t="n">
        <v>6794</v>
      </c>
      <c r="K69" s="1" t="n">
        <v>54358</v>
      </c>
      <c r="L69" s="1">
        <f>L68+J69</f>
        <v/>
      </c>
      <c r="M69" s="1">
        <f>K69-L69</f>
        <v/>
      </c>
      <c r="N69" s="1" t="n">
        <v>6794</v>
      </c>
      <c r="O69" s="1" t="inlineStr">
        <is>
          <t>Forfeited on termination</t>
        </is>
      </c>
    </row>
    <row r="70">
      <c r="A70" s="1" t="inlineStr">
        <is>
          <t>GR-2024-5013</t>
        </is>
      </c>
      <c r="B70" s="1" t="inlineStr">
        <is>
          <t>Hollis Ferrand</t>
        </is>
      </c>
      <c r="C70" s="1" t="inlineStr">
        <is>
          <t>Performance stock unit</t>
        </is>
      </c>
      <c r="D70" s="2" t="n">
        <v>45422</v>
      </c>
      <c r="E70" s="2" t="n">
        <v>45334</v>
      </c>
      <c r="F70" s="1" t="n">
        <v>12</v>
      </c>
      <c r="G70" s="1" t="inlineStr">
        <is>
          <t>48 months monthly after a 12-month cliff</t>
        </is>
      </c>
      <c r="H70" s="1" t="n">
        <v>5</v>
      </c>
      <c r="I70" s="2" t="n">
        <v>46065</v>
      </c>
      <c r="J70" s="1" t="n">
        <v>6794</v>
      </c>
      <c r="K70" s="1" t="n">
        <v>54358</v>
      </c>
      <c r="L70" s="1">
        <f>L69+J70</f>
        <v/>
      </c>
      <c r="M70" s="1">
        <f>K70-L70</f>
        <v/>
      </c>
      <c r="N70" s="1" t="n">
        <v>6794</v>
      </c>
      <c r="O70" s="1" t="inlineStr">
        <is>
          <t>Forfeited on termination</t>
        </is>
      </c>
    </row>
    <row r="71">
      <c r="A71" s="1" t="inlineStr">
        <is>
          <t>GR-2024-5013</t>
        </is>
      </c>
      <c r="B71" s="1" t="inlineStr">
        <is>
          <t>Hollis Ferrand</t>
        </is>
      </c>
      <c r="C71" s="1" t="inlineStr">
        <is>
          <t>Performance stock unit</t>
        </is>
      </c>
      <c r="D71" s="2" t="n">
        <v>45422</v>
      </c>
      <c r="E71" s="2" t="n">
        <v>45334</v>
      </c>
      <c r="F71" s="1" t="n">
        <v>12</v>
      </c>
      <c r="G71" s="1" t="inlineStr">
        <is>
          <t>48 months monthly after a 12-month cliff</t>
        </is>
      </c>
      <c r="H71" s="1" t="n">
        <v>6</v>
      </c>
      <c r="I71" s="2" t="n">
        <v>46154</v>
      </c>
      <c r="J71" s="1" t="n">
        <v>6794</v>
      </c>
      <c r="K71" s="1" t="n">
        <v>54358</v>
      </c>
      <c r="L71" s="1">
        <f>L70+J71</f>
        <v/>
      </c>
      <c r="M71" s="1">
        <f>K71-L71</f>
        <v/>
      </c>
      <c r="N71" s="1" t="n">
        <v>6794</v>
      </c>
      <c r="O71" s="1" t="inlineStr">
        <is>
          <t>Forfeited on termination</t>
        </is>
      </c>
    </row>
    <row r="72">
      <c r="A72" s="1" t="inlineStr">
        <is>
          <t>GR-2024-5013</t>
        </is>
      </c>
      <c r="B72" s="1" t="inlineStr">
        <is>
          <t>Hollis Ferrand</t>
        </is>
      </c>
      <c r="C72" s="1" t="inlineStr">
        <is>
          <t>Performance stock unit</t>
        </is>
      </c>
      <c r="D72" s="2" t="n">
        <v>45422</v>
      </c>
      <c r="E72" s="2" t="n">
        <v>45334</v>
      </c>
      <c r="F72" s="1" t="n">
        <v>12</v>
      </c>
      <c r="G72" s="1" t="inlineStr">
        <is>
          <t>48 months monthly after a 12-month cliff</t>
        </is>
      </c>
      <c r="H72" s="1" t="n">
        <v>7</v>
      </c>
      <c r="I72" s="2" t="n">
        <v>46246</v>
      </c>
      <c r="J72" s="1" t="n">
        <v>6794</v>
      </c>
      <c r="K72" s="1" t="n">
        <v>54358</v>
      </c>
      <c r="L72" s="1">
        <f>L71+J72</f>
        <v/>
      </c>
      <c r="M72" s="1">
        <f>K72-L72</f>
        <v/>
      </c>
      <c r="N72" s="1" t="n">
        <v>6794</v>
      </c>
      <c r="O72" s="1" t="inlineStr">
        <is>
          <t>Forfeited on termination</t>
        </is>
      </c>
    </row>
    <row r="73">
      <c r="A73" s="1" t="inlineStr">
        <is>
          <t>GR-2024-5013</t>
        </is>
      </c>
      <c r="B73" s="1" t="inlineStr">
        <is>
          <t>Hollis Ferrand</t>
        </is>
      </c>
      <c r="C73" s="1" t="inlineStr">
        <is>
          <t>Performance stock unit</t>
        </is>
      </c>
      <c r="D73" s="2" t="n">
        <v>45422</v>
      </c>
      <c r="E73" s="2" t="n">
        <v>45334</v>
      </c>
      <c r="F73" s="1" t="n">
        <v>12</v>
      </c>
      <c r="G73" s="1" t="inlineStr">
        <is>
          <t>48 months monthly after a 12-month cliff</t>
        </is>
      </c>
      <c r="H73" s="1" t="n">
        <v>8</v>
      </c>
      <c r="I73" s="2" t="n">
        <v>46338</v>
      </c>
      <c r="J73" s="1" t="n">
        <v>6800</v>
      </c>
      <c r="K73" s="1" t="n">
        <v>54358</v>
      </c>
      <c r="L73" s="1">
        <f>L72+J73</f>
        <v/>
      </c>
      <c r="M73" s="1">
        <f>K73-L73</f>
        <v/>
      </c>
      <c r="N73" s="1" t="n">
        <v>6800</v>
      </c>
      <c r="O73" s="1" t="inlineStr">
        <is>
          <t>Forfeited on termination</t>
        </is>
      </c>
    </row>
    <row r="74">
      <c r="A74" s="1" t="inlineStr">
        <is>
          <t>GR-2022-5014</t>
        </is>
      </c>
      <c r="B74" s="1" t="inlineStr">
        <is>
          <t>Sasha Lindqvist</t>
        </is>
      </c>
      <c r="C74" s="1" t="inlineStr">
        <is>
          <t>Incentive stock option</t>
        </is>
      </c>
      <c r="D74" s="2" t="n">
        <v>44777</v>
      </c>
      <c r="E74" s="2" t="n">
        <v>44694</v>
      </c>
      <c r="F74" s="1" t="n">
        <v>0</v>
      </c>
      <c r="G74" s="1" t="inlineStr">
        <is>
          <t>48 months monthly after a 12-month cliff</t>
        </is>
      </c>
      <c r="H74" s="1" t="n">
        <v>1</v>
      </c>
      <c r="I74" s="2" t="n">
        <v>44694</v>
      </c>
      <c r="J74" s="1" t="n">
        <v>8727</v>
      </c>
      <c r="K74" s="1" t="n">
        <v>43635</v>
      </c>
      <c r="L74" s="1">
        <f>J74</f>
        <v/>
      </c>
      <c r="M74" s="1">
        <f>K74-L74</f>
        <v/>
      </c>
      <c r="N74" s="1" t="n">
        <v>0</v>
      </c>
      <c r="O74" s="1" t="inlineStr">
        <is>
          <t>Vested before termination</t>
        </is>
      </c>
    </row>
    <row r="75">
      <c r="A75" s="1" t="inlineStr">
        <is>
          <t>GR-2022-5014</t>
        </is>
      </c>
      <c r="B75" s="1" t="inlineStr">
        <is>
          <t>Sasha Lindqvist</t>
        </is>
      </c>
      <c r="C75" s="1" t="inlineStr">
        <is>
          <t>Incentive stock option</t>
        </is>
      </c>
      <c r="D75" s="2" t="n">
        <v>44777</v>
      </c>
      <c r="E75" s="2" t="n">
        <v>44694</v>
      </c>
      <c r="F75" s="1" t="n">
        <v>0</v>
      </c>
      <c r="G75" s="1" t="inlineStr">
        <is>
          <t>48 months monthly after a 12-month cliff</t>
        </is>
      </c>
      <c r="H75" s="1" t="n">
        <v>2</v>
      </c>
      <c r="I75" s="2" t="n">
        <v>44786</v>
      </c>
      <c r="J75" s="1" t="n">
        <v>8727</v>
      </c>
      <c r="K75" s="1" t="n">
        <v>43635</v>
      </c>
      <c r="L75" s="1">
        <f>L74+J75</f>
        <v/>
      </c>
      <c r="M75" s="1">
        <f>K75-L75</f>
        <v/>
      </c>
      <c r="N75" s="1" t="n">
        <v>8727</v>
      </c>
      <c r="O75" s="1" t="inlineStr">
        <is>
          <t>Forfeited on termination</t>
        </is>
      </c>
    </row>
    <row r="76">
      <c r="A76" s="1" t="inlineStr">
        <is>
          <t>GR-2022-5014</t>
        </is>
      </c>
      <c r="B76" s="1" t="inlineStr">
        <is>
          <t>Sasha Lindqvist</t>
        </is>
      </c>
      <c r="C76" s="1" t="inlineStr">
        <is>
          <t>Incentive stock option</t>
        </is>
      </c>
      <c r="D76" s="2" t="n">
        <v>44777</v>
      </c>
      <c r="E76" s="2" t="n">
        <v>44694</v>
      </c>
      <c r="F76" s="1" t="n">
        <v>0</v>
      </c>
      <c r="G76" s="1" t="inlineStr">
        <is>
          <t>48 months monthly after a 12-month cliff</t>
        </is>
      </c>
      <c r="H76" s="1" t="n">
        <v>3</v>
      </c>
      <c r="I76" s="2" t="n">
        <v>44878</v>
      </c>
      <c r="J76" s="1" t="n">
        <v>8727</v>
      </c>
      <c r="K76" s="1" t="n">
        <v>43635</v>
      </c>
      <c r="L76" s="1">
        <f>L75+J76</f>
        <v/>
      </c>
      <c r="M76" s="1">
        <f>K76-L76</f>
        <v/>
      </c>
      <c r="N76" s="1" t="n">
        <v>8727</v>
      </c>
      <c r="O76" s="1" t="inlineStr">
        <is>
          <t>Forfeited on termination</t>
        </is>
      </c>
    </row>
    <row r="77">
      <c r="A77" s="1" t="inlineStr">
        <is>
          <t>GR-2022-5014</t>
        </is>
      </c>
      <c r="B77" s="1" t="inlineStr">
        <is>
          <t>Sasha Lindqvist</t>
        </is>
      </c>
      <c r="C77" s="1" t="inlineStr">
        <is>
          <t>Incentive stock option</t>
        </is>
      </c>
      <c r="D77" s="2" t="n">
        <v>44777</v>
      </c>
      <c r="E77" s="2" t="n">
        <v>44694</v>
      </c>
      <c r="F77" s="1" t="n">
        <v>0</v>
      </c>
      <c r="G77" s="1" t="inlineStr">
        <is>
          <t>48 months monthly after a 12-month cliff</t>
        </is>
      </c>
      <c r="H77" s="1" t="n">
        <v>4</v>
      </c>
      <c r="I77" s="2" t="n">
        <v>44970</v>
      </c>
      <c r="J77" s="1" t="n">
        <v>8727</v>
      </c>
      <c r="K77" s="1" t="n">
        <v>43635</v>
      </c>
      <c r="L77" s="1">
        <f>L76+J77</f>
        <v/>
      </c>
      <c r="M77" s="1">
        <f>K77-L77</f>
        <v/>
      </c>
      <c r="N77" s="1" t="n">
        <v>8727</v>
      </c>
      <c r="O77" s="1" t="inlineStr">
        <is>
          <t>Forfeited on termination</t>
        </is>
      </c>
    </row>
    <row r="78">
      <c r="A78" s="1" t="inlineStr">
        <is>
          <t>GR-2022-5014</t>
        </is>
      </c>
      <c r="B78" s="1" t="inlineStr">
        <is>
          <t>Sasha Lindqvist</t>
        </is>
      </c>
      <c r="C78" s="1" t="inlineStr">
        <is>
          <t>Incentive stock option</t>
        </is>
      </c>
      <c r="D78" s="2" t="n">
        <v>44777</v>
      </c>
      <c r="E78" s="2" t="n">
        <v>44694</v>
      </c>
      <c r="F78" s="1" t="n">
        <v>0</v>
      </c>
      <c r="G78" s="1" t="inlineStr">
        <is>
          <t>48 months monthly after a 12-month cliff</t>
        </is>
      </c>
      <c r="H78" s="1" t="n">
        <v>5</v>
      </c>
      <c r="I78" s="2" t="n">
        <v>45059</v>
      </c>
      <c r="J78" s="1" t="n">
        <v>8727</v>
      </c>
      <c r="K78" s="1" t="n">
        <v>43635</v>
      </c>
      <c r="L78" s="1">
        <f>L77+J78</f>
        <v/>
      </c>
      <c r="M78" s="1">
        <f>K78-L78</f>
        <v/>
      </c>
      <c r="N78" s="1" t="n">
        <v>8727</v>
      </c>
      <c r="O78" s="1" t="inlineStr">
        <is>
          <t>Forfeited on termination</t>
        </is>
      </c>
    </row>
    <row r="79">
      <c r="A79" s="1" t="inlineStr">
        <is>
          <t>GR-2024-5015</t>
        </is>
      </c>
      <c r="B79" s="1" t="inlineStr">
        <is>
          <t>Gideon Marsh</t>
        </is>
      </c>
      <c r="C79" s="1" t="inlineStr">
        <is>
          <t>Nonqualified stock option</t>
        </is>
      </c>
      <c r="D79" s="2" t="n">
        <v>45425</v>
      </c>
      <c r="E79" s="2" t="n">
        <v>45350</v>
      </c>
      <c r="F79" s="1" t="n">
        <v>12</v>
      </c>
      <c r="G79" s="1" t="inlineStr">
        <is>
          <t>4 annual tranches</t>
        </is>
      </c>
      <c r="H79" s="1" t="n">
        <v>1</v>
      </c>
      <c r="I79" s="2" t="n">
        <v>45716</v>
      </c>
      <c r="J79" s="1" t="n">
        <v>6306</v>
      </c>
      <c r="K79" s="1" t="n">
        <v>25225</v>
      </c>
      <c r="L79" s="1">
        <f>J79</f>
        <v/>
      </c>
      <c r="M79" s="1">
        <f>K79-L79</f>
        <v/>
      </c>
      <c r="N79" s="1" t="n">
        <v>0</v>
      </c>
      <c r="O79" s="1" t="inlineStr">
        <is>
          <t>Vested before termination</t>
        </is>
      </c>
    </row>
    <row r="80">
      <c r="A80" s="1" t="inlineStr">
        <is>
          <t>GR-2024-5015</t>
        </is>
      </c>
      <c r="B80" s="1" t="inlineStr">
        <is>
          <t>Gideon Marsh</t>
        </is>
      </c>
      <c r="C80" s="1" t="inlineStr">
        <is>
          <t>Nonqualified stock option</t>
        </is>
      </c>
      <c r="D80" s="2" t="n">
        <v>45425</v>
      </c>
      <c r="E80" s="2" t="n">
        <v>45350</v>
      </c>
      <c r="F80" s="1" t="n">
        <v>12</v>
      </c>
      <c r="G80" s="1" t="inlineStr">
        <is>
          <t>4 annual tranches</t>
        </is>
      </c>
      <c r="H80" s="1" t="n">
        <v>2</v>
      </c>
      <c r="I80" s="2" t="n">
        <v>45805</v>
      </c>
      <c r="J80" s="1" t="n">
        <v>6306</v>
      </c>
      <c r="K80" s="1" t="n">
        <v>25225</v>
      </c>
      <c r="L80" s="1">
        <f>L79+J80</f>
        <v/>
      </c>
      <c r="M80" s="1">
        <f>K80-L80</f>
        <v/>
      </c>
      <c r="N80" s="1" t="n">
        <v>6306</v>
      </c>
      <c r="O80" s="1" t="inlineStr">
        <is>
          <t>Forfeited on termination</t>
        </is>
      </c>
    </row>
    <row r="81">
      <c r="A81" s="1" t="inlineStr">
        <is>
          <t>GR-2024-5015</t>
        </is>
      </c>
      <c r="B81" s="1" t="inlineStr">
        <is>
          <t>Gideon Marsh</t>
        </is>
      </c>
      <c r="C81" s="1" t="inlineStr">
        <is>
          <t>Nonqualified stock option</t>
        </is>
      </c>
      <c r="D81" s="2" t="n">
        <v>45425</v>
      </c>
      <c r="E81" s="2" t="n">
        <v>45350</v>
      </c>
      <c r="F81" s="1" t="n">
        <v>12</v>
      </c>
      <c r="G81" s="1" t="inlineStr">
        <is>
          <t>4 annual tranches</t>
        </is>
      </c>
      <c r="H81" s="1" t="n">
        <v>3</v>
      </c>
      <c r="I81" s="2" t="n">
        <v>45897</v>
      </c>
      <c r="J81" s="1" t="n">
        <v>6306</v>
      </c>
      <c r="K81" s="1" t="n">
        <v>25225</v>
      </c>
      <c r="L81" s="1">
        <f>L80+J81</f>
        <v/>
      </c>
      <c r="M81" s="1">
        <f>K81-L81</f>
        <v/>
      </c>
      <c r="N81" s="1" t="n">
        <v>6306</v>
      </c>
      <c r="O81" s="1" t="inlineStr">
        <is>
          <t>Forfeited on termination</t>
        </is>
      </c>
    </row>
    <row r="82">
      <c r="A82" s="1" t="inlineStr">
        <is>
          <t>GR-2024-5015</t>
        </is>
      </c>
      <c r="B82" s="1" t="inlineStr">
        <is>
          <t>Gideon Marsh</t>
        </is>
      </c>
      <c r="C82" s="1" t="inlineStr">
        <is>
          <t>Nonqualified stock option</t>
        </is>
      </c>
      <c r="D82" s="2" t="n">
        <v>45425</v>
      </c>
      <c r="E82" s="2" t="n">
        <v>45350</v>
      </c>
      <c r="F82" s="1" t="n">
        <v>12</v>
      </c>
      <c r="G82" s="1" t="inlineStr">
        <is>
          <t>4 annual tranches</t>
        </is>
      </c>
      <c r="H82" s="1" t="n">
        <v>4</v>
      </c>
      <c r="I82" s="2" t="n">
        <v>45989</v>
      </c>
      <c r="J82" s="1" t="n">
        <v>6307</v>
      </c>
      <c r="K82" s="1" t="n">
        <v>25225</v>
      </c>
      <c r="L82" s="1">
        <f>L81+J82</f>
        <v/>
      </c>
      <c r="M82" s="1">
        <f>K82-L82</f>
        <v/>
      </c>
      <c r="N82" s="1" t="n">
        <v>6307</v>
      </c>
      <c r="O82" s="1" t="inlineStr">
        <is>
          <t>Forfeited on termination</t>
        </is>
      </c>
    </row>
    <row r="83">
      <c r="A83" s="1" t="inlineStr">
        <is>
          <t>GR-2025-5016</t>
        </is>
      </c>
      <c r="B83" s="1" t="inlineStr">
        <is>
          <t>Simona Vitale</t>
        </is>
      </c>
      <c r="C83" s="1" t="inlineStr">
        <is>
          <t>Restricted stock unit</t>
        </is>
      </c>
      <c r="D83" s="2" t="n">
        <v>45888</v>
      </c>
      <c r="E83" s="2" t="n">
        <v>45824</v>
      </c>
      <c r="F83" s="1" t="n">
        <v>12</v>
      </c>
      <c r="G83" s="1" t="inlineStr">
        <is>
          <t>36 months monthly, no cliff</t>
        </is>
      </c>
      <c r="H83" s="1" t="n">
        <v>1</v>
      </c>
      <c r="I83" s="2" t="n">
        <v>46189</v>
      </c>
      <c r="J83" s="1" t="n">
        <v>19701</v>
      </c>
      <c r="K83" s="1" t="n">
        <v>59103</v>
      </c>
      <c r="L83" s="1">
        <f>J83</f>
        <v/>
      </c>
      <c r="M83" s="1">
        <f>K83-L83</f>
        <v/>
      </c>
      <c r="N83" s="1" t="n">
        <v>0</v>
      </c>
      <c r="O83" s="1" t="inlineStr">
        <is>
          <t>Vested before termination</t>
        </is>
      </c>
    </row>
    <row r="84">
      <c r="A84" s="1" t="inlineStr">
        <is>
          <t>GR-2025-5016</t>
        </is>
      </c>
      <c r="B84" s="1" t="inlineStr">
        <is>
          <t>Simona Vitale</t>
        </is>
      </c>
      <c r="C84" s="1" t="inlineStr">
        <is>
          <t>Restricted stock unit</t>
        </is>
      </c>
      <c r="D84" s="2" t="n">
        <v>45888</v>
      </c>
      <c r="E84" s="2" t="n">
        <v>45824</v>
      </c>
      <c r="F84" s="1" t="n">
        <v>12</v>
      </c>
      <c r="G84" s="1" t="inlineStr">
        <is>
          <t>36 months monthly, no cliff</t>
        </is>
      </c>
      <c r="H84" s="1" t="n">
        <v>2</v>
      </c>
      <c r="I84" s="2" t="n">
        <v>46281</v>
      </c>
      <c r="J84" s="1" t="n">
        <v>19701</v>
      </c>
      <c r="K84" s="1" t="n">
        <v>59103</v>
      </c>
      <c r="L84" s="1">
        <f>L83+J84</f>
        <v/>
      </c>
      <c r="M84" s="1">
        <f>K84-L84</f>
        <v/>
      </c>
      <c r="N84" s="1" t="n">
        <v>19701</v>
      </c>
      <c r="O84" s="1" t="inlineStr">
        <is>
          <t>Forfeited on termination</t>
        </is>
      </c>
    </row>
    <row r="85">
      <c r="A85" s="1" t="inlineStr">
        <is>
          <t>GR-2025-5016</t>
        </is>
      </c>
      <c r="B85" s="1" t="inlineStr">
        <is>
          <t>Simona Vitale</t>
        </is>
      </c>
      <c r="C85" s="1" t="inlineStr">
        <is>
          <t>Restricted stock unit</t>
        </is>
      </c>
      <c r="D85" s="2" t="n">
        <v>45888</v>
      </c>
      <c r="E85" s="2" t="n">
        <v>45824</v>
      </c>
      <c r="F85" s="1" t="n">
        <v>12</v>
      </c>
      <c r="G85" s="1" t="inlineStr">
        <is>
          <t>36 months monthly, no cliff</t>
        </is>
      </c>
      <c r="H85" s="1" t="n">
        <v>3</v>
      </c>
      <c r="I85" s="2" t="n">
        <v>46372</v>
      </c>
      <c r="J85" s="1" t="n">
        <v>19701</v>
      </c>
      <c r="K85" s="1" t="n">
        <v>59103</v>
      </c>
      <c r="L85" s="1">
        <f>L84+J85</f>
        <v/>
      </c>
      <c r="M85" s="1">
        <f>K85-L85</f>
        <v/>
      </c>
      <c r="N85" s="1" t="n">
        <v>19701</v>
      </c>
      <c r="O85" s="1" t="inlineStr">
        <is>
          <t>Forfeited on termination</t>
        </is>
      </c>
    </row>
    <row r="86">
      <c r="A86" s="1" t="inlineStr">
        <is>
          <t>GR-2024-5017</t>
        </is>
      </c>
      <c r="B86" s="1" t="inlineStr">
        <is>
          <t>Owen Brackenbury</t>
        </is>
      </c>
      <c r="C86" s="1" t="inlineStr">
        <is>
          <t>Nonqualified stock option</t>
        </is>
      </c>
      <c r="D86" s="2" t="n">
        <v>45548</v>
      </c>
      <c r="E86" s="2" t="n">
        <v>45521</v>
      </c>
      <c r="F86" s="1" t="n">
        <v>12</v>
      </c>
      <c r="G86" s="1" t="inlineStr">
        <is>
          <t>16 quarterly tranches</t>
        </is>
      </c>
      <c r="H86" s="1" t="n">
        <v>1</v>
      </c>
      <c r="I86" s="2" t="n">
        <v>45886</v>
      </c>
      <c r="J86" s="1" t="n">
        <v>5800</v>
      </c>
      <c r="K86" s="1" t="n">
        <v>34805</v>
      </c>
      <c r="L86" s="1">
        <f>J86</f>
        <v/>
      </c>
      <c r="M86" s="1">
        <f>K86-L86</f>
        <v/>
      </c>
      <c r="N86" s="1" t="n">
        <v>0</v>
      </c>
      <c r="O86" s="1" t="inlineStr">
        <is>
          <t>Vested before termination</t>
        </is>
      </c>
    </row>
    <row r="87">
      <c r="A87" s="1" t="inlineStr">
        <is>
          <t>GR-2024-5017</t>
        </is>
      </c>
      <c r="B87" s="1" t="inlineStr">
        <is>
          <t>Owen Brackenbury</t>
        </is>
      </c>
      <c r="C87" s="1" t="inlineStr">
        <is>
          <t>Nonqualified stock option</t>
        </is>
      </c>
      <c r="D87" s="2" t="n">
        <v>45548</v>
      </c>
      <c r="E87" s="2" t="n">
        <v>45521</v>
      </c>
      <c r="F87" s="1" t="n">
        <v>12</v>
      </c>
      <c r="G87" s="1" t="inlineStr">
        <is>
          <t>16 quarterly tranches</t>
        </is>
      </c>
      <c r="H87" s="1" t="n">
        <v>2</v>
      </c>
      <c r="I87" s="2" t="n">
        <v>45978</v>
      </c>
      <c r="J87" s="1" t="n">
        <v>5800</v>
      </c>
      <c r="K87" s="1" t="n">
        <v>34805</v>
      </c>
      <c r="L87" s="1">
        <f>L86+J87</f>
        <v/>
      </c>
      <c r="M87" s="1">
        <f>K87-L87</f>
        <v/>
      </c>
      <c r="N87" s="1" t="n">
        <v>5800</v>
      </c>
      <c r="O87" s="1" t="inlineStr">
        <is>
          <t>Forfeited on termination</t>
        </is>
      </c>
    </row>
    <row r="88">
      <c r="A88" s="1" t="inlineStr">
        <is>
          <t>GR-2024-5017</t>
        </is>
      </c>
      <c r="B88" s="1" t="inlineStr">
        <is>
          <t>Owen Brackenbury</t>
        </is>
      </c>
      <c r="C88" s="1" t="inlineStr">
        <is>
          <t>Nonqualified stock option</t>
        </is>
      </c>
      <c r="D88" s="2" t="n">
        <v>45548</v>
      </c>
      <c r="E88" s="2" t="n">
        <v>45521</v>
      </c>
      <c r="F88" s="1" t="n">
        <v>12</v>
      </c>
      <c r="G88" s="1" t="inlineStr">
        <is>
          <t>16 quarterly tranches</t>
        </is>
      </c>
      <c r="H88" s="1" t="n">
        <v>3</v>
      </c>
      <c r="I88" s="2" t="n">
        <v>46070</v>
      </c>
      <c r="J88" s="1" t="n">
        <v>5800</v>
      </c>
      <c r="K88" s="1" t="n">
        <v>34805</v>
      </c>
      <c r="L88" s="1">
        <f>L87+J88</f>
        <v/>
      </c>
      <c r="M88" s="1">
        <f>K88-L88</f>
        <v/>
      </c>
      <c r="N88" s="1" t="n">
        <v>5800</v>
      </c>
      <c r="O88" s="1" t="inlineStr">
        <is>
          <t>Forfeited on termination</t>
        </is>
      </c>
    </row>
    <row r="89">
      <c r="A89" s="1" t="inlineStr">
        <is>
          <t>GR-2024-5017</t>
        </is>
      </c>
      <c r="B89" s="1" t="inlineStr">
        <is>
          <t>Owen Brackenbury</t>
        </is>
      </c>
      <c r="C89" s="1" t="inlineStr">
        <is>
          <t>Nonqualified stock option</t>
        </is>
      </c>
      <c r="D89" s="2" t="n">
        <v>45548</v>
      </c>
      <c r="E89" s="2" t="n">
        <v>45521</v>
      </c>
      <c r="F89" s="1" t="n">
        <v>12</v>
      </c>
      <c r="G89" s="1" t="inlineStr">
        <is>
          <t>16 quarterly tranches</t>
        </is>
      </c>
      <c r="H89" s="1" t="n">
        <v>4</v>
      </c>
      <c r="I89" s="2" t="n">
        <v>46159</v>
      </c>
      <c r="J89" s="1" t="n">
        <v>5800</v>
      </c>
      <c r="K89" s="1" t="n">
        <v>34805</v>
      </c>
      <c r="L89" s="1">
        <f>L88+J89</f>
        <v/>
      </c>
      <c r="M89" s="1">
        <f>K89-L89</f>
        <v/>
      </c>
      <c r="N89" s="1" t="n">
        <v>5800</v>
      </c>
      <c r="O89" s="1" t="inlineStr">
        <is>
          <t>Forfeited on termination</t>
        </is>
      </c>
    </row>
    <row r="90">
      <c r="A90" s="1" t="inlineStr">
        <is>
          <t>GR-2024-5017</t>
        </is>
      </c>
      <c r="B90" s="1" t="inlineStr">
        <is>
          <t>Owen Brackenbury</t>
        </is>
      </c>
      <c r="C90" s="1" t="inlineStr">
        <is>
          <t>Nonqualified stock option</t>
        </is>
      </c>
      <c r="D90" s="2" t="n">
        <v>45548</v>
      </c>
      <c r="E90" s="2" t="n">
        <v>45521</v>
      </c>
      <c r="F90" s="1" t="n">
        <v>12</v>
      </c>
      <c r="G90" s="1" t="inlineStr">
        <is>
          <t>16 quarterly tranches</t>
        </is>
      </c>
      <c r="H90" s="1" t="n">
        <v>5</v>
      </c>
      <c r="I90" s="2" t="n">
        <v>46251</v>
      </c>
      <c r="J90" s="1" t="n">
        <v>5800</v>
      </c>
      <c r="K90" s="1" t="n">
        <v>34805</v>
      </c>
      <c r="L90" s="1">
        <f>L89+J90</f>
        <v/>
      </c>
      <c r="M90" s="1">
        <f>K90-L90</f>
        <v/>
      </c>
      <c r="N90" s="1" t="n">
        <v>5800</v>
      </c>
      <c r="O90" s="1" t="inlineStr">
        <is>
          <t>Forfeited on termination</t>
        </is>
      </c>
    </row>
    <row r="91">
      <c r="A91" s="1" t="inlineStr">
        <is>
          <t>GR-2024-5017</t>
        </is>
      </c>
      <c r="B91" s="1" t="inlineStr">
        <is>
          <t>Owen Brackenbury</t>
        </is>
      </c>
      <c r="C91" s="1" t="inlineStr">
        <is>
          <t>Nonqualified stock option</t>
        </is>
      </c>
      <c r="D91" s="2" t="n">
        <v>45548</v>
      </c>
      <c r="E91" s="2" t="n">
        <v>45521</v>
      </c>
      <c r="F91" s="1" t="n">
        <v>12</v>
      </c>
      <c r="G91" s="1" t="inlineStr">
        <is>
          <t>16 quarterly tranches</t>
        </is>
      </c>
      <c r="H91" s="1" t="n">
        <v>6</v>
      </c>
      <c r="I91" s="2" t="n">
        <v>46343</v>
      </c>
      <c r="J91" s="1" t="n">
        <v>5805</v>
      </c>
      <c r="K91" s="1" t="n">
        <v>34805</v>
      </c>
      <c r="L91" s="1">
        <f>L90+J91</f>
        <v/>
      </c>
      <c r="M91" s="1">
        <f>K91-L91</f>
        <v/>
      </c>
      <c r="N91" s="1" t="n">
        <v>5805</v>
      </c>
      <c r="O91" s="1" t="inlineStr">
        <is>
          <t>Forfeited on termination</t>
        </is>
      </c>
    </row>
    <row r="92">
      <c r="A92" s="1" t="inlineStr">
        <is>
          <t>GR-2022-5018</t>
        </is>
      </c>
      <c r="B92" s="1" t="inlineStr">
        <is>
          <t>Gordon Pike</t>
        </is>
      </c>
      <c r="C92" s="1" t="inlineStr">
        <is>
          <t>Incentive stock option</t>
        </is>
      </c>
      <c r="D92" s="2" t="n">
        <v>44862</v>
      </c>
      <c r="E92" s="2" t="n">
        <v>44841</v>
      </c>
      <c r="F92" s="1" t="n">
        <v>6</v>
      </c>
      <c r="G92" s="1" t="inlineStr">
        <is>
          <t>16 quarterly tranches</t>
        </is>
      </c>
      <c r="H92" s="1" t="n">
        <v>1</v>
      </c>
      <c r="I92" s="2" t="n">
        <v>45023</v>
      </c>
      <c r="J92" s="1" t="n">
        <v>11841</v>
      </c>
      <c r="K92" s="1" t="n">
        <v>35525</v>
      </c>
      <c r="L92" s="1">
        <f>J92</f>
        <v/>
      </c>
      <c r="M92" s="1">
        <f>K92-L92</f>
        <v/>
      </c>
      <c r="N92" s="1" t="n">
        <v>0</v>
      </c>
      <c r="O92" s="1" t="inlineStr">
        <is>
          <t>Vested before termination</t>
        </is>
      </c>
    </row>
    <row r="93">
      <c r="A93" s="1" t="inlineStr">
        <is>
          <t>GR-2022-5018</t>
        </is>
      </c>
      <c r="B93" s="1" t="inlineStr">
        <is>
          <t>Gordon Pike</t>
        </is>
      </c>
      <c r="C93" s="1" t="inlineStr">
        <is>
          <t>Incentive stock option</t>
        </is>
      </c>
      <c r="D93" s="2" t="n">
        <v>44862</v>
      </c>
      <c r="E93" s="2" t="n">
        <v>44841</v>
      </c>
      <c r="F93" s="1" t="n">
        <v>6</v>
      </c>
      <c r="G93" s="1" t="inlineStr">
        <is>
          <t>16 quarterly tranches</t>
        </is>
      </c>
      <c r="H93" s="1" t="n">
        <v>2</v>
      </c>
      <c r="I93" s="2" t="n">
        <v>45114</v>
      </c>
      <c r="J93" s="1" t="n">
        <v>11841</v>
      </c>
      <c r="K93" s="1" t="n">
        <v>35525</v>
      </c>
      <c r="L93" s="1">
        <f>L92+J93</f>
        <v/>
      </c>
      <c r="M93" s="1">
        <f>K93-L93</f>
        <v/>
      </c>
      <c r="N93" s="1" t="n">
        <v>11841</v>
      </c>
      <c r="O93" s="1" t="inlineStr">
        <is>
          <t>Forfeited on termination</t>
        </is>
      </c>
    </row>
    <row r="94">
      <c r="A94" s="1" t="inlineStr">
        <is>
          <t>GR-2022-5018</t>
        </is>
      </c>
      <c r="B94" s="1" t="inlineStr">
        <is>
          <t>Gordon Pike</t>
        </is>
      </c>
      <c r="C94" s="1" t="inlineStr">
        <is>
          <t>Incentive stock option</t>
        </is>
      </c>
      <c r="D94" s="2" t="n">
        <v>44862</v>
      </c>
      <c r="E94" s="2" t="n">
        <v>44841</v>
      </c>
      <c r="F94" s="1" t="n">
        <v>6</v>
      </c>
      <c r="G94" s="1" t="inlineStr">
        <is>
          <t>16 quarterly tranches</t>
        </is>
      </c>
      <c r="H94" s="1" t="n">
        <v>3</v>
      </c>
      <c r="I94" s="2" t="n">
        <v>45206</v>
      </c>
      <c r="J94" s="1" t="n">
        <v>11843</v>
      </c>
      <c r="K94" s="1" t="n">
        <v>35525</v>
      </c>
      <c r="L94" s="1">
        <f>L93+J94</f>
        <v/>
      </c>
      <c r="M94" s="1">
        <f>K94-L94</f>
        <v/>
      </c>
      <c r="N94" s="1" t="n">
        <v>11843</v>
      </c>
      <c r="O94" s="1" t="inlineStr">
        <is>
          <t>Forfeited on termination</t>
        </is>
      </c>
    </row>
    <row r="95">
      <c r="A95" s="1" t="inlineStr">
        <is>
          <t>GR-2023-5019</t>
        </is>
      </c>
      <c r="B95" s="1" t="inlineStr">
        <is>
          <t>Owen Brackenbury</t>
        </is>
      </c>
      <c r="C95" s="1" t="inlineStr">
        <is>
          <t>Restricted stock unit</t>
        </is>
      </c>
      <c r="D95" s="2" t="n">
        <v>45128</v>
      </c>
      <c r="E95" s="2" t="n">
        <v>45066</v>
      </c>
      <c r="F95" s="1" t="n">
        <v>0</v>
      </c>
      <c r="G95" s="1" t="inlineStr">
        <is>
          <t>4 annual tranches</t>
        </is>
      </c>
      <c r="H95" s="1" t="n">
        <v>1</v>
      </c>
      <c r="I95" s="2" t="n">
        <v>45066</v>
      </c>
      <c r="J95" s="1" t="n">
        <v>16804</v>
      </c>
      <c r="K95" s="1" t="n">
        <v>50413</v>
      </c>
      <c r="L95" s="1">
        <f>J95</f>
        <v/>
      </c>
      <c r="M95" s="1">
        <f>K95-L95</f>
        <v/>
      </c>
      <c r="N95" s="1" t="n">
        <v>0</v>
      </c>
      <c r="O95" s="1" t="inlineStr">
        <is>
          <t>Vested before termination</t>
        </is>
      </c>
    </row>
    <row r="96">
      <c r="A96" s="1" t="inlineStr">
        <is>
          <t>GR-2023-5019</t>
        </is>
      </c>
      <c r="B96" s="1" t="inlineStr">
        <is>
          <t>Owen Brackenbury</t>
        </is>
      </c>
      <c r="C96" s="1" t="inlineStr">
        <is>
          <t>Restricted stock unit</t>
        </is>
      </c>
      <c r="D96" s="2" t="n">
        <v>45128</v>
      </c>
      <c r="E96" s="2" t="n">
        <v>45066</v>
      </c>
      <c r="F96" s="1" t="n">
        <v>0</v>
      </c>
      <c r="G96" s="1" t="inlineStr">
        <is>
          <t>4 annual tranches</t>
        </is>
      </c>
      <c r="H96" s="1" t="n">
        <v>2</v>
      </c>
      <c r="I96" s="2" t="n">
        <v>45158</v>
      </c>
      <c r="J96" s="1" t="n">
        <v>16804</v>
      </c>
      <c r="K96" s="1" t="n">
        <v>50413</v>
      </c>
      <c r="L96" s="1">
        <f>L95+J96</f>
        <v/>
      </c>
      <c r="M96" s="1">
        <f>K96-L96</f>
        <v/>
      </c>
      <c r="N96" s="1" t="n">
        <v>16804</v>
      </c>
      <c r="O96" s="1" t="inlineStr">
        <is>
          <t>Forfeited on termination</t>
        </is>
      </c>
    </row>
    <row r="97">
      <c r="A97" s="1" t="inlineStr">
        <is>
          <t>GR-2023-5019</t>
        </is>
      </c>
      <c r="B97" s="1" t="inlineStr">
        <is>
          <t>Owen Brackenbury</t>
        </is>
      </c>
      <c r="C97" s="1" t="inlineStr">
        <is>
          <t>Restricted stock unit</t>
        </is>
      </c>
      <c r="D97" s="2" t="n">
        <v>45128</v>
      </c>
      <c r="E97" s="2" t="n">
        <v>45066</v>
      </c>
      <c r="F97" s="1" t="n">
        <v>0</v>
      </c>
      <c r="G97" s="1" t="inlineStr">
        <is>
          <t>4 annual tranches</t>
        </is>
      </c>
      <c r="H97" s="1" t="n">
        <v>3</v>
      </c>
      <c r="I97" s="2" t="n">
        <v>45250</v>
      </c>
      <c r="J97" s="1" t="n">
        <v>16805</v>
      </c>
      <c r="K97" s="1" t="n">
        <v>50413</v>
      </c>
      <c r="L97" s="1">
        <f>L96+J97</f>
        <v/>
      </c>
      <c r="M97" s="1">
        <f>K97-L97</f>
        <v/>
      </c>
      <c r="N97" s="1" t="n">
        <v>16805</v>
      </c>
      <c r="O97" s="1" t="inlineStr">
        <is>
          <t>Forfeited on termination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2026-08-09T15:57:50Z</dcterms:created>
  <dcterms:modified xmlns:dcterms="http://purl.org/dc/terms/" xmlns:xsi="http://www.w3.org/2001/XMLSchema-instance" xsi:type="dcterms:W3CDTF">2026-08-09T15:57:50Z</dcterms:modified>
</cp:coreProperties>
</file>