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 V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founder_or_early_holder</t>
        </is>
      </c>
      <c r="B1" s="1" t="inlineStr">
        <is>
          <t>role_at_grant</t>
        </is>
      </c>
      <c r="C1" s="1" t="inlineStr">
        <is>
          <t>stock_purchase_agreement_date</t>
        </is>
      </c>
      <c r="D1" s="1" t="inlineStr">
        <is>
          <t>vest_commencement</t>
        </is>
      </c>
      <c r="E1" s="1" t="inlineStr">
        <is>
          <t>cliff_months</t>
        </is>
      </c>
      <c r="F1" s="1" t="inlineStr">
        <is>
          <t>total_vest_months</t>
        </is>
      </c>
      <c r="G1" s="1" t="inlineStr">
        <is>
          <t>months_elapsed_at_measurement</t>
        </is>
      </c>
      <c r="H1" s="1" t="inlineStr">
        <is>
          <t>months_remaining</t>
        </is>
      </c>
      <c r="I1" s="1" t="inlineStr">
        <is>
          <t>acceleration_terms</t>
        </is>
      </c>
      <c r="J1" s="1" t="inlineStr">
        <is>
          <t>repurchase_option_status</t>
        </is>
      </c>
      <c r="K1" s="1" t="inlineStr">
        <is>
          <t>section_83b_filed</t>
        </is>
      </c>
      <c r="L1" s="1" t="inlineStr">
        <is>
          <t>schedule_note</t>
        </is>
      </c>
    </row>
    <row r="2">
      <c r="A2" s="1" t="inlineStr">
        <is>
          <t>Dara Whitfield</t>
        </is>
      </c>
      <c r="B2" s="1" t="inlineStr">
        <is>
          <t>Co-founder and Chief Executive Officer</t>
        </is>
      </c>
      <c r="C2" s="2" t="n">
        <v>44138</v>
      </c>
      <c r="D2" s="2" t="n">
        <v>44043</v>
      </c>
      <c r="E2" s="1" t="n">
        <v>0</v>
      </c>
      <c r="F2" s="1" t="n">
        <v>60</v>
      </c>
      <c r="G2" s="1" t="n">
        <v>20</v>
      </c>
      <c r="H2" s="1">
        <f>F2-G2</f>
        <v/>
      </c>
      <c r="I2" s="1" t="inlineStr">
        <is>
          <t>Double trigger, 12 months on a qualifying termination</t>
        </is>
      </c>
      <c r="J2" s="1" t="inlineStr">
        <is>
          <t>Lapsed in full</t>
        </is>
      </c>
      <c r="K2" s="1" t="inlineStr">
        <is>
          <t>Yes</t>
        </is>
      </c>
      <c r="L2" s="1" t="inlineStr">
        <is>
          <t>Repurchase option expiry diarised with counsel</t>
        </is>
      </c>
    </row>
    <row r="3">
      <c r="A3" s="1" t="inlineStr">
        <is>
          <t>Wesley Hartnell</t>
        </is>
      </c>
      <c r="B3" s="1" t="inlineStr">
        <is>
          <t>Co-founder and Head of Engineering</t>
        </is>
      </c>
      <c r="C3" s="2" t="n">
        <v>44348</v>
      </c>
      <c r="D3" s="2" t="n">
        <v>44295</v>
      </c>
      <c r="E3" s="1" t="n">
        <v>12</v>
      </c>
      <c r="F3" s="1" t="n">
        <v>60</v>
      </c>
      <c r="G3" s="1" t="n">
        <v>20</v>
      </c>
      <c r="H3" s="1">
        <f>F3-G3</f>
        <v/>
      </c>
      <c r="I3" s="1" t="inlineStr">
        <is>
          <t>Single trigger on a change of control</t>
        </is>
      </c>
      <c r="J3" s="1" t="inlineStr">
        <is>
          <t>Partially outstanding</t>
        </is>
      </c>
      <c r="K3" s="1" t="inlineStr">
        <is>
          <t>Yes</t>
        </is>
      </c>
      <c r="L3" s="1" t="inlineStr">
        <is>
          <t>Vesting suspended during an unpaid leave and restarted on return</t>
        </is>
      </c>
    </row>
    <row r="4">
      <c r="A4" s="1" t="inlineStr">
        <is>
          <t>Beatrix Sorensen</t>
        </is>
      </c>
      <c r="B4" s="1" t="inlineStr">
        <is>
          <t>Founding engineer</t>
        </is>
      </c>
      <c r="C4" s="2" t="n">
        <v>43768</v>
      </c>
      <c r="D4" s="2" t="n">
        <v>43656</v>
      </c>
      <c r="E4" s="1" t="n">
        <v>0</v>
      </c>
      <c r="F4" s="1" t="n">
        <v>48</v>
      </c>
      <c r="G4" s="1" t="n">
        <v>48</v>
      </c>
      <c r="H4" s="1">
        <f>F4-G4</f>
        <v/>
      </c>
      <c r="I4" s="1" t="inlineStr">
        <is>
          <t>Double trigger, full acceleration</t>
        </is>
      </c>
      <c r="J4" s="1" t="inlineStr">
        <is>
          <t>Partially outstanding</t>
        </is>
      </c>
      <c r="K4" s="1" t="inlineStr">
        <is>
          <t>Yes</t>
        </is>
      </c>
      <c r="L4" s="1" t="inlineStr">
        <is>
          <t>Vesting suspended during an unpaid leave and restarted on return</t>
        </is>
      </c>
    </row>
    <row r="5">
      <c r="A5" s="1" t="inlineStr">
        <is>
          <t>Idris Chaudhry</t>
        </is>
      </c>
      <c r="B5" s="1" t="inlineStr">
        <is>
          <t>Founding engineer</t>
        </is>
      </c>
      <c r="C5" s="2" t="n">
        <v>44189</v>
      </c>
      <c r="D5" s="2" t="n">
        <v>44159</v>
      </c>
      <c r="E5" s="1" t="n">
        <v>6</v>
      </c>
      <c r="F5" s="1" t="n">
        <v>36</v>
      </c>
      <c r="G5" s="1" t="n">
        <v>34</v>
      </c>
      <c r="H5" s="1">
        <f>F5-G5</f>
        <v/>
      </c>
      <c r="I5" s="1" t="inlineStr">
        <is>
          <t>No acceleration</t>
        </is>
      </c>
      <c r="J5" s="1" t="inlineStr">
        <is>
          <t>Partially outstanding</t>
        </is>
      </c>
      <c r="K5" s="1" t="inlineStr">
        <is>
          <t>Yes</t>
        </is>
      </c>
      <c r="L5" s="1" t="inlineStr">
        <is>
          <t>Repurchase option expiry diarised with counsel</t>
        </is>
      </c>
    </row>
    <row r="6">
      <c r="A6" s="1" t="inlineStr">
        <is>
          <t>Portia Nwosu</t>
        </is>
      </c>
      <c r="B6" s="1" t="inlineStr">
        <is>
          <t>Founding product lead</t>
        </is>
      </c>
      <c r="C6" s="2" t="n">
        <v>44253</v>
      </c>
      <c r="D6" s="2" t="n">
        <v>44155</v>
      </c>
      <c r="E6" s="1" t="n">
        <v>6</v>
      </c>
      <c r="F6" s="1" t="n">
        <v>36</v>
      </c>
      <c r="G6" s="1" t="n">
        <v>25</v>
      </c>
      <c r="H6" s="1">
        <f>F6-G6</f>
        <v/>
      </c>
      <c r="I6" s="1" t="inlineStr">
        <is>
          <t>Double trigger, 12 months on a qualifying termination</t>
        </is>
      </c>
      <c r="J6" s="1" t="inlineStr">
        <is>
          <t>Outstanding, tracked monthly</t>
        </is>
      </c>
      <c r="K6" s="1" t="inlineStr">
        <is>
          <t>Yes</t>
        </is>
      </c>
      <c r="L6" s="1" t="inlineStr">
        <is>
          <t>Schedule amended by consent when the role changed</t>
        </is>
      </c>
    </row>
    <row r="7">
      <c r="A7" s="1" t="inlineStr">
        <is>
          <t>Marcus Oyelaran</t>
        </is>
      </c>
      <c r="B7" s="1" t="inlineStr">
        <is>
          <t>Chief Financial Officer, early hire</t>
        </is>
      </c>
      <c r="C7" s="2" t="n">
        <v>43685</v>
      </c>
      <c r="D7" s="2" t="n">
        <v>43637</v>
      </c>
      <c r="E7" s="1" t="n">
        <v>6</v>
      </c>
      <c r="F7" s="1" t="n">
        <v>48</v>
      </c>
      <c r="G7" s="1" t="n">
        <v>39</v>
      </c>
      <c r="H7" s="1">
        <f>F7-G7</f>
        <v/>
      </c>
      <c r="I7" s="1" t="inlineStr">
        <is>
          <t>Double trigger, 12 months on a qualifying termination</t>
        </is>
      </c>
      <c r="J7" s="1" t="inlineStr">
        <is>
          <t>Partially outstanding</t>
        </is>
      </c>
      <c r="K7" s="1" t="inlineStr">
        <is>
          <t>Yes</t>
        </is>
      </c>
      <c r="L7" s="1" t="inlineStr">
        <is>
          <t>Repurchase option expiry diarised with counsel</t>
        </is>
      </c>
    </row>
    <row r="8">
      <c r="A8" s="1" t="inlineStr">
        <is>
          <t>Priya Raghunathan</t>
        </is>
      </c>
      <c r="B8" s="1" t="inlineStr">
        <is>
          <t>General Counsel, early hire</t>
        </is>
      </c>
      <c r="C8" s="2" t="n">
        <v>44435</v>
      </c>
      <c r="D8" s="2" t="n">
        <v>44317</v>
      </c>
      <c r="E8" s="1" t="n">
        <v>12</v>
      </c>
      <c r="F8" s="1" t="n">
        <v>48</v>
      </c>
      <c r="G8" s="1" t="n">
        <v>37</v>
      </c>
      <c r="H8" s="1">
        <f>F8-G8</f>
        <v/>
      </c>
      <c r="I8" s="1" t="inlineStr">
        <is>
          <t>Double trigger, 12 months on a qualifying termination</t>
        </is>
      </c>
      <c r="J8" s="1" t="inlineStr">
        <is>
          <t>Lapsed in full</t>
        </is>
      </c>
      <c r="K8" s="1" t="inlineStr">
        <is>
          <t>Yes</t>
        </is>
      </c>
      <c r="L8" s="1" t="inlineStr">
        <is>
          <t>Quarterly vesting confirmed against the minute book</t>
        </is>
      </c>
    </row>
    <row r="9">
      <c r="A9" s="1" t="inlineStr">
        <is>
          <t>Junia Alvarez</t>
        </is>
      </c>
      <c r="B9" s="1" t="inlineStr">
        <is>
          <t>Early operations lead</t>
        </is>
      </c>
      <c r="C9" s="2" t="n">
        <v>43664</v>
      </c>
      <c r="D9" s="2" t="n">
        <v>43644</v>
      </c>
      <c r="E9" s="1" t="n">
        <v>0</v>
      </c>
      <c r="F9" s="1" t="n">
        <v>48</v>
      </c>
      <c r="G9" s="1" t="n">
        <v>46</v>
      </c>
      <c r="H9" s="1">
        <f>F9-G9</f>
        <v/>
      </c>
      <c r="I9" s="1" t="inlineStr">
        <is>
          <t>Double trigger, 12 months on a qualifying termination</t>
        </is>
      </c>
      <c r="J9" s="1" t="inlineStr">
        <is>
          <t>Lapsed in full</t>
        </is>
      </c>
      <c r="K9" s="1" t="inlineStr">
        <is>
          <t>Yes</t>
        </is>
      </c>
      <c r="L9" s="1" t="inlineStr">
        <is>
          <t>Vesting suspended during an unpaid leave and restarted on return</t>
        </is>
      </c>
    </row>
    <row r="10">
      <c r="A10" s="1" t="inlineStr">
        <is>
          <t>Cassian Boyle</t>
        </is>
      </c>
      <c r="B10" s="1" t="inlineStr">
        <is>
          <t>Early manufacturing engineer</t>
        </is>
      </c>
      <c r="C10" s="2" t="n">
        <v>43699</v>
      </c>
      <c r="D10" s="2" t="n">
        <v>43624</v>
      </c>
      <c r="E10" s="1" t="n">
        <v>0</v>
      </c>
      <c r="F10" s="1" t="n">
        <v>48</v>
      </c>
      <c r="G10" s="1" t="n">
        <v>43</v>
      </c>
      <c r="H10" s="1">
        <f>F10-G10</f>
        <v/>
      </c>
      <c r="I10" s="1" t="inlineStr">
        <is>
          <t>Single trigger on a change of control</t>
        </is>
      </c>
      <c r="J10" s="1" t="inlineStr">
        <is>
          <t>Outstanding, tracked monthly</t>
        </is>
      </c>
      <c r="K10" s="1" t="inlineStr">
        <is>
          <t>Yes</t>
        </is>
      </c>
      <c r="L10" s="1" t="inlineStr">
        <is>
          <t>Quarterly vesting confirmed against the minute book</t>
        </is>
      </c>
    </row>
    <row r="11">
      <c r="A11" s="1" t="inlineStr">
        <is>
          <t>Maeve Donnelly</t>
        </is>
      </c>
      <c r="B11" s="1" t="inlineStr">
        <is>
          <t>Early safety engineer</t>
        </is>
      </c>
      <c r="C11" s="2" t="n">
        <v>43838</v>
      </c>
      <c r="D11" s="2" t="n">
        <v>43746</v>
      </c>
      <c r="E11" s="1" t="n">
        <v>0</v>
      </c>
      <c r="F11" s="1" t="n">
        <v>48</v>
      </c>
      <c r="G11" s="1" t="n">
        <v>26</v>
      </c>
      <c r="H11" s="1">
        <f>F11-G11</f>
        <v/>
      </c>
      <c r="I11" s="1" t="inlineStr">
        <is>
          <t>Double trigger, 12 months on a qualifying termination</t>
        </is>
      </c>
      <c r="J11" s="1" t="inlineStr">
        <is>
          <t>Partially outstanding</t>
        </is>
      </c>
      <c r="K11" s="1" t="inlineStr">
        <is>
          <t>Yes</t>
        </is>
      </c>
      <c r="L11" s="1" t="inlineStr">
        <is>
          <t>Vesting suspended during an unpaid leave and restarted on 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