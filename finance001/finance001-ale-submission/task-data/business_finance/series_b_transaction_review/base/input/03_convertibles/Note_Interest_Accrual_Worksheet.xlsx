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 Count Conven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convention_code</t>
        </is>
      </c>
      <c r="B1" s="1" t="inlineStr">
        <is>
          <t>convention_name</t>
        </is>
      </c>
      <c r="C1" s="1" t="inlineStr">
        <is>
          <t>numerator_basis</t>
        </is>
      </c>
      <c r="D1" s="1" t="inlineStr">
        <is>
          <t>denominator_days</t>
        </is>
      </c>
      <c r="E1" s="1" t="inlineStr">
        <is>
          <t>illustrative_principal</t>
        </is>
      </c>
      <c r="F1" s="1" t="inlineStr">
        <is>
          <t>illustrative_annual_rate</t>
        </is>
      </c>
      <c r="G1" s="1" t="inlineStr">
        <is>
          <t>elapsed_days</t>
        </is>
      </c>
      <c r="H1" s="1" t="inlineStr">
        <is>
          <t>illustrative_accrual</t>
        </is>
      </c>
      <c r="I1" s="1" t="inlineStr">
        <is>
          <t>rounding_convention</t>
        </is>
      </c>
      <c r="J1" s="1" t="inlineStr">
        <is>
          <t>worksheet_note</t>
        </is>
      </c>
    </row>
    <row r="2">
      <c r="A2" s="1" t="inlineStr">
        <is>
          <t>ACT365F</t>
        </is>
      </c>
      <c r="B2" s="1" t="inlineStr">
        <is>
          <t>Actual/365 fixed</t>
        </is>
      </c>
      <c r="C2" s="1" t="inlineStr">
        <is>
          <t>Actual calendar days elapsed</t>
        </is>
      </c>
      <c r="D2" s="1" t="n">
        <v>365</v>
      </c>
      <c r="E2" s="1" t="n">
        <v>1000000</v>
      </c>
      <c r="F2" s="1" t="n">
        <v>0.045</v>
      </c>
      <c r="G2" s="1" t="n">
        <v>214</v>
      </c>
      <c r="H2" s="1">
        <f>ROUND(E2*F2*G2/D2,2)</f>
        <v/>
      </c>
      <c r="I2" s="1" t="inlineStr">
        <is>
          <t>Half up to the cent</t>
        </is>
      </c>
      <c r="J2" s="1" t="inlineStr">
        <is>
          <t>Denominator is fixed at 365 regardless of leap year.</t>
        </is>
      </c>
    </row>
    <row r="3">
      <c r="A3" s="1" t="inlineStr">
        <is>
          <t>ACT360</t>
        </is>
      </c>
      <c r="B3" s="1" t="inlineStr">
        <is>
          <t>Actual/360</t>
        </is>
      </c>
      <c r="C3" s="1" t="inlineStr">
        <is>
          <t>Actual calendar days elapsed</t>
        </is>
      </c>
      <c r="D3" s="1" t="n">
        <v>360</v>
      </c>
      <c r="E3" s="1" t="n">
        <v>1000000</v>
      </c>
      <c r="F3" s="1" t="n">
        <v>0.0525</v>
      </c>
      <c r="G3" s="1" t="n">
        <v>214</v>
      </c>
      <c r="H3" s="1">
        <f>ROUND(E3*F3*G3/D3,2)</f>
        <v/>
      </c>
      <c r="I3" s="1" t="inlineStr">
        <is>
          <t>Half up to the cent</t>
        </is>
      </c>
      <c r="J3" s="1" t="inlineStr">
        <is>
          <t>Produces a slightly larger accrual than Actual/365 for the same period.</t>
        </is>
      </c>
    </row>
    <row r="4">
      <c r="A4" s="1" t="inlineStr">
        <is>
          <t>ACT_ACT</t>
        </is>
      </c>
      <c r="B4" s="1" t="inlineStr">
        <is>
          <t>Actual/Actual</t>
        </is>
      </c>
      <c r="C4" s="1" t="inlineStr">
        <is>
          <t>Actual calendar days elapsed</t>
        </is>
      </c>
      <c r="D4" s="1" t="n">
        <v>366</v>
      </c>
      <c r="E4" s="1" t="n">
        <v>1000000</v>
      </c>
      <c r="F4" s="1" t="n">
        <v>0.045</v>
      </c>
      <c r="G4" s="1" t="n">
        <v>214</v>
      </c>
      <c r="H4" s="1">
        <f>ROUND(E4*F4*G4/D4,2)</f>
        <v/>
      </c>
      <c r="I4" s="1" t="inlineStr">
        <is>
          <t>Half up to the cent</t>
        </is>
      </c>
      <c r="J4" s="1" t="inlineStr">
        <is>
          <t>Denominator follows the actual days in the relevant year.</t>
        </is>
      </c>
    </row>
    <row r="5">
      <c r="A5" s="1" t="inlineStr">
        <is>
          <t>30E360</t>
        </is>
      </c>
      <c r="B5" s="1" t="inlineStr">
        <is>
          <t>30/360 European</t>
        </is>
      </c>
      <c r="C5" s="1" t="inlineStr">
        <is>
          <t>Each month treated as 30 days</t>
        </is>
      </c>
      <c r="D5" s="1" t="n">
        <v>360</v>
      </c>
      <c r="E5" s="1" t="n">
        <v>1000000</v>
      </c>
      <c r="F5" s="1" t="n">
        <v>0.0575</v>
      </c>
      <c r="G5" s="1" t="n">
        <v>210</v>
      </c>
      <c r="H5" s="1">
        <f>ROUND(E5*F5*G5/D5,2)</f>
        <v/>
      </c>
      <c r="I5" s="1" t="inlineStr">
        <is>
          <t>Half up to the cent</t>
        </is>
      </c>
      <c r="J5" s="1" t="inlineStr">
        <is>
          <t>Month-end conventions differ between the European and US variants.</t>
        </is>
      </c>
    </row>
    <row r="6">
      <c r="A6" s="1" t="inlineStr">
        <is>
          <t>30U360</t>
        </is>
      </c>
      <c r="B6" s="1" t="inlineStr">
        <is>
          <t>30/360 US</t>
        </is>
      </c>
      <c r="C6" s="1" t="inlineStr">
        <is>
          <t>Each month treated as 30 days, US month-end rule</t>
        </is>
      </c>
      <c r="D6" s="1" t="n">
        <v>360</v>
      </c>
      <c r="E6" s="1" t="n">
        <v>1000000</v>
      </c>
      <c r="F6" s="1" t="n">
        <v>0.0575</v>
      </c>
      <c r="G6" s="1" t="n">
        <v>210</v>
      </c>
      <c r="H6" s="1">
        <f>ROUND(E6*F6*G6/D6,2)</f>
        <v/>
      </c>
      <c r="I6" s="1" t="inlineStr">
        <is>
          <t>Half up to the cent</t>
        </is>
      </c>
      <c r="J6" s="1" t="inlineStr">
        <is>
          <t>The 31st is treated as the 30th except where the rule specifies otherwise.</t>
        </is>
      </c>
    </row>
    <row r="7">
      <c r="A7" s="1" t="inlineStr">
        <is>
          <t>SIMPLE</t>
        </is>
      </c>
      <c r="B7" s="1" t="inlineStr">
        <is>
          <t>Simple interest, no compounding</t>
        </is>
      </c>
      <c r="C7" s="1" t="inlineStr">
        <is>
          <t>Actual calendar days elapsed</t>
        </is>
      </c>
      <c r="D7" s="1" t="n">
        <v>365</v>
      </c>
      <c r="E7" s="1" t="n">
        <v>1000000</v>
      </c>
      <c r="F7" s="1" t="n">
        <v>0.045</v>
      </c>
      <c r="G7" s="1" t="n">
        <v>214</v>
      </c>
      <c r="H7" s="1">
        <f>ROUND(E7*F7*G7/D7,2)</f>
        <v/>
      </c>
      <c r="I7" s="1" t="inlineStr">
        <is>
          <t>Half up to the cent</t>
        </is>
      </c>
      <c r="J7" s="1" t="inlineStr">
        <is>
          <t>Compounding, if any, is a separate election in the instrument.</t>
        </is>
      </c>
    </row>
    <row r="8">
      <c r="A8" s="1" t="inlineStr">
        <is>
          <t>NOTE</t>
        </is>
      </c>
      <c r="B8" s="1" t="inlineStr">
        <is>
          <t>Applicability</t>
        </is>
      </c>
      <c r="C8" s="1" t="inlineStr">
        <is>
          <t>Not a substitute for the instrument</t>
        </is>
      </c>
      <c r="D8" s="1" t="n">
        <v>0</v>
      </c>
      <c r="E8" s="1" t="n">
        <v>0</v>
      </c>
      <c r="F8" s="1" t="n">
        <v>0</v>
      </c>
      <c r="G8" s="1" t="n">
        <v>0</v>
      </c>
      <c r="H8" s="1">
        <f>ROUND(SUM(H2:H7),2)</f>
        <v/>
      </c>
      <c r="I8" s="1" t="inlineStr">
        <is>
          <t>Half up to the cent</t>
        </is>
      </c>
      <c r="J8" s="1" t="inlineStr">
        <is>
          <t>The convention that governs a given instrument is the one stated in that signed instrument.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2026-08-09T15:57:47Z</dcterms:created>
  <dcterms:modified xmlns:dcterms="http://purl.org/dc/terms/" xmlns:xsi="http://www.w3.org/2001/XMLSchema-instance" xsi:type="dcterms:W3CDTF">2026-08-09T15:57:47Z</dcterms:modified>
</cp:coreProperties>
</file>